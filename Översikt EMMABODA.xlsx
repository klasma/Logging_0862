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46220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s="2" t="inlineStr">
        <is>
          <t>Almlav
Skogsalm
Vårärt
Bårdlav
Guldlockmossa
Havstulpanlav
Lindskål
Scytinium lichenoides s.lat.
Blåsippa</t>
        </is>
      </c>
      <c r="V2">
        <f>HYPERLINK("https://klasma.github.io/Logging_0862/artfynd/S 3392-2024 artfynd.xlsx", "S 3392-2024")</f>
        <v/>
      </c>
      <c r="W2">
        <f>HYPERLINK("https://klasma.github.io/Logging_0862/kartor/S 3392-2024 karta.png", "S 3392-2024")</f>
        <v/>
      </c>
      <c r="Y2">
        <f>HYPERLINK("https://klasma.github.io/Logging_0862/klagomål/S 3392-2024 FSC-klagomål.docx", "S 3392-2024")</f>
        <v/>
      </c>
      <c r="Z2">
        <f>HYPERLINK("https://klasma.github.io/Logging_0862/klagomålsmail/S 3392-2024 FSC-klagomål mail.docx", "S 3392-2024")</f>
        <v/>
      </c>
      <c r="AA2">
        <f>HYPERLINK("https://klasma.github.io/Logging_0862/tillsyn/S 3392-2024 tillsynsbegäran.docx", "S 3392-2024")</f>
        <v/>
      </c>
      <c r="AB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46220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Ask
Brunlångöra
Nordfladdermus
Dvärgpipistrell
Större brunfladdermus
Trollpipistrell
Huggorm</t>
        </is>
      </c>
      <c r="V3">
        <f>HYPERLINK("https://klasma.github.io/Logging_0862/artfynd/A 21184-2024 artfynd.xlsx", "A 21184-2024")</f>
        <v/>
      </c>
      <c r="W3">
        <f>HYPERLINK("https://klasma.github.io/Logging_0862/kartor/A 21184-2024 karta.png", "A 21184-2024")</f>
        <v/>
      </c>
      <c r="Y3">
        <f>HYPERLINK("https://klasma.github.io/Logging_0862/klagomål/A 21184-2024 FSC-klagomål.docx", "A 21184-2024")</f>
        <v/>
      </c>
      <c r="Z3">
        <f>HYPERLINK("https://klasma.github.io/Logging_0862/klagomålsmail/A 21184-2024 FSC-klagomål mail.docx", "A 21184-2024")</f>
        <v/>
      </c>
      <c r="AA3">
        <f>HYPERLINK("https://klasma.github.io/Logging_0862/tillsyn/A 21184-2024 tillsynsbegäran.docx", "A 21184-2024")</f>
        <v/>
      </c>
      <c r="AB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46220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s="2" t="inlineStr">
        <is>
          <t>Gropticka
Blåmossa
Grovticka
Kornknutmossa
Hårklomossa
Vanlig padda</t>
        </is>
      </c>
      <c r="V4">
        <f>HYPERLINK("https://klasma.github.io/Logging_0862/artfynd/S 1049-2024 artfynd.xlsx", "S 1049-2024")</f>
        <v/>
      </c>
      <c r="W4">
        <f>HYPERLINK("https://klasma.github.io/Logging_0862/kartor/S 1049-2024 karta.png", "S 1049-2024")</f>
        <v/>
      </c>
      <c r="Y4">
        <f>HYPERLINK("https://klasma.github.io/Logging_0862/klagomål/S 1049-2024 FSC-klagomål.docx", "S 1049-2024")</f>
        <v/>
      </c>
      <c r="Z4">
        <f>HYPERLINK("https://klasma.github.io/Logging_0862/klagomålsmail/S 1049-2024 FSC-klagomål mail.docx", "S 1049-2024")</f>
        <v/>
      </c>
      <c r="AA4">
        <f>HYPERLINK("https://klasma.github.io/Logging_0862/tillsyn/S 1049-2024 tillsynsbegäran.docx", "S 1049-2024")</f>
        <v/>
      </c>
      <c r="AB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46220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s="2" t="inlineStr">
        <is>
          <t>Slåttergubbe
Solvända
Svinrot
Grönsiska
Trädlärka
Gullviva</t>
        </is>
      </c>
      <c r="V5">
        <f>HYPERLINK("https://klasma.github.io/Logging_0862/artfynd/S 3437-2023 artfynd.xlsx", "S 3437-2023")</f>
        <v/>
      </c>
      <c r="W5">
        <f>HYPERLINK("https://klasma.github.io/Logging_0862/kartor/S 3437-2023 karta.png", "S 3437-2023")</f>
        <v/>
      </c>
      <c r="Y5">
        <f>HYPERLINK("https://klasma.github.io/Logging_0862/klagomål/S 3437-2023 FSC-klagomål.docx", "S 3437-2023")</f>
        <v/>
      </c>
      <c r="Z5">
        <f>HYPERLINK("https://klasma.github.io/Logging_0862/klagomålsmail/S 3437-2023 FSC-klagomål mail.docx", "S 3437-2023")</f>
        <v/>
      </c>
      <c r="AA5">
        <f>HYPERLINK("https://klasma.github.io/Logging_0862/tillsyn/S 3437-2023 tillsynsbegäran.docx", "S 3437-2023")</f>
        <v/>
      </c>
      <c r="AB5">
        <f>HYPERLINK("https://klasma.github.io/Logging_0862/tillsynsmail/S 3437-2023 tillsynsbegäran mail.docx", "S 3437-2023")</f>
        <v/>
      </c>
      <c r="AC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46220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Skogsalm
Sårläka
Vårärt
Rostfläck
Sotlav</t>
        </is>
      </c>
      <c r="V6">
        <f>HYPERLINK("https://klasma.github.io/Logging_0862/artfynd/S 1284-2023 artfynd.xlsx", "S 1284-2023")</f>
        <v/>
      </c>
      <c r="W6">
        <f>HYPERLINK("https://klasma.github.io/Logging_0862/kartor/S 1284-2023 karta.png", "S 1284-2023")</f>
        <v/>
      </c>
      <c r="Y6">
        <f>HYPERLINK("https://klasma.github.io/Logging_0862/klagomål/S 1284-2023 FSC-klagomål.docx", "S 1284-2023")</f>
        <v/>
      </c>
      <c r="Z6">
        <f>HYPERLINK("https://klasma.github.io/Logging_0862/klagomålsmail/S 1284-2023 FSC-klagomål mail.docx", "S 1284-2023")</f>
        <v/>
      </c>
      <c r="AA6">
        <f>HYPERLINK("https://klasma.github.io/Logging_0862/tillsyn/S 1284-2023 tillsynsbegäran.docx", "S 1284-2023")</f>
        <v/>
      </c>
      <c r="AB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46220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s="2" t="inlineStr">
        <is>
          <t>Skogsalm
Slåttergubbe
Borsttåg
Grönpyrola
Mattlummer</t>
        </is>
      </c>
      <c r="V7">
        <f>HYPERLINK("https://klasma.github.io/Logging_0862/artfynd/S 5423-2021 artfynd.xlsx", "S 5423-2021")</f>
        <v/>
      </c>
      <c r="W7">
        <f>HYPERLINK("https://klasma.github.io/Logging_0862/kartor/S 5423-2021 karta.png", "S 5423-2021")</f>
        <v/>
      </c>
      <c r="Y7">
        <f>HYPERLINK("https://klasma.github.io/Logging_0862/klagomål/S 5423-2021 FSC-klagomål.docx", "S 5423-2021")</f>
        <v/>
      </c>
      <c r="Z7">
        <f>HYPERLINK("https://klasma.github.io/Logging_0862/klagomålsmail/S 5423-2021 FSC-klagomål mail.docx", "S 5423-2021")</f>
        <v/>
      </c>
      <c r="AA7">
        <f>HYPERLINK("https://klasma.github.io/Logging_0862/tillsyn/S 5423-2021 tillsynsbegäran.docx", "S 5423-2021")</f>
        <v/>
      </c>
      <c r="AB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46220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s="2" t="inlineStr">
        <is>
          <t>Ask
Solvända
Rostfläck
Blåsippa
Spillkråka</t>
        </is>
      </c>
      <c r="V8">
        <f>HYPERLINK("https://klasma.github.io/Logging_0862/artfynd/S 7751-2021 artfynd.xlsx", "S 7751-2021")</f>
        <v/>
      </c>
      <c r="W8">
        <f>HYPERLINK("https://klasma.github.io/Logging_0862/kartor/S 7751-2021 karta.png", "S 7751-2021")</f>
        <v/>
      </c>
      <c r="Y8">
        <f>HYPERLINK("https://klasma.github.io/Logging_0862/klagomål/S 7751-2021 FSC-klagomål.docx", "S 7751-2021")</f>
        <v/>
      </c>
      <c r="Z8">
        <f>HYPERLINK("https://klasma.github.io/Logging_0862/klagomålsmail/S 7751-2021 FSC-klagomål mail.docx", "S 7751-2021")</f>
        <v/>
      </c>
      <c r="AA8">
        <f>HYPERLINK("https://klasma.github.io/Logging_0862/tillsyn/S 7751-2021 tillsynsbegäran.docx", "S 7751-2021")</f>
        <v/>
      </c>
      <c r="AB8">
        <f>HYPERLINK("https://klasma.github.io/Logging_0862/tillsynsmail/S 7751-2021 tillsynsbegäran mail.docx", "S 7751-2021")</f>
        <v/>
      </c>
      <c r="AC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46220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s="2" t="inlineStr">
        <is>
          <t>Slåttergubbe
Grönpyrola
Lopplummer (aggregat)
Revlummer</t>
        </is>
      </c>
      <c r="V9">
        <f>HYPERLINK("https://klasma.github.io/Logging_0862/artfynd/S 4850-2024 artfynd.xlsx", "S 4850-2024")</f>
        <v/>
      </c>
      <c r="W9">
        <f>HYPERLINK("https://klasma.github.io/Logging_0862/kartor/S 4850-2024 karta.png", "S 4850-2024")</f>
        <v/>
      </c>
      <c r="Y9">
        <f>HYPERLINK("https://klasma.github.io/Logging_0862/klagomål/S 4850-2024 FSC-klagomål.docx", "S 4850-2024")</f>
        <v/>
      </c>
      <c r="Z9">
        <f>HYPERLINK("https://klasma.github.io/Logging_0862/klagomålsmail/S 4850-2024 FSC-klagomål mail.docx", "S 4850-2024")</f>
        <v/>
      </c>
      <c r="AA9">
        <f>HYPERLINK("https://klasma.github.io/Logging_0862/tillsyn/S 4850-2024 tillsynsbegäran.docx", "S 4850-2024")</f>
        <v/>
      </c>
      <c r="AB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46220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Sparvuggla
Tjäder
Orre</t>
        </is>
      </c>
      <c r="V10">
        <f>HYPERLINK("https://klasma.github.io/Logging_0862/artfynd/A 21470-2022 artfynd.xlsx", "A 21470-2022")</f>
        <v/>
      </c>
      <c r="W10">
        <f>HYPERLINK("https://klasma.github.io/Logging_0862/kartor/A 21470-2022 karta.png", "A 21470-2022")</f>
        <v/>
      </c>
      <c r="Y10">
        <f>HYPERLINK("https://klasma.github.io/Logging_0862/klagomål/A 21470-2022 FSC-klagomål.docx", "A 21470-2022")</f>
        <v/>
      </c>
      <c r="Z10">
        <f>HYPERLINK("https://klasma.github.io/Logging_0862/klagomålsmail/A 21470-2022 FSC-klagomål mail.docx", "A 21470-2022")</f>
        <v/>
      </c>
      <c r="AA10">
        <f>HYPERLINK("https://klasma.github.io/Logging_0862/tillsyn/A 21470-2022 tillsynsbegäran.docx", "A 21470-2022")</f>
        <v/>
      </c>
      <c r="AB10">
        <f>HYPERLINK("https://klasma.github.io/Logging_0862/tillsynsmail/A 21470-2022 tillsynsbegäran mail.docx", "A 21470-2022")</f>
        <v/>
      </c>
      <c r="AC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46220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Lappuggla
Slåttergubbe
Tjäder</t>
        </is>
      </c>
      <c r="V11">
        <f>HYPERLINK("https://klasma.github.io/Logging_0862/artfynd/A 37932-2022 artfynd.xlsx", "A 37932-2022")</f>
        <v/>
      </c>
      <c r="W11">
        <f>HYPERLINK("https://klasma.github.io/Logging_0862/kartor/A 37932-2022 karta.png", "A 37932-2022")</f>
        <v/>
      </c>
      <c r="Y11">
        <f>HYPERLINK("https://klasma.github.io/Logging_0862/klagomål/A 37932-2022 FSC-klagomål.docx", "A 37932-2022")</f>
        <v/>
      </c>
      <c r="Z11">
        <f>HYPERLINK("https://klasma.github.io/Logging_0862/klagomålsmail/A 37932-2022 FSC-klagomål mail.docx", "A 37932-2022")</f>
        <v/>
      </c>
      <c r="AA11">
        <f>HYPERLINK("https://klasma.github.io/Logging_0862/tillsyn/A 37932-2022 tillsynsbegäran.docx", "A 37932-2022")</f>
        <v/>
      </c>
      <c r="AB11">
        <f>HYPERLINK("https://klasma.github.io/Logging_0862/tillsynsmail/A 37932-2022 tillsynsbegäran mail.docx", "A 37932-2022")</f>
        <v/>
      </c>
      <c r="AC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46220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s="2" t="inlineStr">
        <is>
          <t>Jungfrulin
Solvända
Vårstarr</t>
        </is>
      </c>
      <c r="V12">
        <f>HYPERLINK("https://klasma.github.io/Logging_0862/artfynd/S 357-2024 artfynd.xlsx", "S 357-2024")</f>
        <v/>
      </c>
      <c r="W12">
        <f>HYPERLINK("https://klasma.github.io/Logging_0862/kartor/S 357-2024 karta.png", "S 357-2024")</f>
        <v/>
      </c>
      <c r="Y12">
        <f>HYPERLINK("https://klasma.github.io/Logging_0862/klagomål/S 357-2024 FSC-klagomål.docx", "S 357-2024")</f>
        <v/>
      </c>
      <c r="Z12">
        <f>HYPERLINK("https://klasma.github.io/Logging_0862/klagomålsmail/S 357-2024 FSC-klagomål mail.docx", "S 357-2024")</f>
        <v/>
      </c>
      <c r="AA12">
        <f>HYPERLINK("https://klasma.github.io/Logging_0862/tillsyn/S 357-2024 tillsynsbegäran.docx", "S 357-2024")</f>
        <v/>
      </c>
      <c r="AB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46220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Violett fingersvamp
Åkerrättika
Skogsknipprot</t>
        </is>
      </c>
      <c r="V13">
        <f>HYPERLINK("https://klasma.github.io/Logging_0862/artfynd/S 692-2024 artfynd.xlsx", "S 692-2024")</f>
        <v/>
      </c>
      <c r="W13">
        <f>HYPERLINK("https://klasma.github.io/Logging_0862/kartor/S 692-2024 karta.png", "S 692-2024")</f>
        <v/>
      </c>
      <c r="Y13">
        <f>HYPERLINK("https://klasma.github.io/Logging_0862/klagomål/S 692-2024 FSC-klagomål.docx", "S 692-2024")</f>
        <v/>
      </c>
      <c r="Z13">
        <f>HYPERLINK("https://klasma.github.io/Logging_0862/klagomålsmail/S 692-2024 FSC-klagomål mail.docx", "S 692-2024")</f>
        <v/>
      </c>
      <c r="AA13">
        <f>HYPERLINK("https://klasma.github.io/Logging_0862/tillsyn/S 692-2024 tillsynsbegäran.docx", "S 692-2024")</f>
        <v/>
      </c>
      <c r="AB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46220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s="2" t="inlineStr">
        <is>
          <t>Knärot
Mattlummer
Hasselmus</t>
        </is>
      </c>
      <c r="V14">
        <f>HYPERLINK("https://klasma.github.io/Logging_0862/artfynd/S 1156-2026 artfynd.xlsx", "S 1156-2026")</f>
        <v/>
      </c>
      <c r="W14">
        <f>HYPERLINK("https://klasma.github.io/Logging_0862/kartor/S 1156-2026 karta.png", "S 1156-2026")</f>
        <v/>
      </c>
      <c r="X14">
        <f>HYPERLINK("https://klasma.github.io/Logging_0862/knärot/S 1156-2026 karta knärot.png", "S 1156-2026")</f>
        <v/>
      </c>
      <c r="Y14">
        <f>HYPERLINK("https://klasma.github.io/Logging_0862/klagomål/S 1156-2026 FSC-klagomål.docx", "S 1156-2026")</f>
        <v/>
      </c>
      <c r="Z14">
        <f>HYPERLINK("https://klasma.github.io/Logging_0862/klagomålsmail/S 1156-2026 FSC-klagomål mail.docx", "S 1156-2026")</f>
        <v/>
      </c>
      <c r="AA14">
        <f>HYPERLINK("https://klasma.github.io/Logging_0862/tillsyn/S 1156-2026 tillsynsbegäran.docx", "S 1156-2026")</f>
        <v/>
      </c>
      <c r="AB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46220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s="2" t="inlineStr">
        <is>
          <t>Knärot
Spillkråka</t>
        </is>
      </c>
      <c r="V15">
        <f>HYPERLINK("https://klasma.github.io/Logging_0862/artfynd/A 10694-2024 artfynd.xlsx", "A 10694-2024")</f>
        <v/>
      </c>
      <c r="W15">
        <f>HYPERLINK("https://klasma.github.io/Logging_0862/kartor/A 10694-2024 karta.png", "A 10694-2024")</f>
        <v/>
      </c>
      <c r="X15">
        <f>HYPERLINK("https://klasma.github.io/Logging_0862/knärot/A 10694-2024 karta knärot.png", "A 10694-2024")</f>
        <v/>
      </c>
      <c r="Y15">
        <f>HYPERLINK("https://klasma.github.io/Logging_0862/klagomål/A 10694-2024 FSC-klagomål.docx", "A 10694-2024")</f>
        <v/>
      </c>
      <c r="Z15">
        <f>HYPERLINK("https://klasma.github.io/Logging_0862/klagomålsmail/A 10694-2024 FSC-klagomål mail.docx", "A 10694-2024")</f>
        <v/>
      </c>
      <c r="AA15">
        <f>HYPERLINK("https://klasma.github.io/Logging_0862/tillsyn/A 10694-2024 tillsynsbegäran.docx", "A 10694-2024")</f>
        <v/>
      </c>
      <c r="AB15">
        <f>HYPERLINK("https://klasma.github.io/Logging_0862/tillsynsmail/A 10694-2024 tillsynsbegäran mail.docx", "A 10694-2024")</f>
        <v/>
      </c>
      <c r="AC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46220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Åkerkål
Mattlummer</t>
        </is>
      </c>
      <c r="V16">
        <f>HYPERLINK("https://klasma.github.io/Logging_0862/artfynd/S 1993-2023 artfynd.xlsx", "S 1993-2023")</f>
        <v/>
      </c>
      <c r="W16">
        <f>HYPERLINK("https://klasma.github.io/Logging_0862/kartor/S 1993-2023 karta.png", "S 1993-2023")</f>
        <v/>
      </c>
      <c r="Y16">
        <f>HYPERLINK("https://klasma.github.io/Logging_0862/klagomål/S 1993-2023 FSC-klagomål.docx", "S 1993-2023")</f>
        <v/>
      </c>
      <c r="Z16">
        <f>HYPERLINK("https://klasma.github.io/Logging_0862/klagomålsmail/S 1993-2023 FSC-klagomål mail.docx", "S 1993-2023")</f>
        <v/>
      </c>
      <c r="AA16">
        <f>HYPERLINK("https://klasma.github.io/Logging_0862/tillsyn/S 1993-2023 tillsynsbegäran.docx", "S 1993-2023")</f>
        <v/>
      </c>
      <c r="AB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46220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Almlav
Falsk allékrimmerlav</t>
        </is>
      </c>
      <c r="V17">
        <f>HYPERLINK("https://klasma.github.io/Logging_0862/artfynd/S 118-2023 artfynd.xlsx", "S 118-2023")</f>
        <v/>
      </c>
      <c r="W17">
        <f>HYPERLINK("https://klasma.github.io/Logging_0862/kartor/S 118-2023 karta.png", "S 118-2023")</f>
        <v/>
      </c>
      <c r="Y17">
        <f>HYPERLINK("https://klasma.github.io/Logging_0862/klagomål/S 118-2023 FSC-klagomål.docx", "S 118-2023")</f>
        <v/>
      </c>
      <c r="Z17">
        <f>HYPERLINK("https://klasma.github.io/Logging_0862/klagomålsmail/S 118-2023 FSC-klagomål mail.docx", "S 118-2023")</f>
        <v/>
      </c>
      <c r="AA17">
        <f>HYPERLINK("https://klasma.github.io/Logging_0862/tillsyn/S 118-2023 tillsynsbegäran.docx", "S 118-2023")</f>
        <v/>
      </c>
      <c r="AB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46220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Bollvitmossa
Tjäder</t>
        </is>
      </c>
      <c r="V18">
        <f>HYPERLINK("https://klasma.github.io/Logging_0862/artfynd/S 7100-2021 artfynd.xlsx", "S 7100-2021")</f>
        <v/>
      </c>
      <c r="W18">
        <f>HYPERLINK("https://klasma.github.io/Logging_0862/kartor/S 7100-2021 karta.png", "S 7100-2021")</f>
        <v/>
      </c>
      <c r="Y18">
        <f>HYPERLINK("https://klasma.github.io/Logging_0862/klagomål/S 7100-2021 FSC-klagomål.docx", "S 7100-2021")</f>
        <v/>
      </c>
      <c r="Z18">
        <f>HYPERLINK("https://klasma.github.io/Logging_0862/klagomålsmail/S 7100-2021 FSC-klagomål mail.docx", "S 7100-2021")</f>
        <v/>
      </c>
      <c r="AA18">
        <f>HYPERLINK("https://klasma.github.io/Logging_0862/tillsyn/S 7100-2021 tillsynsbegäran.docx", "S 7100-2021")</f>
        <v/>
      </c>
      <c r="AB18">
        <f>HYPERLINK("https://klasma.github.io/Logging_0862/tillsynsmail/S 7100-2021 tillsynsbegäran mail.docx", "S 7100-2021")</f>
        <v/>
      </c>
      <c r="AC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46220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s="2" t="inlineStr">
        <is>
          <t>Knärot
Hårklomossa</t>
        </is>
      </c>
      <c r="V19">
        <f>HYPERLINK("https://klasma.github.io/Logging_0862/artfynd/S 328-2026 artfynd.xlsx", "S 328-2026")</f>
        <v/>
      </c>
      <c r="W19">
        <f>HYPERLINK("https://klasma.github.io/Logging_0862/kartor/S 328-2026 karta.png", "S 328-2026")</f>
        <v/>
      </c>
      <c r="X19">
        <f>HYPERLINK("https://klasma.github.io/Logging_0862/knärot/S 328-2026 karta knärot.png", "S 328-2026")</f>
        <v/>
      </c>
      <c r="Y19">
        <f>HYPERLINK("https://klasma.github.io/Logging_0862/klagomål/S 328-2026 FSC-klagomål.docx", "S 328-2026")</f>
        <v/>
      </c>
      <c r="Z19">
        <f>HYPERLINK("https://klasma.github.io/Logging_0862/klagomålsmail/S 328-2026 FSC-klagomål mail.docx", "S 328-2026")</f>
        <v/>
      </c>
      <c r="AA19">
        <f>HYPERLINK("https://klasma.github.io/Logging_0862/tillsyn/S 328-2026 tillsynsbegäran.docx", "S 328-2026")</f>
        <v/>
      </c>
      <c r="AB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46220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Underviol
Gullviva</t>
        </is>
      </c>
      <c r="V20">
        <f>HYPERLINK("https://klasma.github.io/Logging_0862/artfynd/S 399-2026 artfynd.xlsx", "S 399-2026")</f>
        <v/>
      </c>
      <c r="W20">
        <f>HYPERLINK("https://klasma.github.io/Logging_0862/kartor/S 399-2026 karta.png", "S 399-2026")</f>
        <v/>
      </c>
      <c r="Y20">
        <f>HYPERLINK("https://klasma.github.io/Logging_0862/klagomål/S 399-2026 FSC-klagomål.docx", "S 399-2026")</f>
        <v/>
      </c>
      <c r="Z20">
        <f>HYPERLINK("https://klasma.github.io/Logging_0862/klagomålsmail/S 399-2026 FSC-klagomål mail.docx", "S 399-2026")</f>
        <v/>
      </c>
      <c r="AA20">
        <f>HYPERLINK("https://klasma.github.io/Logging_0862/tillsyn/S 399-2026 tillsynsbegäran.docx", "S 399-2026")</f>
        <v/>
      </c>
      <c r="AB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46220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Gullklöver
Hasselmus</t>
        </is>
      </c>
      <c r="V21">
        <f>HYPERLINK("https://klasma.github.io/Logging_0862/artfynd/S 2000-2026 artfynd.xlsx", "S 2000-2026")</f>
        <v/>
      </c>
      <c r="W21">
        <f>HYPERLINK("https://klasma.github.io/Logging_0862/kartor/S 2000-2026 karta.png", "S 2000-2026")</f>
        <v/>
      </c>
      <c r="Y21">
        <f>HYPERLINK("https://klasma.github.io/Logging_0862/klagomål/S 2000-2026 FSC-klagomål.docx", "S 2000-2026")</f>
        <v/>
      </c>
      <c r="Z21">
        <f>HYPERLINK("https://klasma.github.io/Logging_0862/klagomålsmail/S 2000-2026 FSC-klagomål mail.docx", "S 2000-2026")</f>
        <v/>
      </c>
      <c r="AA21">
        <f>HYPERLINK("https://klasma.github.io/Logging_0862/tillsyn/S 2000-2026 tillsynsbegäran.docx", "S 2000-2026")</f>
        <v/>
      </c>
      <c r="AB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46220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s="2" t="inlineStr">
        <is>
          <t>Sumpviol</t>
        </is>
      </c>
      <c r="V22">
        <f>HYPERLINK("https://klasma.github.io/Logging_0862/artfynd/A 39120-2021 artfynd.xlsx", "A 39120-2021")</f>
        <v/>
      </c>
      <c r="W22">
        <f>HYPERLINK("https://klasma.github.io/Logging_0862/kartor/A 39120-2021 karta.png", "A 39120-2021")</f>
        <v/>
      </c>
      <c r="Y22">
        <f>HYPERLINK("https://klasma.github.io/Logging_0862/klagomål/A 39120-2021 FSC-klagomål.docx", "A 39120-2021")</f>
        <v/>
      </c>
      <c r="Z22">
        <f>HYPERLINK("https://klasma.github.io/Logging_0862/klagomålsmail/A 39120-2021 FSC-klagomål mail.docx", "A 39120-2021")</f>
        <v/>
      </c>
      <c r="AA22">
        <f>HYPERLINK("https://klasma.github.io/Logging_0862/tillsyn/A 39120-2021 tillsynsbegäran.docx", "A 39120-2021")</f>
        <v/>
      </c>
      <c r="AB22">
        <f>HYPERLINK("https://klasma.github.io/Logging_0862/tillsynsmail/A 39120-2021 tillsynsbegäran mail.docx", "A 39120-2021")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46220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Åkerkulla</t>
        </is>
      </c>
      <c r="V23">
        <f>HYPERLINK("https://klasma.github.io/Logging_0862/artfynd/A 46550-2021 artfynd.xlsx", "A 46550-2021")</f>
        <v/>
      </c>
      <c r="W23">
        <f>HYPERLINK("https://klasma.github.io/Logging_0862/kartor/A 46550-2021 karta.png", "A 46550-2021")</f>
        <v/>
      </c>
      <c r="Y23">
        <f>HYPERLINK("https://klasma.github.io/Logging_0862/klagomål/A 46550-2021 FSC-klagomål.docx", "A 46550-2021")</f>
        <v/>
      </c>
      <c r="Z23">
        <f>HYPERLINK("https://klasma.github.io/Logging_0862/klagomålsmail/A 46550-2021 FSC-klagomål mail.docx", "A 46550-2021")</f>
        <v/>
      </c>
      <c r="AA23">
        <f>HYPERLINK("https://klasma.github.io/Logging_0862/tillsyn/A 46550-2021 tillsynsbegäran.docx", "A 46550-2021")</f>
        <v/>
      </c>
      <c r="AB23">
        <f>HYPERLINK("https://klasma.github.io/Logging_0862/tillsynsmail/A 46550-2021 tillsynsbegäran mail.docx", "A 46550-2021")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46220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Hasselmus</t>
        </is>
      </c>
      <c r="V24">
        <f>HYPERLINK("https://klasma.github.io/Logging_0862/artfynd/A 30597-2022 artfynd.xlsx", "A 30597-2022")</f>
        <v/>
      </c>
      <c r="W24">
        <f>HYPERLINK("https://klasma.github.io/Logging_0862/kartor/A 30597-2022 karta.png", "A 30597-2022")</f>
        <v/>
      </c>
      <c r="Y24">
        <f>HYPERLINK("https://klasma.github.io/Logging_0862/klagomål/A 30597-2022 FSC-klagomål.docx", "A 30597-2022")</f>
        <v/>
      </c>
      <c r="Z24">
        <f>HYPERLINK("https://klasma.github.io/Logging_0862/klagomålsmail/A 30597-2022 FSC-klagomål mail.docx", "A 30597-2022")</f>
        <v/>
      </c>
      <c r="AA24">
        <f>HYPERLINK("https://klasma.github.io/Logging_0862/tillsyn/A 30597-2022 tillsynsbegäran.docx", "A 30597-2022")</f>
        <v/>
      </c>
      <c r="AB24">
        <f>HYPERLINK("https://klasma.github.io/Logging_0862/tillsynsmail/A 30597-2022 tillsynsbegäran mail.docx", "A 30597-2022")</f>
        <v/>
      </c>
    </row>
    <row r="25" ht="15" customHeight="1">
      <c r="A25" t="inlineStr">
        <is>
          <t>A 39217-2023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45166</v>
      </c>
      <c r="E25" s="1" t="n">
        <v>46220</v>
      </c>
      <c r="F25" t="inlineStr">
        <is>
          <t>KALMAR LÄN</t>
        </is>
      </c>
      <c r="G25" t="inlineStr">
        <is>
          <t>EMMABODA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Blomkålssvamp</t>
        </is>
      </c>
      <c r="V25">
        <f>HYPERLINK("https://klasma.github.io/Logging_0862/artfynd/A 39217-2023 artfynd.xlsx", "A 39217-2023")</f>
        <v/>
      </c>
      <c r="W25">
        <f>HYPERLINK("https://klasma.github.io/Logging_0862/kartor/A 39217-2023 karta.png", "A 39217-2023")</f>
        <v/>
      </c>
      <c r="Y25">
        <f>HYPERLINK("https://klasma.github.io/Logging_0862/klagomål/A 39217-2023 FSC-klagomål.docx", "A 39217-2023")</f>
        <v/>
      </c>
      <c r="Z25">
        <f>HYPERLINK("https://klasma.github.io/Logging_0862/klagomålsmail/A 39217-2023 FSC-klagomål mail.docx", "A 39217-2023")</f>
        <v/>
      </c>
      <c r="AA25">
        <f>HYPERLINK("https://klasma.github.io/Logging_0862/tillsyn/A 39217-2023 tillsynsbegäran.docx", "A 39217-2023")</f>
        <v/>
      </c>
      <c r="AB25">
        <f>HYPERLINK("https://klasma.github.io/Logging_0862/tillsynsmail/A 39217-2023 tillsynsbegäran mail.docx", "A 39217-2023")</f>
        <v/>
      </c>
    </row>
    <row r="26" ht="15" customHeight="1">
      <c r="A26" t="inlineStr">
        <is>
          <t>A 6612-2023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44966</v>
      </c>
      <c r="E26" s="1" t="n">
        <v>46220</v>
      </c>
      <c r="F26" t="inlineStr">
        <is>
          <t>KALMAR LÄN</t>
        </is>
      </c>
      <c r="G26" t="inlineStr">
        <is>
          <t>EMMABODA</t>
        </is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Korallrot</t>
        </is>
      </c>
      <c r="V26">
        <f>HYPERLINK("https://klasma.github.io/Logging_0862/artfynd/A 6612-2023 artfynd.xlsx", "A 6612-2023")</f>
        <v/>
      </c>
      <c r="W26">
        <f>HYPERLINK("https://klasma.github.io/Logging_0862/kartor/A 6612-2023 karta.png", "A 6612-2023")</f>
        <v/>
      </c>
      <c r="Y26">
        <f>HYPERLINK("https://klasma.github.io/Logging_0862/klagomål/A 6612-2023 FSC-klagomål.docx", "A 6612-2023")</f>
        <v/>
      </c>
      <c r="Z26">
        <f>HYPERLINK("https://klasma.github.io/Logging_0862/klagomålsmail/A 6612-2023 FSC-klagomål mail.docx", "A 6612-2023")</f>
        <v/>
      </c>
      <c r="AA26">
        <f>HYPERLINK("https://klasma.github.io/Logging_0862/tillsyn/A 6612-2023 tillsynsbegäran.docx", "A 6612-2023")</f>
        <v/>
      </c>
      <c r="AB26">
        <f>HYPERLINK("https://klasma.github.io/Logging_0862/tillsynsmail/A 6612-2023 tillsynsbegäran mail.docx", "A 6612-2023")</f>
        <v/>
      </c>
    </row>
    <row r="27" ht="15" customHeight="1">
      <c r="A27" t="inlineStr">
        <is>
          <t>A 770-2022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44570</v>
      </c>
      <c r="E27" s="1" t="n">
        <v>46220</v>
      </c>
      <c r="F27" t="inlineStr">
        <is>
          <t>KALMAR LÄN</t>
        </is>
      </c>
      <c r="G27" t="inlineStr">
        <is>
          <t>EMMABODA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Grönpyrola</t>
        </is>
      </c>
      <c r="V27">
        <f>HYPERLINK("https://klasma.github.io/Logging_0862/artfynd/A 770-2022 artfynd.xlsx", "A 770-2022")</f>
        <v/>
      </c>
      <c r="W27">
        <f>HYPERLINK("https://klasma.github.io/Logging_0862/kartor/A 770-2022 karta.png", "A 770-2022")</f>
        <v/>
      </c>
      <c r="Y27">
        <f>HYPERLINK("https://klasma.github.io/Logging_0862/klagomål/A 770-2022 FSC-klagomål.docx", "A 770-2022")</f>
        <v/>
      </c>
      <c r="Z27">
        <f>HYPERLINK("https://klasma.github.io/Logging_0862/klagomålsmail/A 770-2022 FSC-klagomål mail.docx", "A 770-2022")</f>
        <v/>
      </c>
      <c r="AA27">
        <f>HYPERLINK("https://klasma.github.io/Logging_0862/tillsyn/A 770-2022 tillsynsbegäran.docx", "A 770-2022")</f>
        <v/>
      </c>
      <c r="AB27">
        <f>HYPERLINK("https://klasma.github.io/Logging_0862/tillsynsmail/A 770-2022 tillsynsbegäran mail.docx", "A 770-2022")</f>
        <v/>
      </c>
    </row>
    <row r="28" ht="15" customHeight="1">
      <c r="A28" t="inlineStr">
        <is>
          <t>A 9633-2023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46220</v>
      </c>
      <c r="F28" t="inlineStr">
        <is>
          <t>KALMAR LÄN</t>
        </is>
      </c>
      <c r="G28" t="inlineStr">
        <is>
          <t>EMMABODA</t>
        </is>
      </c>
      <c r="I28" t="n">
        <v>3.5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Småjungfrukam</t>
        </is>
      </c>
      <c r="V28">
        <f>HYPERLINK("https://klasma.github.io/Logging_0862/artfynd/A 9633-2023 artfynd.xlsx", "A 9633-2023")</f>
        <v/>
      </c>
      <c r="W28">
        <f>HYPERLINK("https://klasma.github.io/Logging_0862/kartor/A 9633-2023 karta.png", "A 9633-2023")</f>
        <v/>
      </c>
      <c r="Y28">
        <f>HYPERLINK("https://klasma.github.io/Logging_0862/klagomål/A 9633-2023 FSC-klagomål.docx", "A 9633-2023")</f>
        <v/>
      </c>
      <c r="Z28">
        <f>HYPERLINK("https://klasma.github.io/Logging_0862/klagomålsmail/A 9633-2023 FSC-klagomål mail.docx", "A 9633-2023")</f>
        <v/>
      </c>
      <c r="AA28">
        <f>HYPERLINK("https://klasma.github.io/Logging_0862/tillsyn/A 9633-2023 tillsynsbegäran.docx", "A 9633-2023")</f>
        <v/>
      </c>
      <c r="AB28">
        <f>HYPERLINK("https://klasma.github.io/Logging_0862/tillsynsmail/A 9633-2023 tillsynsbegäran mail.docx", "A 9633-2023")</f>
        <v/>
      </c>
    </row>
    <row r="29" ht="15" customHeight="1">
      <c r="A29" t="inlineStr">
        <is>
          <t>A 24282-2025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46220</v>
      </c>
      <c r="F29" t="inlineStr">
        <is>
          <t>KALMAR LÄN</t>
        </is>
      </c>
      <c r="G29" t="inlineStr">
        <is>
          <t>EMMABODA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HYPERLINK("https://klasma.github.io/Logging_0862/artfynd/A 24282-2025 artfynd.xlsx", "A 24282-2025")</f>
        <v/>
      </c>
      <c r="W29">
        <f>HYPERLINK("https://klasma.github.io/Logging_0862/kartor/A 24282-2025 karta.png", "A 24282-2025")</f>
        <v/>
      </c>
      <c r="Y29">
        <f>HYPERLINK("https://klasma.github.io/Logging_0862/klagomål/A 24282-2025 FSC-klagomål.docx", "A 24282-2025")</f>
        <v/>
      </c>
      <c r="Z29">
        <f>HYPERLINK("https://klasma.github.io/Logging_0862/klagomålsmail/A 24282-2025 FSC-klagomål mail.docx", "A 24282-2025")</f>
        <v/>
      </c>
      <c r="AA29">
        <f>HYPERLINK("https://klasma.github.io/Logging_0862/tillsyn/A 24282-2025 tillsynsbegäran.docx", "A 24282-2025")</f>
        <v/>
      </c>
      <c r="AB29">
        <f>HYPERLINK("https://klasma.github.io/Logging_0862/tillsynsmail/A 24282-2025 tillsynsbegäran mail.docx", "A 24282-2025")</f>
        <v/>
      </c>
      <c r="AC29">
        <f>HYPERLINK("https://klasma.github.io/Logging_0862/fåglar/A 24282-2025 prioriterade fågelarter.docx", "A 24282-2025")</f>
        <v/>
      </c>
    </row>
    <row r="30" ht="15" customHeight="1">
      <c r="A30" t="inlineStr">
        <is>
          <t>A 46187-2023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46220</v>
      </c>
      <c r="F30" t="inlineStr">
        <is>
          <t>KALMAR LÄN</t>
        </is>
      </c>
      <c r="G30" t="inlineStr">
        <is>
          <t>EMMABODA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Kungsfågel</t>
        </is>
      </c>
      <c r="V30">
        <f>HYPERLINK("https://klasma.github.io/Logging_0862/artfynd/A 46187-2023 artfynd.xlsx", "A 46187-2023")</f>
        <v/>
      </c>
      <c r="W30">
        <f>HYPERLINK("https://klasma.github.io/Logging_0862/kartor/A 46187-2023 karta.png", "A 46187-2023")</f>
        <v/>
      </c>
      <c r="Y30">
        <f>HYPERLINK("https://klasma.github.io/Logging_0862/klagomål/A 46187-2023 FSC-klagomål.docx", "A 46187-2023")</f>
        <v/>
      </c>
      <c r="Z30">
        <f>HYPERLINK("https://klasma.github.io/Logging_0862/klagomålsmail/A 46187-2023 FSC-klagomål mail.docx", "A 46187-2023")</f>
        <v/>
      </c>
      <c r="AA30">
        <f>HYPERLINK("https://klasma.github.io/Logging_0862/tillsyn/A 46187-2023 tillsynsbegäran.docx", "A 46187-2023")</f>
        <v/>
      </c>
      <c r="AB30">
        <f>HYPERLINK("https://klasma.github.io/Logging_0862/tillsynsmail/A 46187-2023 tillsynsbegäran mail.docx", "A 46187-2023")</f>
        <v/>
      </c>
    </row>
    <row r="31" ht="15" customHeight="1">
      <c r="A31" t="inlineStr">
        <is>
          <t>A 52182-2025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45953</v>
      </c>
      <c r="E31" s="1" t="n">
        <v>46220</v>
      </c>
      <c r="F31" t="inlineStr">
        <is>
          <t>KALMAR LÄN</t>
        </is>
      </c>
      <c r="G31" t="inlineStr">
        <is>
          <t>EMMABODA</t>
        </is>
      </c>
      <c r="I31" t="n">
        <v>7.6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Göktyta</t>
        </is>
      </c>
      <c r="V31">
        <f>HYPERLINK("https://klasma.github.io/Logging_0862/artfynd/A 52182-2025 artfynd.xlsx", "A 52182-2025")</f>
        <v/>
      </c>
      <c r="W31">
        <f>HYPERLINK("https://klasma.github.io/Logging_0862/kartor/A 52182-2025 karta.png", "A 52182-2025")</f>
        <v/>
      </c>
      <c r="Y31">
        <f>HYPERLINK("https://klasma.github.io/Logging_0862/klagomål/A 52182-2025 FSC-klagomål.docx", "A 52182-2025")</f>
        <v/>
      </c>
      <c r="Z31">
        <f>HYPERLINK("https://klasma.github.io/Logging_0862/klagomålsmail/A 52182-2025 FSC-klagomål mail.docx", "A 52182-2025")</f>
        <v/>
      </c>
      <c r="AA31">
        <f>HYPERLINK("https://klasma.github.io/Logging_0862/tillsyn/A 52182-2025 tillsynsbegäran.docx", "A 52182-2025")</f>
        <v/>
      </c>
      <c r="AB31">
        <f>HYPERLINK("https://klasma.github.io/Logging_0862/tillsynsmail/A 52182-2025 tillsynsbegäran mail.docx", "A 52182-2025")</f>
        <v/>
      </c>
      <c r="AC31">
        <f>HYPERLINK("https://klasma.github.io/Logging_0862/fåglar/A 52182-2025 prioriterade fågelarter.docx", "A 52182-2025")</f>
        <v/>
      </c>
    </row>
    <row r="32" ht="15" customHeight="1">
      <c r="A32" t="inlineStr">
        <is>
          <t>A 6247-2026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46220</v>
      </c>
      <c r="F32" t="inlineStr">
        <is>
          <t>KALMAR LÄN</t>
        </is>
      </c>
      <c r="G32" t="inlineStr">
        <is>
          <t>EMMABODA</t>
        </is>
      </c>
      <c r="I32" t="n">
        <v>1.2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Igelkott</t>
        </is>
      </c>
      <c r="V32">
        <f>HYPERLINK("https://klasma.github.io/Logging_0862/artfynd/A 6247-2026 artfynd.xlsx", "A 6247-2026")</f>
        <v/>
      </c>
      <c r="W32">
        <f>HYPERLINK("https://klasma.github.io/Logging_0862/kartor/A 6247-2026 karta.png", "A 6247-2026")</f>
        <v/>
      </c>
      <c r="Y32">
        <f>HYPERLINK("https://klasma.github.io/Logging_0862/klagomål/A 6247-2026 FSC-klagomål.docx", "A 6247-2026")</f>
        <v/>
      </c>
      <c r="Z32">
        <f>HYPERLINK("https://klasma.github.io/Logging_0862/klagomålsmail/A 6247-2026 FSC-klagomål mail.docx", "A 6247-2026")</f>
        <v/>
      </c>
      <c r="AA32">
        <f>HYPERLINK("https://klasma.github.io/Logging_0862/tillsyn/A 6247-2026 tillsynsbegäran.docx", "A 6247-2026")</f>
        <v/>
      </c>
      <c r="AB32">
        <f>HYPERLINK("https://klasma.github.io/Logging_0862/tillsynsmail/A 6247-2026 tillsynsbegäran mail.docx", "A 6247-2026")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46220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HYPERLINK("https://klasma.github.io/Logging_0862/artfynd/A 28871-2023 artfynd.xlsx", "A 28871-2023")</f>
        <v/>
      </c>
      <c r="W33">
        <f>HYPERLINK("https://klasma.github.io/Logging_0862/kartor/A 28871-2023 karta.png", "A 28871-2023")</f>
        <v/>
      </c>
      <c r="Y33">
        <f>HYPERLINK("https://klasma.github.io/Logging_0862/klagomål/A 28871-2023 FSC-klagomål.docx", "A 28871-2023")</f>
        <v/>
      </c>
      <c r="Z33">
        <f>HYPERLINK("https://klasma.github.io/Logging_0862/klagomålsmail/A 28871-2023 FSC-klagomål mail.docx", "A 28871-2023")</f>
        <v/>
      </c>
      <c r="AA33">
        <f>HYPERLINK("https://klasma.github.io/Logging_0862/tillsyn/A 28871-2023 tillsynsbegäran.docx", "A 28871-2023")</f>
        <v/>
      </c>
      <c r="AB33">
        <f>HYPERLINK("https://klasma.github.io/Logging_0862/tillsynsmail/A 28871-2023 tillsynsbegäran mail.docx", "A 28871-2023")</f>
        <v/>
      </c>
    </row>
    <row r="34" ht="15" customHeight="1">
      <c r="A34" t="inlineStr">
        <is>
          <t>A 5884-2024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46220</v>
      </c>
      <c r="F34" t="inlineStr">
        <is>
          <t>KALMAR LÄN</t>
        </is>
      </c>
      <c r="G34" t="inlineStr">
        <is>
          <t>EMMABODA</t>
        </is>
      </c>
      <c r="I34" t="n">
        <v>4.7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 sköldmossa</t>
        </is>
      </c>
      <c r="V34">
        <f>HYPERLINK("https://klasma.github.io/Logging_0862/artfynd/A 5884-2024 artfynd.xlsx", "A 5884-2024")</f>
        <v/>
      </c>
      <c r="W34">
        <f>HYPERLINK("https://klasma.github.io/Logging_0862/kartor/A 5884-2024 karta.png", "A 5884-2024")</f>
        <v/>
      </c>
      <c r="Y34">
        <f>HYPERLINK("https://klasma.github.io/Logging_0862/klagomål/A 5884-2024 FSC-klagomål.docx", "A 5884-2024")</f>
        <v/>
      </c>
      <c r="Z34">
        <f>HYPERLINK("https://klasma.github.io/Logging_0862/klagomålsmail/A 5884-2024 FSC-klagomål mail.docx", "A 5884-2024")</f>
        <v/>
      </c>
      <c r="AA34">
        <f>HYPERLINK("https://klasma.github.io/Logging_0862/tillsyn/A 5884-2024 tillsynsbegäran.docx", "A 5884-2024")</f>
        <v/>
      </c>
      <c r="AB34">
        <f>HYPERLINK("https://klasma.github.io/Logging_0862/tillsynsmail/A 5884-2024 tillsynsbegäran mail.docx", "A 5884-2024")</f>
        <v/>
      </c>
    </row>
    <row r="35" ht="15" customHeight="1">
      <c r="A35" t="inlineStr">
        <is>
          <t>A 38119-2023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46220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Åkerkål</t>
        </is>
      </c>
      <c r="V35">
        <f>HYPERLINK("https://klasma.github.io/Logging_0862/artfynd/A 38119-2023 artfynd.xlsx", "A 38119-2023")</f>
        <v/>
      </c>
      <c r="W35">
        <f>HYPERLINK("https://klasma.github.io/Logging_0862/kartor/A 38119-2023 karta.png", "A 38119-2023")</f>
        <v/>
      </c>
      <c r="Y35">
        <f>HYPERLINK("https://klasma.github.io/Logging_0862/klagomål/A 38119-2023 FSC-klagomål.docx", "A 38119-2023")</f>
        <v/>
      </c>
      <c r="Z35">
        <f>HYPERLINK("https://klasma.github.io/Logging_0862/klagomålsmail/A 38119-2023 FSC-klagomål mail.docx", "A 38119-2023")</f>
        <v/>
      </c>
      <c r="AA35">
        <f>HYPERLINK("https://klasma.github.io/Logging_0862/tillsyn/A 38119-2023 tillsynsbegäran.docx", "A 38119-2023")</f>
        <v/>
      </c>
      <c r="AB35">
        <f>HYPERLINK("https://klasma.github.io/Logging_0862/tillsynsmail/A 38119-2023 tillsynsbegäran mail.docx", "A 38119-2023")</f>
        <v/>
      </c>
    </row>
    <row r="36" ht="15" customHeight="1">
      <c r="A36" t="inlineStr">
        <is>
          <t>A 21846-2023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46220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Åkerkål</t>
        </is>
      </c>
      <c r="V36">
        <f>HYPERLINK("https://klasma.github.io/Logging_0862/artfynd/A 21846-2023 artfynd.xlsx", "A 21846-2023")</f>
        <v/>
      </c>
      <c r="W36">
        <f>HYPERLINK("https://klasma.github.io/Logging_0862/kartor/A 21846-2023 karta.png", "A 21846-2023")</f>
        <v/>
      </c>
      <c r="Y36">
        <f>HYPERLINK("https://klasma.github.io/Logging_0862/klagomål/A 21846-2023 FSC-klagomål.docx", "A 21846-2023")</f>
        <v/>
      </c>
      <c r="Z36">
        <f>HYPERLINK("https://klasma.github.io/Logging_0862/klagomålsmail/A 21846-2023 FSC-klagomål mail.docx", "A 21846-2023")</f>
        <v/>
      </c>
      <c r="AA36">
        <f>HYPERLINK("https://klasma.github.io/Logging_0862/tillsyn/A 21846-2023 tillsynsbegäran.docx", "A 21846-2023")</f>
        <v/>
      </c>
      <c r="AB36">
        <f>HYPERLINK("https://klasma.github.io/Logging_0862/tillsynsmail/A 21846-2023 tillsynsbegäran mail.docx", "A 21846-2023")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46220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Granspira</t>
        </is>
      </c>
      <c r="V37">
        <f>HYPERLINK("https://klasma.github.io/Logging_0862/artfynd/A 19763-2026 artfynd.xlsx", "A 19763-2026")</f>
        <v/>
      </c>
      <c r="W37">
        <f>HYPERLINK("https://klasma.github.io/Logging_0862/kartor/A 19763-2026 karta.png", "A 19763-2026")</f>
        <v/>
      </c>
      <c r="Y37">
        <f>HYPERLINK("https://klasma.github.io/Logging_0862/klagomål/A 19763-2026 FSC-klagomål.docx", "A 19763-2026")</f>
        <v/>
      </c>
      <c r="Z37">
        <f>HYPERLINK("https://klasma.github.io/Logging_0862/klagomålsmail/A 19763-2026 FSC-klagomål mail.docx", "A 19763-2026")</f>
        <v/>
      </c>
      <c r="AA37">
        <f>HYPERLINK("https://klasma.github.io/Logging_0862/tillsyn/A 19763-2026 tillsynsbegäran.docx", "A 19763-2026")</f>
        <v/>
      </c>
      <c r="AB37">
        <f>HYPERLINK("https://klasma.github.io/Logging_0862/tillsynsmail/A 19763-2026 tillsynsbegäran mail.docx", "A 19763-2026")</f>
        <v/>
      </c>
    </row>
    <row r="38" ht="15" customHeight="1">
      <c r="A38" t="inlineStr">
        <is>
          <t>A 54981-2025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45967</v>
      </c>
      <c r="E38" s="1" t="n">
        <v>46220</v>
      </c>
      <c r="F38" t="inlineStr">
        <is>
          <t>KALMAR LÄN</t>
        </is>
      </c>
      <c r="G38" t="inlineStr">
        <is>
          <t>EMMABODA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Älg</t>
        </is>
      </c>
      <c r="V38">
        <f>HYPERLINK("https://klasma.github.io/Logging_0862/artfynd/A 54981-2025 artfynd.xlsx", "A 54981-2025")</f>
        <v/>
      </c>
      <c r="W38">
        <f>HYPERLINK("https://klasma.github.io/Logging_0862/kartor/A 54981-2025 karta.png", "A 54981-2025")</f>
        <v/>
      </c>
      <c r="Y38">
        <f>HYPERLINK("https://klasma.github.io/Logging_0862/klagomål/A 54981-2025 FSC-klagomål.docx", "A 54981-2025")</f>
        <v/>
      </c>
      <c r="Z38">
        <f>HYPERLINK("https://klasma.github.io/Logging_0862/klagomålsmail/A 54981-2025 FSC-klagomål mail.docx", "A 54981-2025")</f>
        <v/>
      </c>
      <c r="AA38">
        <f>HYPERLINK("https://klasma.github.io/Logging_0862/tillsyn/A 54981-2025 tillsynsbegäran.docx", "A 54981-2025")</f>
        <v/>
      </c>
      <c r="AB38">
        <f>HYPERLINK("https://klasma.github.io/Logging_0862/tillsynsmail/A 54981-2025 tillsynsbegäran mail.docx", "A 54981-2025")</f>
        <v/>
      </c>
    </row>
    <row r="39" ht="15" customHeight="1">
      <c r="A39" t="inlineStr">
        <is>
          <t>A 18621-2025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46220</v>
      </c>
      <c r="F39" t="inlineStr">
        <is>
          <t>KALMAR LÄN</t>
        </is>
      </c>
      <c r="G39" t="inlineStr">
        <is>
          <t>EMMABODA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Pärluggla</t>
        </is>
      </c>
      <c r="V39">
        <f>HYPERLINK("https://klasma.github.io/Logging_0862/artfynd/A 18621-2025 artfynd.xlsx", "A 18621-2025")</f>
        <v/>
      </c>
      <c r="W39">
        <f>HYPERLINK("https://klasma.github.io/Logging_0862/kartor/A 18621-2025 karta.png", "A 18621-2025")</f>
        <v/>
      </c>
      <c r="Y39">
        <f>HYPERLINK("https://klasma.github.io/Logging_0862/klagomål/A 18621-2025 FSC-klagomål.docx", "A 18621-2025")</f>
        <v/>
      </c>
      <c r="Z39">
        <f>HYPERLINK("https://klasma.github.io/Logging_0862/klagomålsmail/A 18621-2025 FSC-klagomål mail.docx", "A 18621-2025")</f>
        <v/>
      </c>
      <c r="AA39">
        <f>HYPERLINK("https://klasma.github.io/Logging_0862/tillsyn/A 18621-2025 tillsynsbegäran.docx", "A 18621-2025")</f>
        <v/>
      </c>
      <c r="AB39">
        <f>HYPERLINK("https://klasma.github.io/Logging_0862/tillsynsmail/A 18621-2025 tillsynsbegäran mail.docx", "A 18621-2025")</f>
        <v/>
      </c>
      <c r="AC39">
        <f>HYPERLINK("https://klasma.github.io/Logging_0862/fåglar/A 18621-2025 prioriterade fågelarter.docx", "A 18621-2025")</f>
        <v/>
      </c>
    </row>
    <row r="40" ht="15" customHeight="1">
      <c r="A40" t="inlineStr">
        <is>
          <t>A 31226-2022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44771</v>
      </c>
      <c r="E40" s="1" t="n">
        <v>46220</v>
      </c>
      <c r="F40" t="inlineStr">
        <is>
          <t>KALMAR LÄN</t>
        </is>
      </c>
      <c r="G40" t="inlineStr">
        <is>
          <t>EMMABODA</t>
        </is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Lappuggla</t>
        </is>
      </c>
      <c r="V40">
        <f>HYPERLINK("https://klasma.github.io/Logging_0862/artfynd/A 31226-2022 artfynd.xlsx", "A 31226-2022")</f>
        <v/>
      </c>
      <c r="W40">
        <f>HYPERLINK("https://klasma.github.io/Logging_0862/kartor/A 31226-2022 karta.png", "A 31226-2022")</f>
        <v/>
      </c>
      <c r="Y40">
        <f>HYPERLINK("https://klasma.github.io/Logging_0862/klagomål/A 31226-2022 FSC-klagomål.docx", "A 31226-2022")</f>
        <v/>
      </c>
      <c r="Z40">
        <f>HYPERLINK("https://klasma.github.io/Logging_0862/klagomålsmail/A 31226-2022 FSC-klagomål mail.docx", "A 31226-2022")</f>
        <v/>
      </c>
      <c r="AA40">
        <f>HYPERLINK("https://klasma.github.io/Logging_0862/tillsyn/A 31226-2022 tillsynsbegäran.docx", "A 31226-2022")</f>
        <v/>
      </c>
      <c r="AB40">
        <f>HYPERLINK("https://klasma.github.io/Logging_0862/tillsynsmail/A 31226-2022 tillsynsbegäran mail.docx", "A 31226-2022")</f>
        <v/>
      </c>
      <c r="AC40">
        <f>HYPERLINK("https://klasma.github.io/Logging_0862/fåglar/A 31226-2022 prioriterade fågelarter.docx", "A 31226-2022")</f>
        <v/>
      </c>
    </row>
    <row r="41" ht="15" customHeight="1">
      <c r="A41" t="inlineStr">
        <is>
          <t>A 53370-2023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46220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Knärot</t>
        </is>
      </c>
      <c r="V41">
        <f>HYPERLINK("https://klasma.github.io/Logging_0862/artfynd/A 53370-2023 artfynd.xlsx", "A 53370-2023")</f>
        <v/>
      </c>
      <c r="W41">
        <f>HYPERLINK("https://klasma.github.io/Logging_0862/kartor/A 53370-2023 karta.png", "A 53370-2023")</f>
        <v/>
      </c>
      <c r="X41">
        <f>HYPERLINK("https://klasma.github.io/Logging_0862/knärot/A 53370-2023 karta knärot.png", "A 53370-2023")</f>
        <v/>
      </c>
      <c r="Y41">
        <f>HYPERLINK("https://klasma.github.io/Logging_0862/klagomål/A 53370-2023 FSC-klagomål.docx", "A 53370-2023")</f>
        <v/>
      </c>
      <c r="Z41">
        <f>HYPERLINK("https://klasma.github.io/Logging_0862/klagomålsmail/A 53370-2023 FSC-klagomål mail.docx", "A 53370-2023")</f>
        <v/>
      </c>
      <c r="AA41">
        <f>HYPERLINK("https://klasma.github.io/Logging_0862/tillsyn/A 53370-2023 tillsynsbegäran.docx", "A 53370-2023")</f>
        <v/>
      </c>
      <c r="AB41">
        <f>HYPERLINK("https://klasma.github.io/Logging_0862/tillsynsmail/A 53370-2023 tillsynsbegäran mail.docx", "A 53370-2023")</f>
        <v/>
      </c>
    </row>
    <row r="42" ht="15" customHeight="1">
      <c r="A42" t="inlineStr">
        <is>
          <t>A 29859-2023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46220</v>
      </c>
      <c r="F42" t="inlineStr">
        <is>
          <t>KALMAR LÄN</t>
        </is>
      </c>
      <c r="G42" t="inlineStr">
        <is>
          <t>EMMABODA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HYPERLINK("https://klasma.github.io/Logging_0862/artfynd/A 29859-2023 artfynd.xlsx", "A 29859-2023")</f>
        <v/>
      </c>
      <c r="W42">
        <f>HYPERLINK("https://klasma.github.io/Logging_0862/kartor/A 29859-2023 karta.png", "A 29859-2023")</f>
        <v/>
      </c>
      <c r="Y42">
        <f>HYPERLINK("https://klasma.github.io/Logging_0862/klagomål/A 29859-2023 FSC-klagomål.docx", "A 29859-2023")</f>
        <v/>
      </c>
      <c r="Z42">
        <f>HYPERLINK("https://klasma.github.io/Logging_0862/klagomålsmail/A 29859-2023 FSC-klagomål mail.docx", "A 29859-2023")</f>
        <v/>
      </c>
      <c r="AA42">
        <f>HYPERLINK("https://klasma.github.io/Logging_0862/tillsyn/A 29859-2023 tillsynsbegäran.docx", "A 29859-2023")</f>
        <v/>
      </c>
      <c r="AB42">
        <f>HYPERLINK("https://klasma.github.io/Logging_0862/tillsynsmail/A 29859-2023 tillsynsbegäran mail.docx", "A 29859-2023")</f>
        <v/>
      </c>
      <c r="AC42">
        <f>HYPERLINK("https://klasma.github.io/Logging_0862/fåglar/A 29859-2023 prioriterade fågelarter.docx", "A 29859-2023")</f>
        <v/>
      </c>
    </row>
    <row r="43" ht="15" customHeight="1">
      <c r="A43" t="inlineStr">
        <is>
          <t>A 60257-2021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44495</v>
      </c>
      <c r="E43" s="1" t="n">
        <v>46220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Knärot</t>
        </is>
      </c>
      <c r="V43">
        <f>HYPERLINK("https://klasma.github.io/Logging_0862/artfynd/A 60257-2021 artfynd.xlsx", "A 60257-2021")</f>
        <v/>
      </c>
      <c r="W43">
        <f>HYPERLINK("https://klasma.github.io/Logging_0862/kartor/A 60257-2021 karta.png", "A 60257-2021")</f>
        <v/>
      </c>
      <c r="X43">
        <f>HYPERLINK("https://klasma.github.io/Logging_0862/knärot/A 60257-2021 karta knärot.png", "A 60257-2021")</f>
        <v/>
      </c>
      <c r="Y43">
        <f>HYPERLINK("https://klasma.github.io/Logging_0862/klagomål/A 60257-2021 FSC-klagomål.docx", "A 60257-2021")</f>
        <v/>
      </c>
      <c r="Z43">
        <f>HYPERLINK("https://klasma.github.io/Logging_0862/klagomålsmail/A 60257-2021 FSC-klagomål mail.docx", "A 60257-2021")</f>
        <v/>
      </c>
      <c r="AA43">
        <f>HYPERLINK("https://klasma.github.io/Logging_0862/tillsyn/A 60257-2021 tillsynsbegäran.docx", "A 60257-2021")</f>
        <v/>
      </c>
      <c r="AB43">
        <f>HYPERLINK("https://klasma.github.io/Logging_0862/tillsynsmail/A 60257-2021 tillsynsbegäran mail.docx", "A 60257-2021")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46220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Mörk dunört</t>
        </is>
      </c>
      <c r="V44">
        <f>HYPERLINK("https://klasma.github.io/Logging_0862/artfynd/A 30949-2026 artfynd.xlsx", "A 30949-2026")</f>
        <v/>
      </c>
      <c r="W44">
        <f>HYPERLINK("https://klasma.github.io/Logging_0862/kartor/A 30949-2026 karta.png", "A 30949-2026")</f>
        <v/>
      </c>
      <c r="Y44">
        <f>HYPERLINK("https://klasma.github.io/Logging_0862/klagomål/A 30949-2026 FSC-klagomål.docx", "A 30949-2026")</f>
        <v/>
      </c>
      <c r="Z44">
        <f>HYPERLINK("https://klasma.github.io/Logging_0862/klagomålsmail/A 30949-2026 FSC-klagomål mail.docx", "A 30949-2026")</f>
        <v/>
      </c>
      <c r="AA44">
        <f>HYPERLINK("https://klasma.github.io/Logging_0862/tillsyn/A 30949-2026 tillsynsbegäran.docx", "A 30949-2026")</f>
        <v/>
      </c>
      <c r="AB44">
        <f>HYPERLINK("https://klasma.github.io/Logging_0862/tillsynsmail/A 30949-2026 tillsynsbegäran mail.docx", "A 30949-2026")</f>
        <v/>
      </c>
    </row>
    <row r="45" ht="15" customHeight="1">
      <c r="A45" t="inlineStr">
        <is>
          <t>A 31024-2026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46220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9</v>
      </c>
      <c r="U45" s="2" t="inlineStr">
        <is>
          <t>Ask</t>
        </is>
      </c>
      <c r="V45">
        <f>HYPERLINK("https://klasma.github.io/Logging_0862/artfynd/A 31024-2026 artfynd.xlsx", "A 31024-2026")</f>
        <v/>
      </c>
      <c r="W45">
        <f>HYPERLINK("https://klasma.github.io/Logging_0862/kartor/A 31024-2026 karta.png", "A 31024-2026")</f>
        <v/>
      </c>
      <c r="Y45">
        <f>HYPERLINK("https://klasma.github.io/Logging_0862/klagomål/A 31024-2026 FSC-klagomål.docx", "A 31024-2026")</f>
        <v/>
      </c>
      <c r="Z45">
        <f>HYPERLINK("https://klasma.github.io/Logging_0862/klagomålsmail/A 31024-2026 FSC-klagomål mail.docx", "A 31024-2026")</f>
        <v/>
      </c>
      <c r="AA45">
        <f>HYPERLINK("https://klasma.github.io/Logging_0862/tillsyn/A 31024-2026 tillsynsbegäran.docx", "A 31024-2026")</f>
        <v/>
      </c>
      <c r="AB45">
        <f>HYPERLINK("https://klasma.github.io/Logging_0862/tillsynsmail/A 31024-2026 tillsynsbegäran mail.docx", "A 31024-2026")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46220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Gröngöling</t>
        </is>
      </c>
      <c r="V46">
        <f>HYPERLINK("https://klasma.github.io/Logging_0862/artfynd/A 27416-2023 artfynd.xlsx", "A 27416-2023")</f>
        <v/>
      </c>
      <c r="W46">
        <f>HYPERLINK("https://klasma.github.io/Logging_0862/kartor/A 27416-2023 karta.png", "A 27416-2023")</f>
        <v/>
      </c>
      <c r="Y46">
        <f>HYPERLINK("https://klasma.github.io/Logging_0862/klagomål/A 27416-2023 FSC-klagomål.docx", "A 27416-2023")</f>
        <v/>
      </c>
      <c r="Z46">
        <f>HYPERLINK("https://klasma.github.io/Logging_0862/klagomålsmail/A 27416-2023 FSC-klagomål mail.docx", "A 27416-2023")</f>
        <v/>
      </c>
      <c r="AA46">
        <f>HYPERLINK("https://klasma.github.io/Logging_0862/tillsyn/A 27416-2023 tillsynsbegäran.docx", "A 27416-2023")</f>
        <v/>
      </c>
      <c r="AB46">
        <f>HYPERLINK("https://klasma.github.io/Logging_0862/tillsynsmail/A 27416-2023 tillsynsbegäran mail.docx", "A 27416-2023")</f>
        <v/>
      </c>
    </row>
    <row r="47" ht="15" customHeight="1">
      <c r="A47" t="inlineStr">
        <is>
          <t>A 31261-2026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46220</v>
      </c>
      <c r="F47" t="inlineStr">
        <is>
          <t>KALMAR LÄN</t>
        </is>
      </c>
      <c r="G47" t="inlineStr">
        <is>
          <t>EMMABODA</t>
        </is>
      </c>
      <c r="I47" t="n">
        <v>5.7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Stubbspretmossa</t>
        </is>
      </c>
      <c r="V47">
        <f>HYPERLINK("https://klasma.github.io/Logging_0862/artfynd/A 31261-2026 artfynd.xlsx", "A 31261-2026")</f>
        <v/>
      </c>
      <c r="W47">
        <f>HYPERLINK("https://klasma.github.io/Logging_0862/kartor/A 31261-2026 karta.png", "A 31261-2026")</f>
        <v/>
      </c>
      <c r="Y47">
        <f>HYPERLINK("https://klasma.github.io/Logging_0862/klagomål/A 31261-2026 FSC-klagomål.docx", "A 31261-2026")</f>
        <v/>
      </c>
      <c r="Z47">
        <f>HYPERLINK("https://klasma.github.io/Logging_0862/klagomålsmail/A 31261-2026 FSC-klagomål mail.docx", "A 31261-2026")</f>
        <v/>
      </c>
      <c r="AA47">
        <f>HYPERLINK("https://klasma.github.io/Logging_0862/tillsyn/A 31261-2026 tillsynsbegäran.docx", "A 31261-2026")</f>
        <v/>
      </c>
      <c r="AB47">
        <f>HYPERLINK("https://klasma.github.io/Logging_0862/tillsynsmail/A 31261-2026 tillsynsbegäran mail.docx", "A 31261-2026")</f>
        <v/>
      </c>
    </row>
    <row r="48" ht="15" customHeight="1">
      <c r="A48" t="inlineStr">
        <is>
          <t>A 58297-2021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44488</v>
      </c>
      <c r="E48" s="1" t="n">
        <v>46220</v>
      </c>
      <c r="F48" t="inlineStr">
        <is>
          <t>KALMAR LÄN</t>
        </is>
      </c>
      <c r="G48" t="inlineStr">
        <is>
          <t>EMMABODA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Åkerkål</t>
        </is>
      </c>
      <c r="V48">
        <f>HYPERLINK("https://klasma.github.io/Logging_0862/artfynd/A 58297-2021 artfynd.xlsx", "A 58297-2021")</f>
        <v/>
      </c>
      <c r="W48">
        <f>HYPERLINK("https://klasma.github.io/Logging_0862/kartor/A 58297-2021 karta.png", "A 58297-2021")</f>
        <v/>
      </c>
      <c r="Y48">
        <f>HYPERLINK("https://klasma.github.io/Logging_0862/klagomål/A 58297-2021 FSC-klagomål.docx", "A 58297-2021")</f>
        <v/>
      </c>
      <c r="Z48">
        <f>HYPERLINK("https://klasma.github.io/Logging_0862/klagomålsmail/A 58297-2021 FSC-klagomål mail.docx", "A 58297-2021")</f>
        <v/>
      </c>
      <c r="AA48">
        <f>HYPERLINK("https://klasma.github.io/Logging_0862/tillsyn/A 58297-2021 tillsynsbegäran.docx", "A 58297-2021")</f>
        <v/>
      </c>
      <c r="AB48">
        <f>HYPERLINK("https://klasma.github.io/Logging_0862/tillsynsmail/A 58297-2021 tillsynsbegäran mail.docx", "A 58297-2021")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46220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Blåmossa</t>
        </is>
      </c>
      <c r="V49">
        <f>HYPERLINK("https://klasma.github.io/Logging_0862/artfynd/A 58883-2022 artfynd.xlsx", "A 58883-2022")</f>
        <v/>
      </c>
      <c r="W49">
        <f>HYPERLINK("https://klasma.github.io/Logging_0862/kartor/A 58883-2022 karta.png", "A 58883-2022")</f>
        <v/>
      </c>
      <c r="Y49">
        <f>HYPERLINK("https://klasma.github.io/Logging_0862/klagomål/A 58883-2022 FSC-klagomål.docx", "A 58883-2022")</f>
        <v/>
      </c>
      <c r="Z49">
        <f>HYPERLINK("https://klasma.github.io/Logging_0862/klagomålsmail/A 58883-2022 FSC-klagomål mail.docx", "A 58883-2022")</f>
        <v/>
      </c>
      <c r="AA49">
        <f>HYPERLINK("https://klasma.github.io/Logging_0862/tillsyn/A 58883-2022 tillsynsbegäran.docx", "A 58883-2022")</f>
        <v/>
      </c>
      <c r="AB49">
        <f>HYPERLINK("https://klasma.github.io/Logging_0862/tillsynsmail/A 58883-2022 tillsynsbegäran mail.docx", "A 58883-2022")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46220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Trubbdaggkåpa</t>
        </is>
      </c>
      <c r="V50">
        <f>HYPERLINK("https://klasma.github.io/Logging_0862/artfynd/S 2956-2024 artfynd.xlsx", "S 2956-2024")</f>
        <v/>
      </c>
      <c r="W50">
        <f>HYPERLINK("https://klasma.github.io/Logging_0862/kartor/S 2956-2024 karta.png", "S 2956-2024")</f>
        <v/>
      </c>
      <c r="Y50">
        <f>HYPERLINK("https://klasma.github.io/Logging_0862/klagomål/S 2956-2024 FSC-klagomål.docx", "S 2956-2024")</f>
        <v/>
      </c>
      <c r="Z50">
        <f>HYPERLINK("https://klasma.github.io/Logging_0862/klagomålsmail/S 2956-2024 FSC-klagomål mail.docx", "S 2956-2024")</f>
        <v/>
      </c>
      <c r="AA50">
        <f>HYPERLINK("https://klasma.github.io/Logging_0862/tillsyn/S 2956-2024 tillsynsbegäran.docx", "S 2956-2024")</f>
        <v/>
      </c>
      <c r="AB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46220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Spillkråka</t>
        </is>
      </c>
      <c r="V51">
        <f>HYPERLINK("https://klasma.github.io/Logging_0862/artfynd/S 1032-2024 artfynd.xlsx", "S 1032-2024")</f>
        <v/>
      </c>
      <c r="W51">
        <f>HYPERLINK("https://klasma.github.io/Logging_0862/kartor/S 1032-2024 karta.png", "S 1032-2024")</f>
        <v/>
      </c>
      <c r="Y51">
        <f>HYPERLINK("https://klasma.github.io/Logging_0862/klagomål/S 1032-2024 FSC-klagomål.docx", "S 1032-2024")</f>
        <v/>
      </c>
      <c r="Z51">
        <f>HYPERLINK("https://klasma.github.io/Logging_0862/klagomålsmail/S 1032-2024 FSC-klagomål mail.docx", "S 1032-2024")</f>
        <v/>
      </c>
      <c r="AA51">
        <f>HYPERLINK("https://klasma.github.io/Logging_0862/tillsyn/S 1032-2024 tillsynsbegäran.docx", "S 1032-2024")</f>
        <v/>
      </c>
      <c r="AB51">
        <f>HYPERLINK("https://klasma.github.io/Logging_0862/tillsynsmail/S 1032-2024 tillsynsbegäran mail.docx", "S 1032-2024")</f>
        <v/>
      </c>
      <c r="AC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46220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Revig blodrot</t>
        </is>
      </c>
      <c r="V52">
        <f>HYPERLINK("https://klasma.github.io/Logging_0862/artfynd/S 523-2022 artfynd.xlsx", "S 523-2022")</f>
        <v/>
      </c>
      <c r="W52">
        <f>HYPERLINK("https://klasma.github.io/Logging_0862/kartor/S 523-2022 karta.png", "S 523-2022")</f>
        <v/>
      </c>
      <c r="Y52">
        <f>HYPERLINK("https://klasma.github.io/Logging_0862/klagomål/S 523-2022 FSC-klagomål.docx", "S 523-2022")</f>
        <v/>
      </c>
      <c r="Z52">
        <f>HYPERLINK("https://klasma.github.io/Logging_0862/klagomålsmail/S 523-2022 FSC-klagomål mail.docx", "S 523-2022")</f>
        <v/>
      </c>
      <c r="AA52">
        <f>HYPERLINK("https://klasma.github.io/Logging_0862/tillsyn/S 523-2022 tillsynsbegäran.docx", "S 523-2022")</f>
        <v/>
      </c>
      <c r="AB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46220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HYPERLINK("https://klasma.github.io/Logging_0862/artfynd/S 4798-2024 artfynd.xlsx", "S 4798-2024")</f>
        <v/>
      </c>
      <c r="W53">
        <f>HYPERLINK("https://klasma.github.io/Logging_0862/kartor/S 4798-2024 karta.png", "S 4798-2024")</f>
        <v/>
      </c>
      <c r="Y53">
        <f>HYPERLINK("https://klasma.github.io/Logging_0862/klagomål/S 4798-2024 FSC-klagomål.docx", "S 4798-2024")</f>
        <v/>
      </c>
      <c r="Z53">
        <f>HYPERLINK("https://klasma.github.io/Logging_0862/klagomålsmail/S 4798-2024 FSC-klagomål mail.docx", "S 4798-2024")</f>
        <v/>
      </c>
      <c r="AA53">
        <f>HYPERLINK("https://klasma.github.io/Logging_0862/tillsyn/S 4798-2024 tillsynsbegäran.docx", "S 4798-2024")</f>
        <v/>
      </c>
      <c r="AB53">
        <f>HYPERLINK("https://klasma.github.io/Logging_0862/tillsynsmail/S 4798-2024 tillsynsbegäran mail.docx", "S 4798-2024")</f>
        <v/>
      </c>
      <c r="AC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46220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Knärot</t>
        </is>
      </c>
      <c r="V54">
        <f>HYPERLINK("https://klasma.github.io/Logging_0862/artfynd/S 362-2024 artfynd.xlsx", "S 362-2024")</f>
        <v/>
      </c>
      <c r="W54">
        <f>HYPERLINK("https://klasma.github.io/Logging_0862/kartor/S 362-2024 karta.png", "S 362-2024")</f>
        <v/>
      </c>
      <c r="X54">
        <f>HYPERLINK("https://klasma.github.io/Logging_0862/knärot/S 362-2024 karta knärot.png", "S 362-2024")</f>
        <v/>
      </c>
      <c r="Y54">
        <f>HYPERLINK("https://klasma.github.io/Logging_0862/klagomål/S 362-2024 FSC-klagomål.docx", "S 362-2024")</f>
        <v/>
      </c>
      <c r="Z54">
        <f>HYPERLINK("https://klasma.github.io/Logging_0862/klagomålsmail/S 362-2024 FSC-klagomål mail.docx", "S 362-2024")</f>
        <v/>
      </c>
      <c r="AA54">
        <f>HYPERLINK("https://klasma.github.io/Logging_0862/tillsyn/S 362-2024 tillsynsbegäran.docx", "S 362-2024")</f>
        <v/>
      </c>
      <c r="AB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46220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HYPERLINK("https://klasma.github.io/Logging_0862/artfynd/S 5807-2022 artfynd.xlsx", "S 5807-2022")</f>
        <v/>
      </c>
      <c r="W55">
        <f>HYPERLINK("https://klasma.github.io/Logging_0862/kartor/S 5807-2022 karta.png", "S 5807-2022")</f>
        <v/>
      </c>
      <c r="Y55">
        <f>HYPERLINK("https://klasma.github.io/Logging_0862/klagomål/S 5807-2022 FSC-klagomål.docx", "S 5807-2022")</f>
        <v/>
      </c>
      <c r="Z55">
        <f>HYPERLINK("https://klasma.github.io/Logging_0862/klagomålsmail/S 5807-2022 FSC-klagomål mail.docx", "S 5807-2022")</f>
        <v/>
      </c>
      <c r="AA55">
        <f>HYPERLINK("https://klasma.github.io/Logging_0862/tillsyn/S 5807-2022 tillsynsbegäran.docx", "S 5807-2022")</f>
        <v/>
      </c>
      <c r="AB55">
        <f>HYPERLINK("https://klasma.github.io/Logging_0862/tillsynsmail/S 5807-2022 tillsynsbegäran mail.docx", "S 5807-2022")</f>
        <v/>
      </c>
      <c r="AC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46220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Åkerkulla</t>
        </is>
      </c>
      <c r="V56">
        <f>HYPERLINK("https://klasma.github.io/Logging_0862/artfynd/S 1924-2024 artfynd.xlsx", "S 1924-2024")</f>
        <v/>
      </c>
      <c r="W56">
        <f>HYPERLINK("https://klasma.github.io/Logging_0862/kartor/S 1924-2024 karta.png", "S 1924-2024")</f>
        <v/>
      </c>
      <c r="Y56">
        <f>HYPERLINK("https://klasma.github.io/Logging_0862/klagomål/S 1924-2024 FSC-klagomål.docx", "S 1924-2024")</f>
        <v/>
      </c>
      <c r="Z56">
        <f>HYPERLINK("https://klasma.github.io/Logging_0862/klagomålsmail/S 1924-2024 FSC-klagomål mail.docx", "S 1924-2024")</f>
        <v/>
      </c>
      <c r="AA56">
        <f>HYPERLINK("https://klasma.github.io/Logging_0862/tillsyn/S 1924-2024 tillsynsbegäran.docx", "S 1924-2024")</f>
        <v/>
      </c>
      <c r="AB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46220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Slåttergubbe</t>
        </is>
      </c>
      <c r="V57">
        <f>HYPERLINK("https://klasma.github.io/Logging_0862/artfynd/S 2684-2023 artfynd.xlsx", "S 2684-2023")</f>
        <v/>
      </c>
      <c r="W57">
        <f>HYPERLINK("https://klasma.github.io/Logging_0862/kartor/S 2684-2023 karta.png", "S 2684-2023")</f>
        <v/>
      </c>
      <c r="Y57">
        <f>HYPERLINK("https://klasma.github.io/Logging_0862/klagomål/S 2684-2023 FSC-klagomål.docx", "S 2684-2023")</f>
        <v/>
      </c>
      <c r="Z57">
        <f>HYPERLINK("https://klasma.github.io/Logging_0862/klagomålsmail/S 2684-2023 FSC-klagomål mail.docx", "S 2684-2023")</f>
        <v/>
      </c>
      <c r="AA57">
        <f>HYPERLINK("https://klasma.github.io/Logging_0862/tillsyn/S 2684-2023 tillsynsbegäran.docx", "S 2684-2023")</f>
        <v/>
      </c>
      <c r="AB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46220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Grön sköldmossa</t>
        </is>
      </c>
      <c r="V58">
        <f>HYPERLINK("https://klasma.github.io/Logging_0862/artfynd/S 1009-2024 artfynd.xlsx", "S 1009-2024")</f>
        <v/>
      </c>
      <c r="W58">
        <f>HYPERLINK("https://klasma.github.io/Logging_0862/kartor/S 1009-2024 karta.png", "S 1009-2024")</f>
        <v/>
      </c>
      <c r="Y58">
        <f>HYPERLINK("https://klasma.github.io/Logging_0862/klagomål/S 1009-2024 FSC-klagomål.docx", "S 1009-2024")</f>
        <v/>
      </c>
      <c r="Z58">
        <f>HYPERLINK("https://klasma.github.io/Logging_0862/klagomålsmail/S 1009-2024 FSC-klagomål mail.docx", "S 1009-2024")</f>
        <v/>
      </c>
      <c r="AA58">
        <f>HYPERLINK("https://klasma.github.io/Logging_0862/tillsyn/S 1009-2024 tillsynsbegäran.docx", "S 1009-2024")</f>
        <v/>
      </c>
      <c r="AB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46220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Trädlärka</t>
        </is>
      </c>
      <c r="V59">
        <f>HYPERLINK("https://klasma.github.io/Logging_0862/artfynd/S 272-2025 artfynd.xlsx", "S 272-2025")</f>
        <v/>
      </c>
      <c r="W59">
        <f>HYPERLINK("https://klasma.github.io/Logging_0862/kartor/S 272-2025 karta.png", "S 272-2025")</f>
        <v/>
      </c>
      <c r="Y59">
        <f>HYPERLINK("https://klasma.github.io/Logging_0862/klagomål/S 272-2025 FSC-klagomål.docx", "S 272-2025")</f>
        <v/>
      </c>
      <c r="Z59">
        <f>HYPERLINK("https://klasma.github.io/Logging_0862/klagomålsmail/S 272-2025 FSC-klagomål mail.docx", "S 272-2025")</f>
        <v/>
      </c>
      <c r="AA59">
        <f>HYPERLINK("https://klasma.github.io/Logging_0862/tillsyn/S 272-2025 tillsynsbegäran.docx", "S 272-2025")</f>
        <v/>
      </c>
      <c r="AB59">
        <f>HYPERLINK("https://klasma.github.io/Logging_0862/tillsynsmail/S 272-2025 tillsynsbegäran mail.docx", "S 272-2025")</f>
        <v/>
      </c>
      <c r="AC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46220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Lappuggla</t>
        </is>
      </c>
      <c r="V60">
        <f>HYPERLINK("https://klasma.github.io/Logging_0862/artfynd/S 1773-2025 artfynd.xlsx", "S 1773-2025")</f>
        <v/>
      </c>
      <c r="W60">
        <f>HYPERLINK("https://klasma.github.io/Logging_0862/kartor/S 1773-2025 karta.png", "S 1773-2025")</f>
        <v/>
      </c>
      <c r="Y60">
        <f>HYPERLINK("https://klasma.github.io/Logging_0862/klagomål/S 1773-2025 FSC-klagomål.docx", "S 1773-2025")</f>
        <v/>
      </c>
      <c r="Z60">
        <f>HYPERLINK("https://klasma.github.io/Logging_0862/klagomålsmail/S 1773-2025 FSC-klagomål mail.docx", "S 1773-2025")</f>
        <v/>
      </c>
      <c r="AA60">
        <f>HYPERLINK("https://klasma.github.io/Logging_0862/tillsyn/S 1773-2025 tillsynsbegäran.docx", "S 1773-2025")</f>
        <v/>
      </c>
      <c r="AB60">
        <f>HYPERLINK("https://klasma.github.io/Logging_0862/tillsynsmail/S 1773-2025 tillsynsbegäran mail.docx", "S 1773-2025")</f>
        <v/>
      </c>
      <c r="AC60">
        <f>HYPERLINK("https://klasma.github.io/Logging_0862/fåglar/S 1773-2025 prioriterade fågelarter.docx", "S 1773-2025")</f>
        <v/>
      </c>
    </row>
    <row r="61" ht="15" customHeight="1">
      <c r="A61" t="inlineStr">
        <is>
          <t>A 38102-2021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44405</v>
      </c>
      <c r="E61" s="1" t="n">
        <v>46220</v>
      </c>
      <c r="F61" t="inlineStr">
        <is>
          <t>KALMAR LÄN</t>
        </is>
      </c>
      <c r="G61" t="inlineStr">
        <is>
          <t>EMMABODA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46220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46220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46220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38096-2021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44405</v>
      </c>
      <c r="E65" s="1" t="n">
        <v>46220</v>
      </c>
      <c r="F65" t="inlineStr">
        <is>
          <t>KALMAR LÄN</t>
        </is>
      </c>
      <c r="G65" t="inlineStr">
        <is>
          <t>EMMABODA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46220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46220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46220</v>
      </c>
      <c r="F68" t="inlineStr">
        <is>
          <t>KALMAR LÄN</t>
        </is>
      </c>
      <c r="G68" t="inlineStr">
        <is>
          <t>EMMABODA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68897-2021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46220</v>
      </c>
      <c r="F69" t="inlineStr">
        <is>
          <t>KALMAR LÄN</t>
        </is>
      </c>
      <c r="G69" t="inlineStr">
        <is>
          <t>EMMABODA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49471-2021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46220</v>
      </c>
      <c r="F70" t="inlineStr">
        <is>
          <t>KALMAR LÄN</t>
        </is>
      </c>
      <c r="G70" t="inlineStr">
        <is>
          <t>EMMABODA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49304-2021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46220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68509-2021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46220</v>
      </c>
      <c r="F72" t="inlineStr">
        <is>
          <t>KALMAR LÄN</t>
        </is>
      </c>
      <c r="G72" t="inlineStr">
        <is>
          <t>EMMABODA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59012-2021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44490</v>
      </c>
      <c r="E73" s="1" t="n">
        <v>46220</v>
      </c>
      <c r="F73" t="inlineStr">
        <is>
          <t>KALMAR LÄN</t>
        </is>
      </c>
      <c r="G73" t="inlineStr">
        <is>
          <t>EMMABODA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44601</v>
      </c>
      <c r="E74" s="1" t="n">
        <v>46220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45804-2021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44441</v>
      </c>
      <c r="E75" s="1" t="n">
        <v>46220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58463-2021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46220</v>
      </c>
      <c r="F76" t="inlineStr">
        <is>
          <t>KALMAR LÄN</t>
        </is>
      </c>
      <c r="G76" t="inlineStr">
        <is>
          <t>EMMABODA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6298-2022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46220</v>
      </c>
      <c r="F77" t="inlineStr">
        <is>
          <t>KALMAR LÄN</t>
        </is>
      </c>
      <c r="G77" t="inlineStr">
        <is>
          <t>EMMABODA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42891-2021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46220</v>
      </c>
      <c r="F78" t="inlineStr">
        <is>
          <t>KALMAR LÄN</t>
        </is>
      </c>
      <c r="G78" t="inlineStr">
        <is>
          <t>EMMABODA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63189-2021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46220</v>
      </c>
      <c r="F79" t="inlineStr">
        <is>
          <t>KALMAR LÄN</t>
        </is>
      </c>
      <c r="G79" t="inlineStr">
        <is>
          <t>EMMABODA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63193-2021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46220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63194-2021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44507</v>
      </c>
      <c r="E81" s="1" t="n">
        <v>46220</v>
      </c>
      <c r="F81" t="inlineStr">
        <is>
          <t>KALMAR LÄN</t>
        </is>
      </c>
      <c r="G81" t="inlineStr">
        <is>
          <t>EMMABODA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39565-2021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46220</v>
      </c>
      <c r="F82" t="inlineStr">
        <is>
          <t>KALMAR LÄN</t>
        </is>
      </c>
      <c r="G82" t="inlineStr">
        <is>
          <t>EMMABODA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39567-2021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44416</v>
      </c>
      <c r="E83" s="1" t="n">
        <v>46220</v>
      </c>
      <c r="F83" t="inlineStr">
        <is>
          <t>KALMAR LÄN</t>
        </is>
      </c>
      <c r="G83" t="inlineStr">
        <is>
          <t>EMMABODA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46312-2021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44442</v>
      </c>
      <c r="E84" s="1" t="n">
        <v>46220</v>
      </c>
      <c r="F84" t="inlineStr">
        <is>
          <t>KALMAR LÄN</t>
        </is>
      </c>
      <c r="G84" t="inlineStr">
        <is>
          <t>EMMABODA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46220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44691</v>
      </c>
      <c r="E86" s="1" t="n">
        <v>46220</v>
      </c>
      <c r="F86" t="inlineStr">
        <is>
          <t>KALMAR LÄN</t>
        </is>
      </c>
      <c r="G86" t="inlineStr">
        <is>
          <t>EMMABODA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10954-2022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46220</v>
      </c>
      <c r="F87" t="inlineStr">
        <is>
          <t>KALMAR LÄN</t>
        </is>
      </c>
      <c r="G87" t="inlineStr">
        <is>
          <t>EMMABODA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24984-2022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44728</v>
      </c>
      <c r="E88" s="1" t="n">
        <v>46220</v>
      </c>
      <c r="F88" t="inlineStr">
        <is>
          <t>KALMAR LÄN</t>
        </is>
      </c>
      <c r="G88" t="inlineStr">
        <is>
          <t>EMMABODA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62735-2021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46220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65141-2021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46220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46721-2022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46220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49159-2022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44860</v>
      </c>
      <c r="E92" s="1" t="n">
        <v>46220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51853-2021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46220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13518-2022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44648</v>
      </c>
      <c r="E94" s="1" t="n">
        <v>46220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67184-2021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46220</v>
      </c>
      <c r="F95" t="inlineStr">
        <is>
          <t>KALMAR LÄN</t>
        </is>
      </c>
      <c r="G95" t="inlineStr">
        <is>
          <t>EMMABODA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10962-2022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44628</v>
      </c>
      <c r="E96" s="1" t="n">
        <v>46220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33452-2022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44788</v>
      </c>
      <c r="E97" s="1" t="n">
        <v>46220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39557-2021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44416</v>
      </c>
      <c r="E98" s="1" t="n">
        <v>46220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44405</v>
      </c>
      <c r="E99" s="1" t="n">
        <v>46220</v>
      </c>
      <c r="F99" t="inlineStr">
        <is>
          <t>KALMAR LÄN</t>
        </is>
      </c>
      <c r="G99" t="inlineStr">
        <is>
          <t>EMMABODA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10736-2022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46220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46220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46220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46220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46220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46220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46220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46220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46220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46220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46220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46220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46220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46220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46220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46220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58126-2021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44487</v>
      </c>
      <c r="E116" s="1" t="n">
        <v>46220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38146-2021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46220</v>
      </c>
      <c r="F117" t="inlineStr">
        <is>
          <t>KALMAR LÄN</t>
        </is>
      </c>
      <c r="G117" t="inlineStr">
        <is>
          <t>EMMABODA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38147-2021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44405</v>
      </c>
      <c r="E118" s="1" t="n">
        <v>46220</v>
      </c>
      <c r="F118" t="inlineStr">
        <is>
          <t>KALMAR LÄN</t>
        </is>
      </c>
      <c r="G118" t="inlineStr">
        <is>
          <t>EMMABODA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46220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10960-2022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46220</v>
      </c>
      <c r="F120" t="inlineStr">
        <is>
          <t>KALMAR LÄN</t>
        </is>
      </c>
      <c r="G120" t="inlineStr">
        <is>
          <t>EMMABODA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6347-2022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46220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46220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46220</v>
      </c>
      <c r="F123" t="inlineStr">
        <is>
          <t>KALMAR LÄN</t>
        </is>
      </c>
      <c r="G123" t="inlineStr">
        <is>
          <t>EMMABODA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61590-2021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46220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46220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46220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46220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46220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22189-2022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46220</v>
      </c>
      <c r="F129" t="inlineStr">
        <is>
          <t>KALMAR LÄN</t>
        </is>
      </c>
      <c r="G129" t="inlineStr">
        <is>
          <t>EMMABODA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67653-2021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44524</v>
      </c>
      <c r="E130" s="1" t="n">
        <v>46220</v>
      </c>
      <c r="F130" t="inlineStr">
        <is>
          <t>KALMAR LÄN</t>
        </is>
      </c>
      <c r="G130" t="inlineStr">
        <is>
          <t>EMMABODA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46220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46220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46220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46220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46220</v>
      </c>
      <c r="F135" t="inlineStr">
        <is>
          <t>KALMAR LÄN</t>
        </is>
      </c>
      <c r="G135" t="inlineStr">
        <is>
          <t>EMMABODA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14381-2022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44652</v>
      </c>
      <c r="E136" s="1" t="n">
        <v>46220</v>
      </c>
      <c r="F136" t="inlineStr">
        <is>
          <t>KALMAR LÄN</t>
        </is>
      </c>
      <c r="G136" t="inlineStr">
        <is>
          <t>EMMABODA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46220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46220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46220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46220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46220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46220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46220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46220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46220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24268-2022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46220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44600</v>
      </c>
      <c r="E147" s="1" t="n">
        <v>46220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42961-2021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44431</v>
      </c>
      <c r="E148" s="1" t="n">
        <v>46220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46220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46220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46220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9246-2023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44980</v>
      </c>
      <c r="E152" s="1" t="n">
        <v>46220</v>
      </c>
      <c r="F152" t="inlineStr">
        <is>
          <t>KALMAR LÄN</t>
        </is>
      </c>
      <c r="G152" t="inlineStr">
        <is>
          <t>EMMABODA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33457-2022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46220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22150-2024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45445</v>
      </c>
      <c r="E154" s="1" t="n">
        <v>46220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14670-2024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46220</v>
      </c>
      <c r="F155" t="inlineStr">
        <is>
          <t>KALMAR LÄN</t>
        </is>
      </c>
      <c r="G155" t="inlineStr">
        <is>
          <t>EMMABODA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44690</v>
      </c>
      <c r="E156" s="1" t="n">
        <v>46220</v>
      </c>
      <c r="F156" t="inlineStr">
        <is>
          <t>KALMAR LÄN</t>
        </is>
      </c>
      <c r="G156" t="inlineStr">
        <is>
          <t>EMMABODA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24228-2023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45079</v>
      </c>
      <c r="E157" s="1" t="n">
        <v>46220</v>
      </c>
      <c r="F157" t="inlineStr">
        <is>
          <t>KALMAR LÄN</t>
        </is>
      </c>
      <c r="G157" t="inlineStr">
        <is>
          <t>EMMABODA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46220</v>
      </c>
      <c r="F158" t="inlineStr">
        <is>
          <t>KALMAR LÄN</t>
        </is>
      </c>
      <c r="G158" t="inlineStr">
        <is>
          <t>EMMABODA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46220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25417-2023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46220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58689-2023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46220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58156-2021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44487</v>
      </c>
      <c r="E162" s="1" t="n">
        <v>46220</v>
      </c>
      <c r="F162" t="inlineStr">
        <is>
          <t>KALMAR LÄN</t>
        </is>
      </c>
      <c r="G162" t="inlineStr">
        <is>
          <t>EMMABODA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48352-2024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45590</v>
      </c>
      <c r="E163" s="1" t="n">
        <v>46220</v>
      </c>
      <c r="F163" t="inlineStr">
        <is>
          <t>KALMAR LÄN</t>
        </is>
      </c>
      <c r="G163" t="inlineStr">
        <is>
          <t>EMMABODA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17975-2023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46220</v>
      </c>
      <c r="F164" t="inlineStr">
        <is>
          <t>KALMAR LÄN</t>
        </is>
      </c>
      <c r="G164" t="inlineStr">
        <is>
          <t>EMMABODA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16805-2024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46220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28295-2023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46220</v>
      </c>
      <c r="F166" t="inlineStr">
        <is>
          <t>KALMAR LÄN</t>
        </is>
      </c>
      <c r="G166" t="inlineStr">
        <is>
          <t>EMMABODA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45060-2023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45191</v>
      </c>
      <c r="E167" s="1" t="n">
        <v>46220</v>
      </c>
      <c r="F167" t="inlineStr">
        <is>
          <t>KALMAR LÄN</t>
        </is>
      </c>
      <c r="G167" t="inlineStr">
        <is>
          <t>EMMABODA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51649-2024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45606</v>
      </c>
      <c r="E168" s="1" t="n">
        <v>46220</v>
      </c>
      <c r="F168" t="inlineStr">
        <is>
          <t>KALMAR LÄN</t>
        </is>
      </c>
      <c r="G168" t="inlineStr">
        <is>
          <t>EMMABODA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33052-2023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45126</v>
      </c>
      <c r="E169" s="1" t="n">
        <v>46220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14083-2024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45392</v>
      </c>
      <c r="E170" s="1" t="n">
        <v>46220</v>
      </c>
      <c r="F170" t="inlineStr">
        <is>
          <t>KALMAR LÄN</t>
        </is>
      </c>
      <c r="G170" t="inlineStr">
        <is>
          <t>EMMABODA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15960-2023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45022</v>
      </c>
      <c r="E171" s="1" t="n">
        <v>46220</v>
      </c>
      <c r="F171" t="inlineStr">
        <is>
          <t>KALMAR LÄN</t>
        </is>
      </c>
      <c r="G171" t="inlineStr">
        <is>
          <t>EMMABODA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15962-2023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45022</v>
      </c>
      <c r="E172" s="1" t="n">
        <v>46220</v>
      </c>
      <c r="F172" t="inlineStr">
        <is>
          <t>KALMAR LÄN</t>
        </is>
      </c>
      <c r="G172" t="inlineStr">
        <is>
          <t>EMMABODA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43746-2023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45187</v>
      </c>
      <c r="E173" s="1" t="n">
        <v>46220</v>
      </c>
      <c r="F173" t="inlineStr">
        <is>
          <t>KALMAR LÄN</t>
        </is>
      </c>
      <c r="G173" t="inlineStr">
        <is>
          <t>EMMABODA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37637-2023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46220</v>
      </c>
      <c r="F174" t="inlineStr">
        <is>
          <t>KALMAR LÄN</t>
        </is>
      </c>
      <c r="G174" t="inlineStr">
        <is>
          <t>EMMABODA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14377-2022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44652</v>
      </c>
      <c r="E175" s="1" t="n">
        <v>46220</v>
      </c>
      <c r="F175" t="inlineStr">
        <is>
          <t>KALMAR LÄN</t>
        </is>
      </c>
      <c r="G175" t="inlineStr">
        <is>
          <t>EMMABODA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51135-2023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45219</v>
      </c>
      <c r="E176" s="1" t="n">
        <v>46220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59227-2024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46220</v>
      </c>
      <c r="F177" t="inlineStr">
        <is>
          <t>KALMAR LÄN</t>
        </is>
      </c>
      <c r="G177" t="inlineStr">
        <is>
          <t>EMMABODA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55174-2023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45237</v>
      </c>
      <c r="E178" s="1" t="n">
        <v>46220</v>
      </c>
      <c r="F178" t="inlineStr">
        <is>
          <t>KALMAR LÄN</t>
        </is>
      </c>
      <c r="G178" t="inlineStr">
        <is>
          <t>EMMABODA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19395-2023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45049</v>
      </c>
      <c r="E179" s="1" t="n">
        <v>46220</v>
      </c>
      <c r="F179" t="inlineStr">
        <is>
          <t>KALMAR LÄN</t>
        </is>
      </c>
      <c r="G179" t="inlineStr">
        <is>
          <t>EMMABODA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53686-2023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45230</v>
      </c>
      <c r="E180" s="1" t="n">
        <v>46220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8002-2023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46220</v>
      </c>
      <c r="F181" t="inlineStr">
        <is>
          <t>KALMAR LÄN</t>
        </is>
      </c>
      <c r="G181" t="inlineStr">
        <is>
          <t>EMMABODA</t>
        </is>
      </c>
      <c r="H181" t="inlineStr">
        <is>
          <t>Kommuner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27551-2024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45474</v>
      </c>
      <c r="E182" s="1" t="n">
        <v>46220</v>
      </c>
      <c r="F182" t="inlineStr">
        <is>
          <t>KALMAR LÄN</t>
        </is>
      </c>
      <c r="G182" t="inlineStr">
        <is>
          <t>EMMABODA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66658-2021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44519</v>
      </c>
      <c r="E183" s="1" t="n">
        <v>46220</v>
      </c>
      <c r="F183" t="inlineStr">
        <is>
          <t>KALMAR LÄN</t>
        </is>
      </c>
      <c r="G183" t="inlineStr">
        <is>
          <t>EMMABODA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1172-2022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44572</v>
      </c>
      <c r="E184" s="1" t="n">
        <v>46220</v>
      </c>
      <c r="F184" t="inlineStr">
        <is>
          <t>KALMAR LÄN</t>
        </is>
      </c>
      <c r="G184" t="inlineStr">
        <is>
          <t>EMMABODA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14079-2024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45392</v>
      </c>
      <c r="E185" s="1" t="n">
        <v>46220</v>
      </c>
      <c r="F185" t="inlineStr">
        <is>
          <t>KALMAR LÄN</t>
        </is>
      </c>
      <c r="G185" t="inlineStr">
        <is>
          <t>EMMABODA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6535-2024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46220</v>
      </c>
      <c r="F186" t="inlineStr">
        <is>
          <t>KALMAR LÄN</t>
        </is>
      </c>
      <c r="G186" t="inlineStr">
        <is>
          <t>EMMABODA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15410-2023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45019</v>
      </c>
      <c r="E187" s="1" t="n">
        <v>46220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41296-2024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45559</v>
      </c>
      <c r="E188" s="1" t="n">
        <v>46220</v>
      </c>
      <c r="F188" t="inlineStr">
        <is>
          <t>KALMAR LÄN</t>
        </is>
      </c>
      <c r="G188" t="inlineStr">
        <is>
          <t>EMMABODA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45309</v>
      </c>
      <c r="E189" s="1" t="n">
        <v>46220</v>
      </c>
      <c r="F189" t="inlineStr">
        <is>
          <t>KALMAR LÄN</t>
        </is>
      </c>
      <c r="G189" t="inlineStr">
        <is>
          <t>EMMABODA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17826-2022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44683</v>
      </c>
      <c r="E190" s="1" t="n">
        <v>46220</v>
      </c>
      <c r="F190" t="inlineStr">
        <is>
          <t>KALMAR LÄN</t>
        </is>
      </c>
      <c r="G190" t="inlineStr">
        <is>
          <t>EMMABODA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45665</v>
      </c>
      <c r="E191" s="1" t="n">
        <v>46220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49623-2023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46220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49627-2023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46220</v>
      </c>
      <c r="F193" t="inlineStr">
        <is>
          <t>KALMAR LÄN</t>
        </is>
      </c>
      <c r="G193" t="inlineStr">
        <is>
          <t>EMMABODA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8688-2023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46220</v>
      </c>
      <c r="F194" t="inlineStr">
        <is>
          <t>KALMAR LÄN</t>
        </is>
      </c>
      <c r="G194" t="inlineStr">
        <is>
          <t>EMMABODA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8689-2023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46220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35848-2023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45148</v>
      </c>
      <c r="E196" s="1" t="n">
        <v>46220</v>
      </c>
      <c r="F196" t="inlineStr">
        <is>
          <t>KALMAR LÄN</t>
        </is>
      </c>
      <c r="G196" t="inlineStr">
        <is>
          <t>EMMABODA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39101-2023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45164</v>
      </c>
      <c r="E197" s="1" t="n">
        <v>46220</v>
      </c>
      <c r="F197" t="inlineStr">
        <is>
          <t>KALMAR LÄN</t>
        </is>
      </c>
      <c r="G197" t="inlineStr">
        <is>
          <t>EMMABODA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39230-2023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46220</v>
      </c>
      <c r="F198" t="inlineStr">
        <is>
          <t>KALMAR LÄN</t>
        </is>
      </c>
      <c r="G198" t="inlineStr">
        <is>
          <t>EMMABODA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46220</v>
      </c>
      <c r="F199" t="inlineStr">
        <is>
          <t>KALMAR LÄN</t>
        </is>
      </c>
      <c r="G199" t="inlineStr">
        <is>
          <t>EMMABODA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54056-2024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46220</v>
      </c>
      <c r="F200" t="inlineStr">
        <is>
          <t>KALMAR LÄN</t>
        </is>
      </c>
      <c r="G200" t="inlineStr">
        <is>
          <t>EMMABODA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8397-2023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44977</v>
      </c>
      <c r="E201" s="1" t="n">
        <v>46220</v>
      </c>
      <c r="F201" t="inlineStr">
        <is>
          <t>KALMAR LÄN</t>
        </is>
      </c>
      <c r="G201" t="inlineStr">
        <is>
          <t>EMMABODA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36491-2024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45537</v>
      </c>
      <c r="E202" s="1" t="n">
        <v>46220</v>
      </c>
      <c r="F202" t="inlineStr">
        <is>
          <t>KALMAR LÄN</t>
        </is>
      </c>
      <c r="G202" t="inlineStr">
        <is>
          <t>EMMABODA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57402-2022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46220</v>
      </c>
      <c r="F203" t="inlineStr">
        <is>
          <t>KALMAR LÄN</t>
        </is>
      </c>
      <c r="G203" t="inlineStr">
        <is>
          <t>EMMABODA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27710-2024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45475</v>
      </c>
      <c r="E204" s="1" t="n">
        <v>46220</v>
      </c>
      <c r="F204" t="inlineStr">
        <is>
          <t>KALMAR LÄN</t>
        </is>
      </c>
      <c r="G204" t="inlineStr">
        <is>
          <t>EMMABODA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26486-2022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44739</v>
      </c>
      <c r="E205" s="1" t="n">
        <v>46220</v>
      </c>
      <c r="F205" t="inlineStr">
        <is>
          <t>KALMAR LÄN</t>
        </is>
      </c>
      <c r="G205" t="inlineStr">
        <is>
          <t>EMMABODA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46220</v>
      </c>
      <c r="F206" t="inlineStr">
        <is>
          <t>KALMAR LÄN</t>
        </is>
      </c>
      <c r="G206" t="inlineStr">
        <is>
          <t>EMMABODA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14415-2024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45394</v>
      </c>
      <c r="E207" s="1" t="n">
        <v>46220</v>
      </c>
      <c r="F207" t="inlineStr">
        <is>
          <t>KALMAR LÄN</t>
        </is>
      </c>
      <c r="G207" t="inlineStr">
        <is>
          <t>EMMABODA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51650-2024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45606</v>
      </c>
      <c r="E208" s="1" t="n">
        <v>46220</v>
      </c>
      <c r="F208" t="inlineStr">
        <is>
          <t>KALMAR LÄN</t>
        </is>
      </c>
      <c r="G208" t="inlineStr">
        <is>
          <t>EMMABODA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46024</v>
      </c>
      <c r="E209" s="1" t="n">
        <v>46220</v>
      </c>
      <c r="F209" t="inlineStr">
        <is>
          <t>KALMAR LÄN</t>
        </is>
      </c>
      <c r="G209" t="inlineStr">
        <is>
          <t>EMMABODA</t>
        </is>
      </c>
      <c r="I209" t="n">
        <v>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3344-2023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46220</v>
      </c>
      <c r="F210" t="inlineStr">
        <is>
          <t>KALMAR LÄN</t>
        </is>
      </c>
      <c r="G210" t="inlineStr">
        <is>
          <t>EMMABODA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8481-2024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45355</v>
      </c>
      <c r="E211" s="1" t="n">
        <v>46220</v>
      </c>
      <c r="F211" t="inlineStr">
        <is>
          <t>KALMAR LÄN</t>
        </is>
      </c>
      <c r="G211" t="inlineStr">
        <is>
          <t>EMMABODA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45292-2023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45188</v>
      </c>
      <c r="E212" s="1" t="n">
        <v>46220</v>
      </c>
      <c r="F212" t="inlineStr">
        <is>
          <t>KALMAR LÄN</t>
        </is>
      </c>
      <c r="G212" t="inlineStr">
        <is>
          <t>EMMABODA</t>
        </is>
      </c>
      <c r="H212" t="inlineStr">
        <is>
          <t>Kyrkan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18291-2024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45422</v>
      </c>
      <c r="E213" s="1" t="n">
        <v>46220</v>
      </c>
      <c r="F213" t="inlineStr">
        <is>
          <t>KALMAR LÄN</t>
        </is>
      </c>
      <c r="G213" t="inlineStr">
        <is>
          <t>EMMABODA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44958</v>
      </c>
      <c r="E214" s="1" t="n">
        <v>46220</v>
      </c>
      <c r="F214" t="inlineStr">
        <is>
          <t>KALMAR LÄN</t>
        </is>
      </c>
      <c r="G214" t="inlineStr">
        <is>
          <t>EMMABODA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10699-2024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45369</v>
      </c>
      <c r="E215" s="1" t="n">
        <v>46220</v>
      </c>
      <c r="F215" t="inlineStr">
        <is>
          <t>KALMAR LÄN</t>
        </is>
      </c>
      <c r="G215" t="inlineStr">
        <is>
          <t>EMMABODA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9577-2023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44982</v>
      </c>
      <c r="E216" s="1" t="n">
        <v>46220</v>
      </c>
      <c r="F216" t="inlineStr">
        <is>
          <t>KALMAR LÄN</t>
        </is>
      </c>
      <c r="G216" t="inlineStr">
        <is>
          <t>EMMABODA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25316-2025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45800</v>
      </c>
      <c r="E217" s="1" t="n">
        <v>46220</v>
      </c>
      <c r="F217" t="inlineStr">
        <is>
          <t>KALMAR LÄN</t>
        </is>
      </c>
      <c r="G217" t="inlineStr">
        <is>
          <t>EMMABODA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43256-2022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44834</v>
      </c>
      <c r="E218" s="1" t="n">
        <v>46220</v>
      </c>
      <c r="F218" t="inlineStr">
        <is>
          <t>KALMAR LÄN</t>
        </is>
      </c>
      <c r="G218" t="inlineStr">
        <is>
          <t>EMMABODA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47219-2021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44447</v>
      </c>
      <c r="E219" s="1" t="n">
        <v>46220</v>
      </c>
      <c r="F219" t="inlineStr">
        <is>
          <t>KALMAR LÄN</t>
        </is>
      </c>
      <c r="G219" t="inlineStr">
        <is>
          <t>EMMABODA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54085-2024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46220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34032-2022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44791</v>
      </c>
      <c r="E221" s="1" t="n">
        <v>46220</v>
      </c>
      <c r="F221" t="inlineStr">
        <is>
          <t>KALMAR LÄN</t>
        </is>
      </c>
      <c r="G221" t="inlineStr">
        <is>
          <t>EMMABODA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25776-2025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45804</v>
      </c>
      <c r="E222" s="1" t="n">
        <v>46220</v>
      </c>
      <c r="F222" t="inlineStr">
        <is>
          <t>KALMAR LÄN</t>
        </is>
      </c>
      <c r="G222" t="inlineStr">
        <is>
          <t>EMMABODA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6690-2025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46220</v>
      </c>
      <c r="F223" t="inlineStr">
        <is>
          <t>KALMAR LÄN</t>
        </is>
      </c>
      <c r="G223" t="inlineStr">
        <is>
          <t>EMMABODA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32561-2022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44783</v>
      </c>
      <c r="E224" s="1" t="n">
        <v>46220</v>
      </c>
      <c r="F224" t="inlineStr">
        <is>
          <t>KALMAR LÄN</t>
        </is>
      </c>
      <c r="G224" t="inlineStr">
        <is>
          <t>EMMABODA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7840-2024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46220</v>
      </c>
      <c r="F225" t="inlineStr">
        <is>
          <t>KALMAR LÄN</t>
        </is>
      </c>
      <c r="G225" t="inlineStr">
        <is>
          <t>EMMABODA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27533-2025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45813</v>
      </c>
      <c r="E226" s="1" t="n">
        <v>46220</v>
      </c>
      <c r="F226" t="inlineStr">
        <is>
          <t>KALMAR LÄN</t>
        </is>
      </c>
      <c r="G226" t="inlineStr">
        <is>
          <t>EMMABODA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58136-2021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44487</v>
      </c>
      <c r="E227" s="1" t="n">
        <v>46220</v>
      </c>
      <c r="F227" t="inlineStr">
        <is>
          <t>KALMAR LÄN</t>
        </is>
      </c>
      <c r="G227" t="inlineStr">
        <is>
          <t>EMMABODA</t>
        </is>
      </c>
      <c r="H227" t="inlineStr">
        <is>
          <t>Kommuner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5073-2022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46220</v>
      </c>
      <c r="F228" t="inlineStr">
        <is>
          <t>KALMAR LÄN</t>
        </is>
      </c>
      <c r="G228" t="inlineStr">
        <is>
          <t>EMMABODA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15700-2023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46220</v>
      </c>
      <c r="F229" t="inlineStr">
        <is>
          <t>KALMAR LÄN</t>
        </is>
      </c>
      <c r="G229" t="inlineStr">
        <is>
          <t>EMMABODA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14547-2025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45741</v>
      </c>
      <c r="E230" s="1" t="n">
        <v>46220</v>
      </c>
      <c r="F230" t="inlineStr">
        <is>
          <t>KALMAR LÄN</t>
        </is>
      </c>
      <c r="G230" t="inlineStr">
        <is>
          <t>EMMABODA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6299-2022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44600</v>
      </c>
      <c r="E231" s="1" t="n">
        <v>46220</v>
      </c>
      <c r="F231" t="inlineStr">
        <is>
          <t>KALMAR LÄN</t>
        </is>
      </c>
      <c r="G231" t="inlineStr">
        <is>
          <t>EMMABODA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17712-2024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45415</v>
      </c>
      <c r="E232" s="1" t="n">
        <v>46220</v>
      </c>
      <c r="F232" t="inlineStr">
        <is>
          <t>KALMAR LÄN</t>
        </is>
      </c>
      <c r="G232" t="inlineStr">
        <is>
          <t>EMMABODA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27705-2024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45475</v>
      </c>
      <c r="E233" s="1" t="n">
        <v>46220</v>
      </c>
      <c r="F233" t="inlineStr">
        <is>
          <t>KALMAR LÄN</t>
        </is>
      </c>
      <c r="G233" t="inlineStr">
        <is>
          <t>EMMABODA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4035-2024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45323</v>
      </c>
      <c r="E234" s="1" t="n">
        <v>46220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14160-2025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45740</v>
      </c>
      <c r="E235" s="1" t="n">
        <v>46220</v>
      </c>
      <c r="F235" t="inlineStr">
        <is>
          <t>KALMAR LÄN</t>
        </is>
      </c>
      <c r="G235" t="inlineStr">
        <is>
          <t>EMMABODA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45681</v>
      </c>
      <c r="E236" s="1" t="n">
        <v>46220</v>
      </c>
      <c r="F236" t="inlineStr">
        <is>
          <t>KALMAR LÄN</t>
        </is>
      </c>
      <c r="G236" t="inlineStr">
        <is>
          <t>EMMABODA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41393-2021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46220</v>
      </c>
      <c r="F237" t="inlineStr">
        <is>
          <t>KALMAR LÄN</t>
        </is>
      </c>
      <c r="G237" t="inlineStr">
        <is>
          <t>EMMABODA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29807-2025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45825</v>
      </c>
      <c r="E238" s="1" t="n">
        <v>46220</v>
      </c>
      <c r="F238" t="inlineStr">
        <is>
          <t>KALMAR LÄN</t>
        </is>
      </c>
      <c r="G238" t="inlineStr">
        <is>
          <t>EMMABODA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29869-2025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46220</v>
      </c>
      <c r="F239" t="inlineStr">
        <is>
          <t>KALMAR LÄN</t>
        </is>
      </c>
      <c r="G239" t="inlineStr">
        <is>
          <t>EMMABODA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27746-2024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45475</v>
      </c>
      <c r="E240" s="1" t="n">
        <v>46220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13244-2025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45735</v>
      </c>
      <c r="E241" s="1" t="n">
        <v>46220</v>
      </c>
      <c r="F241" t="inlineStr">
        <is>
          <t>KALMAR LÄN</t>
        </is>
      </c>
      <c r="G241" t="inlineStr">
        <is>
          <t>EMMABODA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29886-2025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46220</v>
      </c>
      <c r="F242" t="inlineStr">
        <is>
          <t>KALMAR LÄN</t>
        </is>
      </c>
      <c r="G242" t="inlineStr">
        <is>
          <t>EMMABODA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42967-2025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46220</v>
      </c>
      <c r="F243" t="inlineStr">
        <is>
          <t>KALMAR LÄN</t>
        </is>
      </c>
      <c r="G243" t="inlineStr">
        <is>
          <t>EMMABODA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42833-2025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45908</v>
      </c>
      <c r="E244" s="1" t="n">
        <v>46220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37093-2023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46220</v>
      </c>
      <c r="F245" t="inlineStr">
        <is>
          <t>KALMAR LÄN</t>
        </is>
      </c>
      <c r="G245" t="inlineStr">
        <is>
          <t>EMMABODA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30118-2025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46220</v>
      </c>
      <c r="F246" t="inlineStr">
        <is>
          <t>KALMAR LÄN</t>
        </is>
      </c>
      <c r="G246" t="inlineStr">
        <is>
          <t>EMMABODA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29875-2025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46220</v>
      </c>
      <c r="F247" t="inlineStr">
        <is>
          <t>KALMAR LÄN</t>
        </is>
      </c>
      <c r="G247" t="inlineStr">
        <is>
          <t>EMMABODA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17838-2023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45037</v>
      </c>
      <c r="E248" s="1" t="n">
        <v>46220</v>
      </c>
      <c r="F248" t="inlineStr">
        <is>
          <t>KALMAR LÄN</t>
        </is>
      </c>
      <c r="G248" t="inlineStr">
        <is>
          <t>EMMABODA</t>
        </is>
      </c>
      <c r="I248" t="n">
        <v>8.300000000000001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29874-2025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46220</v>
      </c>
      <c r="F249" t="inlineStr">
        <is>
          <t>KALMAR LÄN</t>
        </is>
      </c>
      <c r="G249" t="inlineStr">
        <is>
          <t>EMMABODA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29879-2025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46220</v>
      </c>
      <c r="F250" t="inlineStr">
        <is>
          <t>KALMAR LÄN</t>
        </is>
      </c>
      <c r="G250" t="inlineStr">
        <is>
          <t>EMMABODA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18946-2022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44690</v>
      </c>
      <c r="E251" s="1" t="n">
        <v>46220</v>
      </c>
      <c r="F251" t="inlineStr">
        <is>
          <t>KALMAR LÄN</t>
        </is>
      </c>
      <c r="G251" t="inlineStr">
        <is>
          <t>EMMABODA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44093-2025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46220</v>
      </c>
      <c r="F252" t="inlineStr">
        <is>
          <t>KALMAR LÄN</t>
        </is>
      </c>
      <c r="G252" t="inlineStr">
        <is>
          <t>EMMABODA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59914-2024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45641</v>
      </c>
      <c r="E253" s="1" t="n">
        <v>46220</v>
      </c>
      <c r="F253" t="inlineStr">
        <is>
          <t>KALMAR LÄN</t>
        </is>
      </c>
      <c r="G253" t="inlineStr">
        <is>
          <t>EMMABODA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44097-2025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46220</v>
      </c>
      <c r="F254" t="inlineStr">
        <is>
          <t>KALMAR LÄN</t>
        </is>
      </c>
      <c r="G254" t="inlineStr">
        <is>
          <t>EMMABODA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44089-2025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46220</v>
      </c>
      <c r="F255" t="inlineStr">
        <is>
          <t>KALMAR LÄN</t>
        </is>
      </c>
      <c r="G255" t="inlineStr">
        <is>
          <t>EMMABODA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5018-2022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44593</v>
      </c>
      <c r="E256" s="1" t="n">
        <v>46220</v>
      </c>
      <c r="F256" t="inlineStr">
        <is>
          <t>KALMAR LÄN</t>
        </is>
      </c>
      <c r="G256" t="inlineStr">
        <is>
          <t>EMMABODA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31208-2025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45832</v>
      </c>
      <c r="E257" s="1" t="n">
        <v>46220</v>
      </c>
      <c r="F257" t="inlineStr">
        <is>
          <t>KALMAR LÄN</t>
        </is>
      </c>
      <c r="G257" t="inlineStr">
        <is>
          <t>EMMABODA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62733-2021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44504</v>
      </c>
      <c r="E258" s="1" t="n">
        <v>46220</v>
      </c>
      <c r="F258" t="inlineStr">
        <is>
          <t>KALMAR LÄN</t>
        </is>
      </c>
      <c r="G258" t="inlineStr">
        <is>
          <t>EMMABODA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32137-2025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46220</v>
      </c>
      <c r="F259" t="inlineStr">
        <is>
          <t>KALMAR LÄN</t>
        </is>
      </c>
      <c r="G259" t="inlineStr">
        <is>
          <t>EMMABODA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46220</v>
      </c>
      <c r="F260" t="inlineStr">
        <is>
          <t>KALMAR LÄN</t>
        </is>
      </c>
      <c r="G260" t="inlineStr">
        <is>
          <t>EMMABODA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33065-2023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45126</v>
      </c>
      <c r="E261" s="1" t="n">
        <v>46220</v>
      </c>
      <c r="F261" t="inlineStr">
        <is>
          <t>KALMAR LÄN</t>
        </is>
      </c>
      <c r="G261" t="inlineStr">
        <is>
          <t>EMMABODA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33070-2023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45126</v>
      </c>
      <c r="E262" s="1" t="n">
        <v>46220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35522-2022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44799</v>
      </c>
      <c r="E263" s="1" t="n">
        <v>46220</v>
      </c>
      <c r="F263" t="inlineStr">
        <is>
          <t>KALMAR LÄN</t>
        </is>
      </c>
      <c r="G263" t="inlineStr">
        <is>
          <t>EMMABODA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37060-2023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45155</v>
      </c>
      <c r="E264" s="1" t="n">
        <v>46220</v>
      </c>
      <c r="F264" t="inlineStr">
        <is>
          <t>KALMAR LÄN</t>
        </is>
      </c>
      <c r="G264" t="inlineStr">
        <is>
          <t>EMMABODA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52610-2023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45225</v>
      </c>
      <c r="E265" s="1" t="n">
        <v>46220</v>
      </c>
      <c r="F265" t="inlineStr">
        <is>
          <t>KALMAR LÄN</t>
        </is>
      </c>
      <c r="G265" t="inlineStr">
        <is>
          <t>EMMABODA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41446-2021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44424</v>
      </c>
      <c r="E266" s="1" t="n">
        <v>46220</v>
      </c>
      <c r="F266" t="inlineStr">
        <is>
          <t>KALMAR LÄN</t>
        </is>
      </c>
      <c r="G266" t="inlineStr">
        <is>
          <t>EMMABODA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26111-2025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45805</v>
      </c>
      <c r="E267" s="1" t="n">
        <v>46220</v>
      </c>
      <c r="F267" t="inlineStr">
        <is>
          <t>KALMAR LÄN</t>
        </is>
      </c>
      <c r="G267" t="inlineStr">
        <is>
          <t>EMMABODA</t>
        </is>
      </c>
      <c r="I267" t="n">
        <v>12.5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45306-2025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45921</v>
      </c>
      <c r="E268" s="1" t="n">
        <v>46220</v>
      </c>
      <c r="F268" t="inlineStr">
        <is>
          <t>KALMAR LÄN</t>
        </is>
      </c>
      <c r="G268" t="inlineStr">
        <is>
          <t>EMMABODA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34055-2025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45845</v>
      </c>
      <c r="E269" s="1" t="n">
        <v>46220</v>
      </c>
      <c r="F269" t="inlineStr">
        <is>
          <t>KALMAR LÄN</t>
        </is>
      </c>
      <c r="G269" t="inlineStr">
        <is>
          <t>EMMABODA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55604-2024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45621</v>
      </c>
      <c r="E270" s="1" t="n">
        <v>46220</v>
      </c>
      <c r="F270" t="inlineStr">
        <is>
          <t>KALMAR LÄN</t>
        </is>
      </c>
      <c r="G270" t="inlineStr">
        <is>
          <t>EMMABODA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11758-2025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45727</v>
      </c>
      <c r="E271" s="1" t="n">
        <v>46220</v>
      </c>
      <c r="F271" t="inlineStr">
        <is>
          <t>KALMAR LÄN</t>
        </is>
      </c>
      <c r="G271" t="inlineStr">
        <is>
          <t>EMMABODA</t>
        </is>
      </c>
      <c r="I271" t="n">
        <v>9.300000000000001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47120-2022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44852</v>
      </c>
      <c r="E272" s="1" t="n">
        <v>46220</v>
      </c>
      <c r="F272" t="inlineStr">
        <is>
          <t>KALMAR LÄN</t>
        </is>
      </c>
      <c r="G272" t="inlineStr">
        <is>
          <t>EMMABODA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46065-2023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46220</v>
      </c>
      <c r="F273" t="inlineStr">
        <is>
          <t>KALMAR LÄN</t>
        </is>
      </c>
      <c r="G273" t="inlineStr">
        <is>
          <t>EMMABODA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19854-2024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45433</v>
      </c>
      <c r="E274" s="1" t="n">
        <v>46220</v>
      </c>
      <c r="F274" t="inlineStr">
        <is>
          <t>KALMAR LÄN</t>
        </is>
      </c>
      <c r="G274" t="inlineStr">
        <is>
          <t>EMMABODA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21798-2023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45067</v>
      </c>
      <c r="E275" s="1" t="n">
        <v>46220</v>
      </c>
      <c r="F275" t="inlineStr">
        <is>
          <t>KALMAR LÄN</t>
        </is>
      </c>
      <c r="G275" t="inlineStr">
        <is>
          <t>EMMABODA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4198-2023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44953</v>
      </c>
      <c r="E276" s="1" t="n">
        <v>46220</v>
      </c>
      <c r="F276" t="inlineStr">
        <is>
          <t>KALMAR LÄN</t>
        </is>
      </c>
      <c r="G276" t="inlineStr">
        <is>
          <t>EMMABODA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29755-2023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46220</v>
      </c>
      <c r="F277" t="inlineStr">
        <is>
          <t>KALMAR LÄN</t>
        </is>
      </c>
      <c r="G277" t="inlineStr">
        <is>
          <t>EMMABODA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25090-2022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44729</v>
      </c>
      <c r="E278" s="1" t="n">
        <v>46220</v>
      </c>
      <c r="F278" t="inlineStr">
        <is>
          <t>KALMAR LÄN</t>
        </is>
      </c>
      <c r="G278" t="inlineStr">
        <is>
          <t>EMMABODA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34878-2025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45849</v>
      </c>
      <c r="E279" s="1" t="n">
        <v>46220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20511-2025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45775</v>
      </c>
      <c r="E280" s="1" t="n">
        <v>46220</v>
      </c>
      <c r="F280" t="inlineStr">
        <is>
          <t>KALMAR LÄN</t>
        </is>
      </c>
      <c r="G280" t="inlineStr">
        <is>
          <t>EMMABODA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9715-2025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46220</v>
      </c>
      <c r="F281" t="inlineStr">
        <is>
          <t>KALMAR LÄN</t>
        </is>
      </c>
      <c r="G281" t="inlineStr">
        <is>
          <t>EMMABODA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35020-2025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45851</v>
      </c>
      <c r="E282" s="1" t="n">
        <v>46220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35021-2025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45851</v>
      </c>
      <c r="E283" s="1" t="n">
        <v>46220</v>
      </c>
      <c r="F283" t="inlineStr">
        <is>
          <t>KALMAR LÄN</t>
        </is>
      </c>
      <c r="G283" t="inlineStr">
        <is>
          <t>EMMABODA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20053-2025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45772</v>
      </c>
      <c r="E284" s="1" t="n">
        <v>46220</v>
      </c>
      <c r="F284" t="inlineStr">
        <is>
          <t>KALMAR LÄN</t>
        </is>
      </c>
      <c r="G284" t="inlineStr">
        <is>
          <t>EMMABODA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9662-2023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44984</v>
      </c>
      <c r="E285" s="1" t="n">
        <v>46220</v>
      </c>
      <c r="F285" t="inlineStr">
        <is>
          <t>KALMAR LÄN</t>
        </is>
      </c>
      <c r="G285" t="inlineStr">
        <is>
          <t>EMMABODA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35592-2025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45857</v>
      </c>
      <c r="E286" s="1" t="n">
        <v>46220</v>
      </c>
      <c r="F286" t="inlineStr">
        <is>
          <t>KALMAR LÄN</t>
        </is>
      </c>
      <c r="G286" t="inlineStr">
        <is>
          <t>EMMABODA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63180-2021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44507</v>
      </c>
      <c r="E287" s="1" t="n">
        <v>46220</v>
      </c>
      <c r="F287" t="inlineStr">
        <is>
          <t>KALMAR LÄN</t>
        </is>
      </c>
      <c r="G287" t="inlineStr">
        <is>
          <t>EMMABODA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47519-2025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46220</v>
      </c>
      <c r="F288" t="inlineStr">
        <is>
          <t>KALMAR LÄN</t>
        </is>
      </c>
      <c r="G288" t="inlineStr">
        <is>
          <t>EMMABODA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36012-2025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45863</v>
      </c>
      <c r="E289" s="1" t="n">
        <v>46220</v>
      </c>
      <c r="F289" t="inlineStr">
        <is>
          <t>KALMAR LÄN</t>
        </is>
      </c>
      <c r="G289" t="inlineStr">
        <is>
          <t>EMMABODA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54482-2021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44473</v>
      </c>
      <c r="E290" s="1" t="n">
        <v>46220</v>
      </c>
      <c r="F290" t="inlineStr">
        <is>
          <t>KALMAR LÄN</t>
        </is>
      </c>
      <c r="G290" t="inlineStr">
        <is>
          <t>EMMABODA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44432-2023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45189</v>
      </c>
      <c r="E291" s="1" t="n">
        <v>46220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16273-2025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45750</v>
      </c>
      <c r="E292" s="1" t="n">
        <v>46220</v>
      </c>
      <c r="F292" t="inlineStr">
        <is>
          <t>KALMAR LÄN</t>
        </is>
      </c>
      <c r="G292" t="inlineStr">
        <is>
          <t>EMMABODA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22899-2025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45790</v>
      </c>
      <c r="E293" s="1" t="n">
        <v>46220</v>
      </c>
      <c r="F293" t="inlineStr">
        <is>
          <t>KALMAR LÄN</t>
        </is>
      </c>
      <c r="G293" t="inlineStr">
        <is>
          <t>EMMABODA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19210-2023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45048</v>
      </c>
      <c r="E294" s="1" t="n">
        <v>46220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45214-2023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45191</v>
      </c>
      <c r="E295" s="1" t="n">
        <v>46220</v>
      </c>
      <c r="F295" t="inlineStr">
        <is>
          <t>KALMAR LÄN</t>
        </is>
      </c>
      <c r="G295" t="inlineStr">
        <is>
          <t>EMMABODA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9775-2022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44619</v>
      </c>
      <c r="E296" s="1" t="n">
        <v>46220</v>
      </c>
      <c r="F296" t="inlineStr">
        <is>
          <t>KALMAR LÄN</t>
        </is>
      </c>
      <c r="G296" t="inlineStr">
        <is>
          <t>EMMABODA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20164-2024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45434</v>
      </c>
      <c r="E297" s="1" t="n">
        <v>46220</v>
      </c>
      <c r="F297" t="inlineStr">
        <is>
          <t>KALMAR LÄN</t>
        </is>
      </c>
      <c r="G297" t="inlineStr">
        <is>
          <t>EMMABODA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49285-2025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46220</v>
      </c>
      <c r="F298" t="inlineStr">
        <is>
          <t>KALMAR LÄN</t>
        </is>
      </c>
      <c r="G298" t="inlineStr">
        <is>
          <t>EMMABODA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17525-2023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45036</v>
      </c>
      <c r="E299" s="1" t="n">
        <v>46220</v>
      </c>
      <c r="F299" t="inlineStr">
        <is>
          <t>KALMAR LÄN</t>
        </is>
      </c>
      <c r="G299" t="inlineStr">
        <is>
          <t>EMMABODA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49388-2025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46220</v>
      </c>
      <c r="F300" t="inlineStr">
        <is>
          <t>KALMAR LÄN</t>
        </is>
      </c>
      <c r="G300" t="inlineStr">
        <is>
          <t>EMMABODA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49281-2025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46220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49294-2025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46220</v>
      </c>
      <c r="F302" t="inlineStr">
        <is>
          <t>KALMAR LÄN</t>
        </is>
      </c>
      <c r="G302" t="inlineStr">
        <is>
          <t>EMMABODA</t>
        </is>
      </c>
      <c r="I302" t="n">
        <v>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59468-2022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44907</v>
      </c>
      <c r="E303" s="1" t="n">
        <v>46220</v>
      </c>
      <c r="F303" t="inlineStr">
        <is>
          <t>KALMAR LÄN</t>
        </is>
      </c>
      <c r="G303" t="inlineStr">
        <is>
          <t>EMMABODA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63219-2023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46220</v>
      </c>
      <c r="F304" t="inlineStr">
        <is>
          <t>KALMAR LÄN</t>
        </is>
      </c>
      <c r="G304" t="inlineStr">
        <is>
          <t>EMMABODA</t>
        </is>
      </c>
      <c r="H304" t="inlineStr">
        <is>
          <t>Kommuner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49625-2023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45211</v>
      </c>
      <c r="E305" s="1" t="n">
        <v>46220</v>
      </c>
      <c r="F305" t="inlineStr">
        <is>
          <t>KALMAR LÄN</t>
        </is>
      </c>
      <c r="G305" t="inlineStr">
        <is>
          <t>EMMABODA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53252-2023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45229</v>
      </c>
      <c r="E306" s="1" t="n">
        <v>46220</v>
      </c>
      <c r="F306" t="inlineStr">
        <is>
          <t>KALMAR LÄN</t>
        </is>
      </c>
      <c r="G306" t="inlineStr">
        <is>
          <t>EMMABODA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33606-2023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45132</v>
      </c>
      <c r="E307" s="1" t="n">
        <v>46220</v>
      </c>
      <c r="F307" t="inlineStr">
        <is>
          <t>KALMAR LÄN</t>
        </is>
      </c>
      <c r="G307" t="inlineStr">
        <is>
          <t>EMMABODA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46220</v>
      </c>
      <c r="F308" t="inlineStr">
        <is>
          <t>KALMAR LÄN</t>
        </is>
      </c>
      <c r="G308" t="inlineStr">
        <is>
          <t>EMMABODA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24795-2023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45084</v>
      </c>
      <c r="E309" s="1" t="n">
        <v>46220</v>
      </c>
      <c r="F309" t="inlineStr">
        <is>
          <t>KALMAR LÄN</t>
        </is>
      </c>
      <c r="G309" t="inlineStr">
        <is>
          <t>EMMABODA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66662-2021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44519</v>
      </c>
      <c r="E310" s="1" t="n">
        <v>46220</v>
      </c>
      <c r="F310" t="inlineStr">
        <is>
          <t>KALMAR LÄN</t>
        </is>
      </c>
      <c r="G310" t="inlineStr">
        <is>
          <t>EMMABODA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46220</v>
      </c>
      <c r="F311" t="inlineStr">
        <is>
          <t>KALMAR LÄN</t>
        </is>
      </c>
      <c r="G311" t="inlineStr">
        <is>
          <t>EMMABODA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28437-2023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45102</v>
      </c>
      <c r="E312" s="1" t="n">
        <v>46220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28441-2023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45102</v>
      </c>
      <c r="E313" s="1" t="n">
        <v>46220</v>
      </c>
      <c r="F313" t="inlineStr">
        <is>
          <t>KALMAR LÄN</t>
        </is>
      </c>
      <c r="G313" t="inlineStr">
        <is>
          <t>EMMABODA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44067-2022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44839</v>
      </c>
      <c r="E314" s="1" t="n">
        <v>46220</v>
      </c>
      <c r="F314" t="inlineStr">
        <is>
          <t>KALMAR LÄN</t>
        </is>
      </c>
      <c r="G314" t="inlineStr">
        <is>
          <t>EMMABODA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38883-2025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46220</v>
      </c>
      <c r="F315" t="inlineStr">
        <is>
          <t>KALMAR LÄN</t>
        </is>
      </c>
      <c r="G315" t="inlineStr">
        <is>
          <t>EMMABODA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41441-2025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45901</v>
      </c>
      <c r="E316" s="1" t="n">
        <v>46220</v>
      </c>
      <c r="F316" t="inlineStr">
        <is>
          <t>KALMAR LÄN</t>
        </is>
      </c>
      <c r="G316" t="inlineStr">
        <is>
          <t>EMMABODA</t>
        </is>
      </c>
      <c r="I316" t="n">
        <v>7.2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38873-2025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46220</v>
      </c>
      <c r="F317" t="inlineStr">
        <is>
          <t>KALMAR LÄN</t>
        </is>
      </c>
      <c r="G317" t="inlineStr">
        <is>
          <t>EMMABODA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52274-2025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46220</v>
      </c>
      <c r="F318" t="inlineStr">
        <is>
          <t>KALMAR LÄN</t>
        </is>
      </c>
      <c r="G318" t="inlineStr">
        <is>
          <t>EMMABODA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3290-2024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45317</v>
      </c>
      <c r="E319" s="1" t="n">
        <v>46220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5057-2026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46220</v>
      </c>
      <c r="F320" t="inlineStr">
        <is>
          <t>KALMAR LÄN</t>
        </is>
      </c>
      <c r="G320" t="inlineStr">
        <is>
          <t>EMMABODA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8974-2023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44979</v>
      </c>
      <c r="E321" s="1" t="n">
        <v>46220</v>
      </c>
      <c r="F321" t="inlineStr">
        <is>
          <t>KALMAR LÄN</t>
        </is>
      </c>
      <c r="G321" t="inlineStr">
        <is>
          <t>EMMABODA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9688-2025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46220</v>
      </c>
      <c r="F322" t="inlineStr">
        <is>
          <t>KALMAR LÄN</t>
        </is>
      </c>
      <c r="G322" t="inlineStr">
        <is>
          <t>EMMABODA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53534-2025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46220</v>
      </c>
      <c r="F323" t="inlineStr">
        <is>
          <t>KALMAR LÄN</t>
        </is>
      </c>
      <c r="G323" t="inlineStr">
        <is>
          <t>EMMABODA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6272-2026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46055</v>
      </c>
      <c r="E324" s="1" t="n">
        <v>46220</v>
      </c>
      <c r="F324" t="inlineStr">
        <is>
          <t>KALMAR LÄN</t>
        </is>
      </c>
      <c r="G324" t="inlineStr">
        <is>
          <t>EMMABODA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46055</v>
      </c>
      <c r="E325" s="1" t="n">
        <v>46220</v>
      </c>
      <c r="F325" t="inlineStr">
        <is>
          <t>KALMAR LÄN</t>
        </is>
      </c>
      <c r="G325" t="inlineStr">
        <is>
          <t>EMMABODA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54117-2025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45964</v>
      </c>
      <c r="E326" s="1" t="n">
        <v>46220</v>
      </c>
      <c r="F326" t="inlineStr">
        <is>
          <t>KALMAR LÄN</t>
        </is>
      </c>
      <c r="G326" t="inlineStr">
        <is>
          <t>EMMABODA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54177-2025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45964</v>
      </c>
      <c r="E327" s="1" t="n">
        <v>46220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26971-2023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45091</v>
      </c>
      <c r="E328" s="1" t="n">
        <v>46220</v>
      </c>
      <c r="F328" t="inlineStr">
        <is>
          <t>KALMAR LÄN</t>
        </is>
      </c>
      <c r="G328" t="inlineStr">
        <is>
          <t>EMMABODA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9867-2025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45716</v>
      </c>
      <c r="E329" s="1" t="n">
        <v>46220</v>
      </c>
      <c r="F329" t="inlineStr">
        <is>
          <t>KALMAR LÄN</t>
        </is>
      </c>
      <c r="G329" t="inlineStr">
        <is>
          <t>EMMABODA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54982-2025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45967</v>
      </c>
      <c r="E330" s="1" t="n">
        <v>46220</v>
      </c>
      <c r="F330" t="inlineStr">
        <is>
          <t>KALMAR LÄN</t>
        </is>
      </c>
      <c r="G330" t="inlineStr">
        <is>
          <t>EMMABODA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54983-2025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45967</v>
      </c>
      <c r="E331" s="1" t="n">
        <v>46220</v>
      </c>
      <c r="F331" t="inlineStr">
        <is>
          <t>KALMAR LÄN</t>
        </is>
      </c>
      <c r="G331" t="inlineStr">
        <is>
          <t>EMMABODA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32656-2023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45121</v>
      </c>
      <c r="E332" s="1" t="n">
        <v>46220</v>
      </c>
      <c r="F332" t="inlineStr">
        <is>
          <t>KALMAR LÄN</t>
        </is>
      </c>
      <c r="G332" t="inlineStr">
        <is>
          <t>EMMABODA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55381-2025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45971</v>
      </c>
      <c r="E333" s="1" t="n">
        <v>46220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45226-2023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45191</v>
      </c>
      <c r="E334" s="1" t="n">
        <v>46220</v>
      </c>
      <c r="F334" t="inlineStr">
        <is>
          <t>KALMAR LÄN</t>
        </is>
      </c>
      <c r="G334" t="inlineStr">
        <is>
          <t>EMMABODA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8971-2023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44979</v>
      </c>
      <c r="E335" s="1" t="n">
        <v>46220</v>
      </c>
      <c r="F335" t="inlineStr">
        <is>
          <t>KALMAR LÄN</t>
        </is>
      </c>
      <c r="G335" t="inlineStr">
        <is>
          <t>EMMABODA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31070-2023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46220</v>
      </c>
      <c r="F336" t="inlineStr">
        <is>
          <t>KALMAR LÄN</t>
        </is>
      </c>
      <c r="G336" t="inlineStr">
        <is>
          <t>EMMABODA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31078-2023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45113</v>
      </c>
      <c r="E337" s="1" t="n">
        <v>46220</v>
      </c>
      <c r="F337" t="inlineStr">
        <is>
          <t>KALMAR LÄN</t>
        </is>
      </c>
      <c r="G337" t="inlineStr">
        <is>
          <t>EMMABODA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39736-2023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45167</v>
      </c>
      <c r="E338" s="1" t="n">
        <v>46220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22099-2023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45069</v>
      </c>
      <c r="E339" s="1" t="n">
        <v>46220</v>
      </c>
      <c r="F339" t="inlineStr">
        <is>
          <t>KALMAR LÄN</t>
        </is>
      </c>
      <c r="G339" t="inlineStr">
        <is>
          <t>EMMABODA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22117-2023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45069</v>
      </c>
      <c r="E340" s="1" t="n">
        <v>46220</v>
      </c>
      <c r="F340" t="inlineStr">
        <is>
          <t>KALMAR LÄN</t>
        </is>
      </c>
      <c r="G340" t="inlineStr">
        <is>
          <t>EMMABODA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15446-2024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45401</v>
      </c>
      <c r="E341" s="1" t="n">
        <v>46220</v>
      </c>
      <c r="F341" t="inlineStr">
        <is>
          <t>KALMAR LÄN</t>
        </is>
      </c>
      <c r="G341" t="inlineStr">
        <is>
          <t>EMMABODA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7568-2024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45348</v>
      </c>
      <c r="E342" s="1" t="n">
        <v>46220</v>
      </c>
      <c r="F342" t="inlineStr">
        <is>
          <t>KALMAR LÄN</t>
        </is>
      </c>
      <c r="G342" t="inlineStr">
        <is>
          <t>EMMABODA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57200-2025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46220</v>
      </c>
      <c r="F343" t="inlineStr">
        <is>
          <t>KALMAR LÄN</t>
        </is>
      </c>
      <c r="G343" t="inlineStr">
        <is>
          <t>EMMABODA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7080-2026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46220</v>
      </c>
      <c r="F344" t="inlineStr">
        <is>
          <t>KALMAR LÄN</t>
        </is>
      </c>
      <c r="G344" t="inlineStr">
        <is>
          <t>EMMABODA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16521-2024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46220</v>
      </c>
      <c r="F345" t="inlineStr">
        <is>
          <t>KALMAR LÄN</t>
        </is>
      </c>
      <c r="G345" t="inlineStr">
        <is>
          <t>EMMABODA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61143-2024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46220</v>
      </c>
      <c r="F346" t="inlineStr">
        <is>
          <t>KALMAR LÄN</t>
        </is>
      </c>
      <c r="G346" t="inlineStr">
        <is>
          <t>EMMABODA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11941-2024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45376</v>
      </c>
      <c r="E347" s="1" t="n">
        <v>46220</v>
      </c>
      <c r="F347" t="inlineStr">
        <is>
          <t>KALMAR LÄN</t>
        </is>
      </c>
      <c r="G347" t="inlineStr">
        <is>
          <t>EMMABODA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46507-2021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44445</v>
      </c>
      <c r="E348" s="1" t="n">
        <v>46220</v>
      </c>
      <c r="F348" t="inlineStr">
        <is>
          <t>KALMAR LÄN</t>
        </is>
      </c>
      <c r="G348" t="inlineStr">
        <is>
          <t>EMMABODA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57679-2025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46220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7871-2026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46220</v>
      </c>
      <c r="F350" t="inlineStr">
        <is>
          <t>KALMAR LÄN</t>
        </is>
      </c>
      <c r="G350" t="inlineStr">
        <is>
          <t>EMMABODA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17934-2022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44683</v>
      </c>
      <c r="E351" s="1" t="n">
        <v>46220</v>
      </c>
      <c r="F351" t="inlineStr">
        <is>
          <t>KALMAR LÄN</t>
        </is>
      </c>
      <c r="G351" t="inlineStr">
        <is>
          <t>EMMABODA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57183-2024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45629</v>
      </c>
      <c r="E352" s="1" t="n">
        <v>46220</v>
      </c>
      <c r="F352" t="inlineStr">
        <is>
          <t>KALMAR LÄN</t>
        </is>
      </c>
      <c r="G352" t="inlineStr">
        <is>
          <t>EMMABODA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24867-2024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45461</v>
      </c>
      <c r="E353" s="1" t="n">
        <v>46220</v>
      </c>
      <c r="F353" t="inlineStr">
        <is>
          <t>KALMAR LÄN</t>
        </is>
      </c>
      <c r="G353" t="inlineStr">
        <is>
          <t>EMMABODA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7842-2024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45349</v>
      </c>
      <c r="E354" s="1" t="n">
        <v>46220</v>
      </c>
      <c r="F354" t="inlineStr">
        <is>
          <t>KALMAR LÄN</t>
        </is>
      </c>
      <c r="G354" t="inlineStr">
        <is>
          <t>EMMABODA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59400-2025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46220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67543-2021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44524</v>
      </c>
      <c r="E356" s="1" t="n">
        <v>46220</v>
      </c>
      <c r="F356" t="inlineStr">
        <is>
          <t>KALMAR LÄN</t>
        </is>
      </c>
      <c r="G356" t="inlineStr">
        <is>
          <t>EMMABODA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26254-2023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45091</v>
      </c>
      <c r="E357" s="1" t="n">
        <v>46220</v>
      </c>
      <c r="F357" t="inlineStr">
        <is>
          <t>KALMAR LÄN</t>
        </is>
      </c>
      <c r="G357" t="inlineStr">
        <is>
          <t>EMMABODA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57791-2022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46220</v>
      </c>
      <c r="F358" t="inlineStr">
        <is>
          <t>KALMAR LÄN</t>
        </is>
      </c>
      <c r="G358" t="inlineStr">
        <is>
          <t>EMMABODA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31093-2023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45113</v>
      </c>
      <c r="E359" s="1" t="n">
        <v>46220</v>
      </c>
      <c r="F359" t="inlineStr">
        <is>
          <t>KALMAR LÄN</t>
        </is>
      </c>
      <c r="G359" t="inlineStr">
        <is>
          <t>EMMABODA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58623-2025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46220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60192-2025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46220</v>
      </c>
      <c r="F361" t="inlineStr">
        <is>
          <t>KALMAR LÄN</t>
        </is>
      </c>
      <c r="G361" t="inlineStr">
        <is>
          <t>EMMABODA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5846-2024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45335</v>
      </c>
      <c r="E362" s="1" t="n">
        <v>46220</v>
      </c>
      <c r="F362" t="inlineStr">
        <is>
          <t>KALMAR LÄN</t>
        </is>
      </c>
      <c r="G362" t="inlineStr">
        <is>
          <t>EMMABODA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5880-2024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45335</v>
      </c>
      <c r="E363" s="1" t="n">
        <v>46220</v>
      </c>
      <c r="F363" t="inlineStr">
        <is>
          <t>KALMAR LÄN</t>
        </is>
      </c>
      <c r="G363" t="inlineStr">
        <is>
          <t>EMMABODA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46862-2023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45200</v>
      </c>
      <c r="E364" s="1" t="n">
        <v>46220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17001-2025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45755</v>
      </c>
      <c r="E365" s="1" t="n">
        <v>46220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22390-2023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45070</v>
      </c>
      <c r="E366" s="1" t="n">
        <v>46220</v>
      </c>
      <c r="F366" t="inlineStr">
        <is>
          <t>KALMAR LÄN</t>
        </is>
      </c>
      <c r="G366" t="inlineStr">
        <is>
          <t>EMMABODA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51488-2023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46220</v>
      </c>
      <c r="F367" t="inlineStr">
        <is>
          <t>KALMAR LÄN</t>
        </is>
      </c>
      <c r="G367" t="inlineStr">
        <is>
          <t>EMMABODA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9263-2026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46220</v>
      </c>
      <c r="F368" t="inlineStr">
        <is>
          <t>KALMAR LÄN</t>
        </is>
      </c>
      <c r="G368" t="inlineStr">
        <is>
          <t>EMMABODA</t>
        </is>
      </c>
      <c r="H368" t="inlineStr">
        <is>
          <t>Kyrkan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2643-2023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44944</v>
      </c>
      <c r="E369" s="1" t="n">
        <v>46220</v>
      </c>
      <c r="F369" t="inlineStr">
        <is>
          <t>KALMAR LÄN</t>
        </is>
      </c>
      <c r="G369" t="inlineStr">
        <is>
          <t>EMMABODA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11061-2024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45370</v>
      </c>
      <c r="E370" s="1" t="n">
        <v>46220</v>
      </c>
      <c r="F370" t="inlineStr">
        <is>
          <t>KALMAR LÄN</t>
        </is>
      </c>
      <c r="G370" t="inlineStr">
        <is>
          <t>EMMABODA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15329-2024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45400</v>
      </c>
      <c r="E371" s="1" t="n">
        <v>46220</v>
      </c>
      <c r="F371" t="inlineStr">
        <is>
          <t>KALMAR LÄN</t>
        </is>
      </c>
      <c r="G371" t="inlineStr">
        <is>
          <t>EMMABODA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15699-2023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45021</v>
      </c>
      <c r="E372" s="1" t="n">
        <v>46220</v>
      </c>
      <c r="F372" t="inlineStr">
        <is>
          <t>KALMAR LÄN</t>
        </is>
      </c>
      <c r="G372" t="inlineStr">
        <is>
          <t>EMMABODA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9688-2026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46071</v>
      </c>
      <c r="E373" s="1" t="n">
        <v>46220</v>
      </c>
      <c r="F373" t="inlineStr">
        <is>
          <t>KALMAR LÄN</t>
        </is>
      </c>
      <c r="G373" t="inlineStr">
        <is>
          <t>EMMABODA</t>
        </is>
      </c>
      <c r="H373" t="inlineStr">
        <is>
          <t>Kyrkan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59764-2022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44900</v>
      </c>
      <c r="E374" s="1" t="n">
        <v>46220</v>
      </c>
      <c r="F374" t="inlineStr">
        <is>
          <t>KALMAR LÄN</t>
        </is>
      </c>
      <c r="G374" t="inlineStr">
        <is>
          <t>EMMABODA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62197-2022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44922</v>
      </c>
      <c r="E375" s="1" t="n">
        <v>46220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9724-2026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46071</v>
      </c>
      <c r="E376" s="1" t="n">
        <v>46220</v>
      </c>
      <c r="F376" t="inlineStr">
        <is>
          <t>KALMAR LÄN</t>
        </is>
      </c>
      <c r="G376" t="inlineStr">
        <is>
          <t>EMMABODA</t>
        </is>
      </c>
      <c r="H376" t="inlineStr">
        <is>
          <t>Kyrkan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32242-2022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44781</v>
      </c>
      <c r="E377" s="1" t="n">
        <v>46220</v>
      </c>
      <c r="F377" t="inlineStr">
        <is>
          <t>KALMAR LÄN</t>
        </is>
      </c>
      <c r="G377" t="inlineStr">
        <is>
          <t>EMMABODA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25783-2024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45466</v>
      </c>
      <c r="E378" s="1" t="n">
        <v>46220</v>
      </c>
      <c r="F378" t="inlineStr">
        <is>
          <t>KALMAR LÄN</t>
        </is>
      </c>
      <c r="G378" t="inlineStr">
        <is>
          <t>EMMABODA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9704-2026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46072</v>
      </c>
      <c r="E379" s="1" t="n">
        <v>46220</v>
      </c>
      <c r="F379" t="inlineStr">
        <is>
          <t>KALMAR LÄN</t>
        </is>
      </c>
      <c r="G379" t="inlineStr">
        <is>
          <t>EMMABODA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9713-2026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46072</v>
      </c>
      <c r="E380" s="1" t="n">
        <v>46220</v>
      </c>
      <c r="F380" t="inlineStr">
        <is>
          <t>KALMAR LÄN</t>
        </is>
      </c>
      <c r="G380" t="inlineStr">
        <is>
          <t>EMMABODA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9723-2026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46220</v>
      </c>
      <c r="F381" t="inlineStr">
        <is>
          <t>KALMAR LÄN</t>
        </is>
      </c>
      <c r="G381" t="inlineStr">
        <is>
          <t>EMMABODA</t>
        </is>
      </c>
      <c r="H381" t="inlineStr">
        <is>
          <t>Kyrkan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10673-2026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46078</v>
      </c>
      <c r="E382" s="1" t="n">
        <v>46220</v>
      </c>
      <c r="F382" t="inlineStr">
        <is>
          <t>KALMAR LÄN</t>
        </is>
      </c>
      <c r="G382" t="inlineStr">
        <is>
          <t>EMMABODA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9684-2025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45716</v>
      </c>
      <c r="E383" s="1" t="n">
        <v>46220</v>
      </c>
      <c r="F383" t="inlineStr">
        <is>
          <t>KALMAR LÄN</t>
        </is>
      </c>
      <c r="G383" t="inlineStr">
        <is>
          <t>EMMABODA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10927-2026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46079</v>
      </c>
      <c r="E384" s="1" t="n">
        <v>46220</v>
      </c>
      <c r="F384" t="inlineStr">
        <is>
          <t>KALMAR LÄN</t>
        </is>
      </c>
      <c r="G384" t="inlineStr">
        <is>
          <t>EMMABODA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4400-2024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45327</v>
      </c>
      <c r="E385" s="1" t="n">
        <v>46220</v>
      </c>
      <c r="F385" t="inlineStr">
        <is>
          <t>KALMAR LÄN</t>
        </is>
      </c>
      <c r="G385" t="inlineStr">
        <is>
          <t>EMMABODA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10991-2026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46220</v>
      </c>
      <c r="F386" t="inlineStr">
        <is>
          <t>KALMAR LÄN</t>
        </is>
      </c>
      <c r="G386" t="inlineStr">
        <is>
          <t>EMMABODA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52206-2023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46220</v>
      </c>
      <c r="F387" t="inlineStr">
        <is>
          <t>KALMAR LÄN</t>
        </is>
      </c>
      <c r="G387" t="inlineStr">
        <is>
          <t>EMMABODA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18478-2024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45425</v>
      </c>
      <c r="E388" s="1" t="n">
        <v>46220</v>
      </c>
      <c r="F388" t="inlineStr">
        <is>
          <t>KALMAR LÄN</t>
        </is>
      </c>
      <c r="G388" t="inlineStr">
        <is>
          <t>EMMABODA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11820-2026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46085</v>
      </c>
      <c r="E389" s="1" t="n">
        <v>46220</v>
      </c>
      <c r="F389" t="inlineStr">
        <is>
          <t>KALMAR LÄN</t>
        </is>
      </c>
      <c r="G389" t="inlineStr">
        <is>
          <t>EMMABODA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3871-2023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44951</v>
      </c>
      <c r="E390" s="1" t="n">
        <v>46220</v>
      </c>
      <c r="F390" t="inlineStr">
        <is>
          <t>KALMAR LÄN</t>
        </is>
      </c>
      <c r="G390" t="inlineStr">
        <is>
          <t>EMMABODA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11945-2026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46220</v>
      </c>
      <c r="F391" t="inlineStr">
        <is>
          <t>KALMAR LÄN</t>
        </is>
      </c>
      <c r="G391" t="inlineStr">
        <is>
          <t>EMMABODA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11903-2026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46220</v>
      </c>
      <c r="F392" t="inlineStr">
        <is>
          <t>KALMAR LÄN</t>
        </is>
      </c>
      <c r="G392" t="inlineStr">
        <is>
          <t>EMMABODA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12428-2026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46090</v>
      </c>
      <c r="E393" s="1" t="n">
        <v>46220</v>
      </c>
      <c r="F393" t="inlineStr">
        <is>
          <t>KALMAR LÄN</t>
        </is>
      </c>
      <c r="G393" t="inlineStr">
        <is>
          <t>EMMABODA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28159-2023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45099</v>
      </c>
      <c r="E394" s="1" t="n">
        <v>46220</v>
      </c>
      <c r="F394" t="inlineStr">
        <is>
          <t>KALMAR LÄN</t>
        </is>
      </c>
      <c r="G394" t="inlineStr">
        <is>
          <t>EMMABODA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48957-2023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46220</v>
      </c>
      <c r="F395" t="inlineStr">
        <is>
          <t>KALMAR LÄN</t>
        </is>
      </c>
      <c r="G395" t="inlineStr">
        <is>
          <t>EMMABODA</t>
        </is>
      </c>
      <c r="H395" t="inlineStr">
        <is>
          <t>Övriga Aktiebolag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41948-2024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45561</v>
      </c>
      <c r="E396" s="1" t="n">
        <v>46220</v>
      </c>
      <c r="F396" t="inlineStr">
        <is>
          <t>KALMAR LÄN</t>
        </is>
      </c>
      <c r="G396" t="inlineStr">
        <is>
          <t>EMMABODA</t>
        </is>
      </c>
      <c r="H396" t="inlineStr">
        <is>
          <t>Övriga Aktiebolag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43616-2021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44433</v>
      </c>
      <c r="E397" s="1" t="n">
        <v>46220</v>
      </c>
      <c r="F397" t="inlineStr">
        <is>
          <t>KALMAR LÄN</t>
        </is>
      </c>
      <c r="G397" t="inlineStr">
        <is>
          <t>EMMABODA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60142-2023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45258</v>
      </c>
      <c r="E398" s="1" t="n">
        <v>46220</v>
      </c>
      <c r="F398" t="inlineStr">
        <is>
          <t>KALMAR LÄN</t>
        </is>
      </c>
      <c r="G398" t="inlineStr">
        <is>
          <t>EMMABODA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11616-2025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45727</v>
      </c>
      <c r="E399" s="1" t="n">
        <v>46220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7834-2024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45349</v>
      </c>
      <c r="E400" s="1" t="n">
        <v>46220</v>
      </c>
      <c r="F400" t="inlineStr">
        <is>
          <t>KALMAR LÄN</t>
        </is>
      </c>
      <c r="G400" t="inlineStr">
        <is>
          <t>EMMABODA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45310</v>
      </c>
      <c r="E401" s="1" t="n">
        <v>46220</v>
      </c>
      <c r="F401" t="inlineStr">
        <is>
          <t>KALMAR LÄN</t>
        </is>
      </c>
      <c r="G401" t="inlineStr">
        <is>
          <t>EMMABODA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14167-2025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46220</v>
      </c>
      <c r="F402" t="inlineStr">
        <is>
          <t>KALMAR LÄN</t>
        </is>
      </c>
      <c r="G402" t="inlineStr">
        <is>
          <t>EMMABODA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44215-2024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45573</v>
      </c>
      <c r="E403" s="1" t="n">
        <v>46220</v>
      </c>
      <c r="F403" t="inlineStr">
        <is>
          <t>KALMAR LÄN</t>
        </is>
      </c>
      <c r="G403" t="inlineStr">
        <is>
          <t>EMMABODA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14962-2025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45743</v>
      </c>
      <c r="E404" s="1" t="n">
        <v>46220</v>
      </c>
      <c r="F404" t="inlineStr">
        <is>
          <t>KALMAR LÄN</t>
        </is>
      </c>
      <c r="G404" t="inlineStr">
        <is>
          <t>EMMABODA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24779-2022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44728</v>
      </c>
      <c r="E405" s="1" t="n">
        <v>46220</v>
      </c>
      <c r="F405" t="inlineStr">
        <is>
          <t>KALMAR LÄN</t>
        </is>
      </c>
      <c r="G405" t="inlineStr">
        <is>
          <t>EMMABODA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60141-2023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46220</v>
      </c>
      <c r="F406" t="inlineStr">
        <is>
          <t>KALMAR LÄN</t>
        </is>
      </c>
      <c r="G406" t="inlineStr">
        <is>
          <t>EMMABODA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60143-2023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45258</v>
      </c>
      <c r="E407" s="1" t="n">
        <v>46220</v>
      </c>
      <c r="F407" t="inlineStr">
        <is>
          <t>KALMAR LÄN</t>
        </is>
      </c>
      <c r="G407" t="inlineStr">
        <is>
          <t>EMMABODA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50309-2024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45600</v>
      </c>
      <c r="E408" s="1" t="n">
        <v>46220</v>
      </c>
      <c r="F408" t="inlineStr">
        <is>
          <t>KALMAR LÄN</t>
        </is>
      </c>
      <c r="G408" t="inlineStr">
        <is>
          <t>EMMABODA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44930</v>
      </c>
      <c r="E409" s="1" t="n">
        <v>46220</v>
      </c>
      <c r="F409" t="inlineStr">
        <is>
          <t>KALMAR LÄN</t>
        </is>
      </c>
      <c r="G409" t="inlineStr">
        <is>
          <t>EMMABODA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15292-2024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45400</v>
      </c>
      <c r="E410" s="1" t="n">
        <v>46220</v>
      </c>
      <c r="F410" t="inlineStr">
        <is>
          <t>KALMAR LÄN</t>
        </is>
      </c>
      <c r="G410" t="inlineStr">
        <is>
          <t>EMMABODA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20102-2022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44698</v>
      </c>
      <c r="E411" s="1" t="n">
        <v>46220</v>
      </c>
      <c r="F411" t="inlineStr">
        <is>
          <t>KALMAR LÄN</t>
        </is>
      </c>
      <c r="G411" t="inlineStr">
        <is>
          <t>EMMABODA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15502-2026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46220</v>
      </c>
      <c r="F412" t="inlineStr">
        <is>
          <t>KALMAR LÄN</t>
        </is>
      </c>
      <c r="G412" t="inlineStr">
        <is>
          <t>EMMABODA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15515-2026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46220</v>
      </c>
      <c r="F413" t="inlineStr">
        <is>
          <t>KALMAR LÄN</t>
        </is>
      </c>
      <c r="G413" t="inlineStr">
        <is>
          <t>EMMABODA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16236-2023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45028</v>
      </c>
      <c r="E414" s="1" t="n">
        <v>46220</v>
      </c>
      <c r="F414" t="inlineStr">
        <is>
          <t>KALMAR LÄN</t>
        </is>
      </c>
      <c r="G414" t="inlineStr">
        <is>
          <t>EMMABODA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14068-2024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45392</v>
      </c>
      <c r="E415" s="1" t="n">
        <v>46220</v>
      </c>
      <c r="F415" t="inlineStr">
        <is>
          <t>KALMAR LÄN</t>
        </is>
      </c>
      <c r="G415" t="inlineStr">
        <is>
          <t>EMMABODA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35490-2024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45531</v>
      </c>
      <c r="E416" s="1" t="n">
        <v>46220</v>
      </c>
      <c r="F416" t="inlineStr">
        <is>
          <t>KALMAR LÄN</t>
        </is>
      </c>
      <c r="G416" t="inlineStr">
        <is>
          <t>EMMABODA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57916-2022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46220</v>
      </c>
      <c r="F417" t="inlineStr">
        <is>
          <t>KALMAR LÄN</t>
        </is>
      </c>
      <c r="G417" t="inlineStr">
        <is>
          <t>EMMABODA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46192-2023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45196</v>
      </c>
      <c r="E418" s="1" t="n">
        <v>46220</v>
      </c>
      <c r="F418" t="inlineStr">
        <is>
          <t>KALMAR LÄN</t>
        </is>
      </c>
      <c r="G418" t="inlineStr">
        <is>
          <t>EMMABODA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15693-2026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46220</v>
      </c>
      <c r="F419" t="inlineStr">
        <is>
          <t>KALMAR LÄN</t>
        </is>
      </c>
      <c r="G419" t="inlineStr">
        <is>
          <t>EMMABODA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3666-2022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44586</v>
      </c>
      <c r="E420" s="1" t="n">
        <v>46220</v>
      </c>
      <c r="F420" t="inlineStr">
        <is>
          <t>KALMAR LÄN</t>
        </is>
      </c>
      <c r="G420" t="inlineStr">
        <is>
          <t>EMMABODA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38123-2023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45161</v>
      </c>
      <c r="E421" s="1" t="n">
        <v>46220</v>
      </c>
      <c r="F421" t="inlineStr">
        <is>
          <t>KALMAR LÄN</t>
        </is>
      </c>
      <c r="G421" t="inlineStr">
        <is>
          <t>EMMABODA</t>
        </is>
      </c>
      <c r="H421" t="inlineStr">
        <is>
          <t>Kommuner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42279-2023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45180</v>
      </c>
      <c r="E422" s="1" t="n">
        <v>46220</v>
      </c>
      <c r="F422" t="inlineStr">
        <is>
          <t>KALMAR LÄN</t>
        </is>
      </c>
      <c r="G422" t="inlineStr">
        <is>
          <t>EMMABODA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40013-2021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44418</v>
      </c>
      <c r="E423" s="1" t="n">
        <v>46220</v>
      </c>
      <c r="F423" t="inlineStr">
        <is>
          <t>KALMAR LÄN</t>
        </is>
      </c>
      <c r="G423" t="inlineStr">
        <is>
          <t>EMMABODA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9791-2025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45716</v>
      </c>
      <c r="E424" s="1" t="n">
        <v>46220</v>
      </c>
      <c r="F424" t="inlineStr">
        <is>
          <t>KALMAR LÄN</t>
        </is>
      </c>
      <c r="G424" t="inlineStr">
        <is>
          <t>EMMABODA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19101-2023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45048</v>
      </c>
      <c r="E425" s="1" t="n">
        <v>46220</v>
      </c>
      <c r="F425" t="inlineStr">
        <is>
          <t>KALMAR LÄN</t>
        </is>
      </c>
      <c r="G425" t="inlineStr">
        <is>
          <t>EMMABODA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17444-2026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46220</v>
      </c>
      <c r="F426" t="inlineStr">
        <is>
          <t>KALMAR LÄN</t>
        </is>
      </c>
      <c r="G426" t="inlineStr">
        <is>
          <t>EMMABODA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17415-2026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46220</v>
      </c>
      <c r="F427" t="inlineStr">
        <is>
          <t>KALMAR LÄN</t>
        </is>
      </c>
      <c r="G427" t="inlineStr">
        <is>
          <t>EMMABODA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11621-2025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46220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17417-2026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46220</v>
      </c>
      <c r="F429" t="inlineStr">
        <is>
          <t>KALMAR LÄN</t>
        </is>
      </c>
      <c r="G429" t="inlineStr">
        <is>
          <t>EMMABODA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17413-2026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46220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17423-2026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46220</v>
      </c>
      <c r="F431" t="inlineStr">
        <is>
          <t>KALMAR LÄN</t>
        </is>
      </c>
      <c r="G431" t="inlineStr">
        <is>
          <t>EMMABODA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57717-2022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44897</v>
      </c>
      <c r="E432" s="1" t="n">
        <v>46220</v>
      </c>
      <c r="F432" t="inlineStr">
        <is>
          <t>KALMAR LÄN</t>
        </is>
      </c>
      <c r="G432" t="inlineStr">
        <is>
          <t>EMMABODA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53447-2024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45614</v>
      </c>
      <c r="E433" s="1" t="n">
        <v>46220</v>
      </c>
      <c r="F433" t="inlineStr">
        <is>
          <t>KALMAR LÄN</t>
        </is>
      </c>
      <c r="G433" t="inlineStr">
        <is>
          <t>EMMABODA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50467-2021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44455</v>
      </c>
      <c r="E434" s="1" t="n">
        <v>46220</v>
      </c>
      <c r="F434" t="inlineStr">
        <is>
          <t>KALMAR LÄN</t>
        </is>
      </c>
      <c r="G434" t="inlineStr">
        <is>
          <t>EMMABODA</t>
        </is>
      </c>
      <c r="H434" t="inlineStr">
        <is>
          <t>Övriga Aktiebolag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53704-2023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45230</v>
      </c>
      <c r="E435" s="1" t="n">
        <v>46220</v>
      </c>
      <c r="F435" t="inlineStr">
        <is>
          <t>KALMAR LÄN</t>
        </is>
      </c>
      <c r="G435" t="inlineStr">
        <is>
          <t>EMMABODA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8361-2023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46220</v>
      </c>
      <c r="F436" t="inlineStr">
        <is>
          <t>KALMAR LÄN</t>
        </is>
      </c>
      <c r="G436" t="inlineStr">
        <is>
          <t>EMMABODA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18488-2026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46127</v>
      </c>
      <c r="E437" s="1" t="n">
        <v>46220</v>
      </c>
      <c r="F437" t="inlineStr">
        <is>
          <t>KALMAR LÄN</t>
        </is>
      </c>
      <c r="G437" t="inlineStr">
        <is>
          <t>EMMABODA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47451-2024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45587</v>
      </c>
      <c r="E438" s="1" t="n">
        <v>46220</v>
      </c>
      <c r="F438" t="inlineStr">
        <is>
          <t>KALMAR LÄN</t>
        </is>
      </c>
      <c r="G438" t="inlineStr">
        <is>
          <t>EMMABODA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18444-2026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46127</v>
      </c>
      <c r="E439" s="1" t="n">
        <v>46220</v>
      </c>
      <c r="F439" t="inlineStr">
        <is>
          <t>KALMAR LÄN</t>
        </is>
      </c>
      <c r="G439" t="inlineStr">
        <is>
          <t>EMMABODA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18437-2026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46127</v>
      </c>
      <c r="E440" s="1" t="n">
        <v>46220</v>
      </c>
      <c r="F440" t="inlineStr">
        <is>
          <t>KALMAR LÄN</t>
        </is>
      </c>
      <c r="G440" t="inlineStr">
        <is>
          <t>EMMABODA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46220</v>
      </c>
      <c r="F441" t="inlineStr">
        <is>
          <t>KALMAR LÄN</t>
        </is>
      </c>
      <c r="G441" t="inlineStr">
        <is>
          <t>EMMABODA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37650-2021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44400</v>
      </c>
      <c r="E442" s="1" t="n">
        <v>46220</v>
      </c>
      <c r="F442" t="inlineStr">
        <is>
          <t>KALMAR LÄN</t>
        </is>
      </c>
      <c r="G442" t="inlineStr">
        <is>
          <t>EMMABODA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19299-2026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46220</v>
      </c>
      <c r="F443" t="inlineStr">
        <is>
          <t>KALMAR LÄN</t>
        </is>
      </c>
      <c r="G443" t="inlineStr">
        <is>
          <t>EMMABODA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55590-2024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45622</v>
      </c>
      <c r="E444" s="1" t="n">
        <v>46220</v>
      </c>
      <c r="F444" t="inlineStr">
        <is>
          <t>KALMAR LÄN</t>
        </is>
      </c>
      <c r="G444" t="inlineStr">
        <is>
          <t>EMMABODA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19545-2026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46134</v>
      </c>
      <c r="E445" s="1" t="n">
        <v>46220</v>
      </c>
      <c r="F445" t="inlineStr">
        <is>
          <t>KALMAR LÄN</t>
        </is>
      </c>
      <c r="G445" t="inlineStr">
        <is>
          <t>EMMABODA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11437-2023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44993</v>
      </c>
      <c r="E446" s="1" t="n">
        <v>46220</v>
      </c>
      <c r="F446" t="inlineStr">
        <is>
          <t>KALMAR LÄN</t>
        </is>
      </c>
      <c r="G446" t="inlineStr">
        <is>
          <t>EMMABODA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20362-2026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46220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26923-2023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45093</v>
      </c>
      <c r="E448" s="1" t="n">
        <v>46220</v>
      </c>
      <c r="F448" t="inlineStr">
        <is>
          <t>KALMAR LÄN</t>
        </is>
      </c>
      <c r="G448" t="inlineStr">
        <is>
          <t>EMMABODA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14080-2024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45392</v>
      </c>
      <c r="E449" s="1" t="n">
        <v>46220</v>
      </c>
      <c r="F449" t="inlineStr">
        <is>
          <t>KALMAR LÄN</t>
        </is>
      </c>
      <c r="G449" t="inlineStr">
        <is>
          <t>EMMABODA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6330-2023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44965</v>
      </c>
      <c r="E450" s="1" t="n">
        <v>46220</v>
      </c>
      <c r="F450" t="inlineStr">
        <is>
          <t>KALMAR LÄN</t>
        </is>
      </c>
      <c r="G450" t="inlineStr">
        <is>
          <t>EMMABODA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54857-2025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46220</v>
      </c>
      <c r="F451" t="inlineStr">
        <is>
          <t>KALMAR LÄN</t>
        </is>
      </c>
      <c r="G451" t="inlineStr">
        <is>
          <t>EMMABODA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42424-2025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45905</v>
      </c>
      <c r="E452" s="1" t="n">
        <v>46220</v>
      </c>
      <c r="F452" t="inlineStr">
        <is>
          <t>KALMAR LÄN</t>
        </is>
      </c>
      <c r="G452" t="inlineStr">
        <is>
          <t>EMMABODA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27676-2022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44743</v>
      </c>
      <c r="E453" s="1" t="n">
        <v>46220</v>
      </c>
      <c r="F453" t="inlineStr">
        <is>
          <t>KALMAR LÄN</t>
        </is>
      </c>
      <c r="G453" t="inlineStr">
        <is>
          <t>EMMABODA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29023-2022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44749</v>
      </c>
      <c r="E454" s="1" t="n">
        <v>46220</v>
      </c>
      <c r="F454" t="inlineStr">
        <is>
          <t>KALMAR LÄN</t>
        </is>
      </c>
      <c r="G454" t="inlineStr">
        <is>
          <t>EMMABODA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4401-2024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46220</v>
      </c>
      <c r="F455" t="inlineStr">
        <is>
          <t>KALMAR LÄN</t>
        </is>
      </c>
      <c r="G455" t="inlineStr">
        <is>
          <t>EMMABODA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4393-2024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45327</v>
      </c>
      <c r="E456" s="1" t="n">
        <v>46220</v>
      </c>
      <c r="F456" t="inlineStr">
        <is>
          <t>KALMAR LÄN</t>
        </is>
      </c>
      <c r="G456" t="inlineStr">
        <is>
          <t>EMMABODA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41429-2025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45901</v>
      </c>
      <c r="E457" s="1" t="n">
        <v>46220</v>
      </c>
      <c r="F457" t="inlineStr">
        <is>
          <t>KALMAR LÄN</t>
        </is>
      </c>
      <c r="G457" t="inlineStr">
        <is>
          <t>EMMABODA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43135-2025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45909</v>
      </c>
      <c r="E458" s="1" t="n">
        <v>46220</v>
      </c>
      <c r="F458" t="inlineStr">
        <is>
          <t>KALMAR LÄN</t>
        </is>
      </c>
      <c r="G458" t="inlineStr">
        <is>
          <t>EMMABODA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41366-2024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45559</v>
      </c>
      <c r="E459" s="1" t="n">
        <v>46220</v>
      </c>
      <c r="F459" t="inlineStr">
        <is>
          <t>KALMAR LÄN</t>
        </is>
      </c>
      <c r="G459" t="inlineStr">
        <is>
          <t>EMMABODA</t>
        </is>
      </c>
      <c r="H459" t="inlineStr">
        <is>
          <t>Övriga Aktiebolag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42836-2023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45182</v>
      </c>
      <c r="E460" s="1" t="n">
        <v>46220</v>
      </c>
      <c r="F460" t="inlineStr">
        <is>
          <t>KALMAR LÄN</t>
        </is>
      </c>
      <c r="G460" t="inlineStr">
        <is>
          <t>EMMABODA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19881-2024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45433</v>
      </c>
      <c r="E461" s="1" t="n">
        <v>46220</v>
      </c>
      <c r="F461" t="inlineStr">
        <is>
          <t>KALMAR LÄN</t>
        </is>
      </c>
      <c r="G461" t="inlineStr">
        <is>
          <t>EMMABODA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29757-2023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45107</v>
      </c>
      <c r="E462" s="1" t="n">
        <v>46220</v>
      </c>
      <c r="F462" t="inlineStr">
        <is>
          <t>KALMAR LÄN</t>
        </is>
      </c>
      <c r="G462" t="inlineStr">
        <is>
          <t>EMMABODA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39411-2024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45551</v>
      </c>
      <c r="E463" s="1" t="n">
        <v>46220</v>
      </c>
      <c r="F463" t="inlineStr">
        <is>
          <t>KALMAR LÄN</t>
        </is>
      </c>
      <c r="G463" t="inlineStr">
        <is>
          <t>EMMABODA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15448-2024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45401</v>
      </c>
      <c r="E464" s="1" t="n">
        <v>46220</v>
      </c>
      <c r="F464" t="inlineStr">
        <is>
          <t>KALMAR LÄN</t>
        </is>
      </c>
      <c r="G464" t="inlineStr">
        <is>
          <t>EMMABODA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46527-2025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46220</v>
      </c>
      <c r="F465" t="inlineStr">
        <is>
          <t>KALMAR LÄN</t>
        </is>
      </c>
      <c r="G465" t="inlineStr">
        <is>
          <t>EMMABODA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13801-2023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45007</v>
      </c>
      <c r="E466" s="1" t="n">
        <v>46220</v>
      </c>
      <c r="F466" t="inlineStr">
        <is>
          <t>KALMAR LÄN</t>
        </is>
      </c>
      <c r="G466" t="inlineStr">
        <is>
          <t>EMMABODA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13805-2023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45007</v>
      </c>
      <c r="E467" s="1" t="n">
        <v>46220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7719-2025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45706</v>
      </c>
      <c r="E468" s="1" t="n">
        <v>46220</v>
      </c>
      <c r="F468" t="inlineStr">
        <is>
          <t>KALMAR LÄN</t>
        </is>
      </c>
      <c r="G468" t="inlineStr">
        <is>
          <t>EMMABODA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35849-2023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45148</v>
      </c>
      <c r="E469" s="1" t="n">
        <v>46220</v>
      </c>
      <c r="F469" t="inlineStr">
        <is>
          <t>KALMAR LÄN</t>
        </is>
      </c>
      <c r="G469" t="inlineStr">
        <is>
          <t>EMMABODA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24784-2023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45084</v>
      </c>
      <c r="E470" s="1" t="n">
        <v>46220</v>
      </c>
      <c r="F470" t="inlineStr">
        <is>
          <t>KALMAR LÄN</t>
        </is>
      </c>
      <c r="G470" t="inlineStr">
        <is>
          <t>EMMABODA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58640-2024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45632</v>
      </c>
      <c r="E471" s="1" t="n">
        <v>46220</v>
      </c>
      <c r="F471" t="inlineStr">
        <is>
          <t>KALMAR LÄN</t>
        </is>
      </c>
      <c r="G471" t="inlineStr">
        <is>
          <t>EMMABODA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44533-2024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45574</v>
      </c>
      <c r="E472" s="1" t="n">
        <v>46220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36496-2024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45537</v>
      </c>
      <c r="E473" s="1" t="n">
        <v>46220</v>
      </c>
      <c r="F473" t="inlineStr">
        <is>
          <t>KALMAR LÄN</t>
        </is>
      </c>
      <c r="G473" t="inlineStr">
        <is>
          <t>EMMABODA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64681-2023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45281</v>
      </c>
      <c r="E474" s="1" t="n">
        <v>46220</v>
      </c>
      <c r="F474" t="inlineStr">
        <is>
          <t>KALMAR LÄN</t>
        </is>
      </c>
      <c r="G474" t="inlineStr">
        <is>
          <t>EMMABODA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49626-2023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46220</v>
      </c>
      <c r="F475" t="inlineStr">
        <is>
          <t>KALMAR LÄN</t>
        </is>
      </c>
      <c r="G475" t="inlineStr">
        <is>
          <t>EMMABODA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15787-2023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45021</v>
      </c>
      <c r="E476" s="1" t="n">
        <v>46220</v>
      </c>
      <c r="F476" t="inlineStr">
        <is>
          <t>KALMAR LÄN</t>
        </is>
      </c>
      <c r="G476" t="inlineStr">
        <is>
          <t>EMMABODA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28217-2025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45818</v>
      </c>
      <c r="E477" s="1" t="n">
        <v>46220</v>
      </c>
      <c r="F477" t="inlineStr">
        <is>
          <t>KALMAR LÄN</t>
        </is>
      </c>
      <c r="G477" t="inlineStr">
        <is>
          <t>EMMABODA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44145-2025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45915</v>
      </c>
      <c r="E478" s="1" t="n">
        <v>46220</v>
      </c>
      <c r="F478" t="inlineStr">
        <is>
          <t>KALMAR LÄN</t>
        </is>
      </c>
      <c r="G478" t="inlineStr">
        <is>
          <t>EMMABODA</t>
        </is>
      </c>
      <c r="H478" t="inlineStr">
        <is>
          <t>Övriga Aktiebolag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68940-2021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44530</v>
      </c>
      <c r="E479" s="1" t="n">
        <v>46220</v>
      </c>
      <c r="F479" t="inlineStr">
        <is>
          <t>KALMAR LÄN</t>
        </is>
      </c>
      <c r="G479" t="inlineStr">
        <is>
          <t>EMMABODA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44540-2023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45189</v>
      </c>
      <c r="E480" s="1" t="n">
        <v>46220</v>
      </c>
      <c r="F480" t="inlineStr">
        <is>
          <t>KALMAR LÄN</t>
        </is>
      </c>
      <c r="G480" t="inlineStr">
        <is>
          <t>EMMABODA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1741-2023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44938</v>
      </c>
      <c r="E481" s="1" t="n">
        <v>46220</v>
      </c>
      <c r="F481" t="inlineStr">
        <is>
          <t>KALMAR LÄN</t>
        </is>
      </c>
      <c r="G481" t="inlineStr">
        <is>
          <t>EMMABODA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46775-2022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44851</v>
      </c>
      <c r="E482" s="1" t="n">
        <v>46220</v>
      </c>
      <c r="F482" t="inlineStr">
        <is>
          <t>KALMAR LÄN</t>
        </is>
      </c>
      <c r="G482" t="inlineStr">
        <is>
          <t>EMMABODA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28682-2025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45819</v>
      </c>
      <c r="E483" s="1" t="n">
        <v>46220</v>
      </c>
      <c r="F483" t="inlineStr">
        <is>
          <t>KALMAR LÄN</t>
        </is>
      </c>
      <c r="G483" t="inlineStr">
        <is>
          <t>EMMABODA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44960</v>
      </c>
      <c r="E484" s="1" t="n">
        <v>46220</v>
      </c>
      <c r="F484" t="inlineStr">
        <is>
          <t>KALMAR LÄN</t>
        </is>
      </c>
      <c r="G484" t="inlineStr">
        <is>
          <t>EMMABODA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34245-2024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45524</v>
      </c>
      <c r="E485" s="1" t="n">
        <v>46220</v>
      </c>
      <c r="F485" t="inlineStr">
        <is>
          <t>KALMAR LÄN</t>
        </is>
      </c>
      <c r="G485" t="inlineStr">
        <is>
          <t>EMMABODA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28212-2025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45818</v>
      </c>
      <c r="E486" s="1" t="n">
        <v>46220</v>
      </c>
      <c r="F486" t="inlineStr">
        <is>
          <t>KALMAR LÄN</t>
        </is>
      </c>
      <c r="G486" t="inlineStr">
        <is>
          <t>EMMABODA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62164-2025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46220</v>
      </c>
      <c r="F487" t="inlineStr">
        <is>
          <t>KALMAR LÄN</t>
        </is>
      </c>
      <c r="G487" t="inlineStr">
        <is>
          <t>EMMABODA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59737-2021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44494</v>
      </c>
      <c r="E488" s="1" t="n">
        <v>46220</v>
      </c>
      <c r="F488" t="inlineStr">
        <is>
          <t>KALMAR LÄN</t>
        </is>
      </c>
      <c r="G488" t="inlineStr">
        <is>
          <t>EMMABODA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55815-2025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45972</v>
      </c>
      <c r="E489" s="1" t="n">
        <v>46220</v>
      </c>
      <c r="F489" t="inlineStr">
        <is>
          <t>KALMAR LÄN</t>
        </is>
      </c>
      <c r="G489" t="inlineStr">
        <is>
          <t>EMMABODA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56549-2022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44893</v>
      </c>
      <c r="E490" s="1" t="n">
        <v>46220</v>
      </c>
      <c r="F490" t="inlineStr">
        <is>
          <t>KALMAR LÄN</t>
        </is>
      </c>
      <c r="G490" t="inlineStr">
        <is>
          <t>EMMABODA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38104-2021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44405</v>
      </c>
      <c r="E491" s="1" t="n">
        <v>46220</v>
      </c>
      <c r="F491" t="inlineStr">
        <is>
          <t>KALMAR LÄN</t>
        </is>
      </c>
      <c r="G491" t="inlineStr">
        <is>
          <t>EMMABODA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63254-2025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46010</v>
      </c>
      <c r="E492" s="1" t="n">
        <v>46220</v>
      </c>
      <c r="F492" t="inlineStr">
        <is>
          <t>KALMAR LÄN</t>
        </is>
      </c>
      <c r="G492" t="inlineStr">
        <is>
          <t>EMMABODA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66333-2021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44518</v>
      </c>
      <c r="E493" s="1" t="n">
        <v>46220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24776-2022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44728</v>
      </c>
      <c r="E494" s="1" t="n">
        <v>46220</v>
      </c>
      <c r="F494" t="inlineStr">
        <is>
          <t>KALMAR LÄN</t>
        </is>
      </c>
      <c r="G494" t="inlineStr">
        <is>
          <t>EMMABODA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14096-2023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45009</v>
      </c>
      <c r="E495" s="1" t="n">
        <v>46220</v>
      </c>
      <c r="F495" t="inlineStr">
        <is>
          <t>KALMAR LÄN</t>
        </is>
      </c>
      <c r="G495" t="inlineStr">
        <is>
          <t>EMMABODA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14112-2023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45009</v>
      </c>
      <c r="E496" s="1" t="n">
        <v>46220</v>
      </c>
      <c r="F496" t="inlineStr">
        <is>
          <t>KALMAR LÄN</t>
        </is>
      </c>
      <c r="G496" t="inlineStr">
        <is>
          <t>EMMABODA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14138-2023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45009</v>
      </c>
      <c r="E497" s="1" t="n">
        <v>46220</v>
      </c>
      <c r="F497" t="inlineStr">
        <is>
          <t>KALMAR LÄN</t>
        </is>
      </c>
      <c r="G497" t="inlineStr">
        <is>
          <t>EMMABODA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14140-2023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45009</v>
      </c>
      <c r="E498" s="1" t="n">
        <v>46220</v>
      </c>
      <c r="F498" t="inlineStr">
        <is>
          <t>KALMAR LÄN</t>
        </is>
      </c>
      <c r="G498" t="inlineStr">
        <is>
          <t>EMMABODA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61791-2022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44911</v>
      </c>
      <c r="E499" s="1" t="n">
        <v>46220</v>
      </c>
      <c r="F499" t="inlineStr">
        <is>
          <t>KALMAR LÄN</t>
        </is>
      </c>
      <c r="G499" t="inlineStr">
        <is>
          <t>EMMABODA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37630-2023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45159</v>
      </c>
      <c r="E500" s="1" t="n">
        <v>46220</v>
      </c>
      <c r="F500" t="inlineStr">
        <is>
          <t>KALMAR LÄN</t>
        </is>
      </c>
      <c r="G500" t="inlineStr">
        <is>
          <t>EMMABODA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32661-2024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45514</v>
      </c>
      <c r="E501" s="1" t="n">
        <v>46220</v>
      </c>
      <c r="F501" t="inlineStr">
        <is>
          <t>KALMAR LÄN</t>
        </is>
      </c>
      <c r="G501" t="inlineStr">
        <is>
          <t>EMMABODA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32666-2024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45514</v>
      </c>
      <c r="E502" s="1" t="n">
        <v>46220</v>
      </c>
      <c r="F502" t="inlineStr">
        <is>
          <t>KALMAR LÄN</t>
        </is>
      </c>
      <c r="G502" t="inlineStr">
        <is>
          <t>EMMABODA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47291-2023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45202</v>
      </c>
      <c r="E503" s="1" t="n">
        <v>46220</v>
      </c>
      <c r="F503" t="inlineStr">
        <is>
          <t>KALMAR LÄN</t>
        </is>
      </c>
      <c r="G503" t="inlineStr">
        <is>
          <t>EMMABODA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54855-2025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45966</v>
      </c>
      <c r="E504" s="1" t="n">
        <v>46220</v>
      </c>
      <c r="F504" t="inlineStr">
        <is>
          <t>KALMAR LÄN</t>
        </is>
      </c>
      <c r="G504" t="inlineStr">
        <is>
          <t>EMMABODA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53350-2022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44879</v>
      </c>
      <c r="E505" s="1" t="n">
        <v>46220</v>
      </c>
      <c r="F505" t="inlineStr">
        <is>
          <t>KALMAR LÄN</t>
        </is>
      </c>
      <c r="G505" t="inlineStr">
        <is>
          <t>EMMABODA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26193-2026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46220</v>
      </c>
      <c r="F506" t="inlineStr">
        <is>
          <t>KALMAR LÄN</t>
        </is>
      </c>
      <c r="G506" t="inlineStr">
        <is>
          <t>EMMABODA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26199-2026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46220</v>
      </c>
      <c r="F507" t="inlineStr">
        <is>
          <t>KALMAR LÄN</t>
        </is>
      </c>
      <c r="G507" t="inlineStr">
        <is>
          <t>EMMABODA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6283-2026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46055</v>
      </c>
      <c r="E508" s="1" t="n">
        <v>46220</v>
      </c>
      <c r="F508" t="inlineStr">
        <is>
          <t>KALMAR LÄN</t>
        </is>
      </c>
      <c r="G508" t="inlineStr">
        <is>
          <t>EMMABODA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49274-2025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45938</v>
      </c>
      <c r="E509" s="1" t="n">
        <v>46220</v>
      </c>
      <c r="F509" t="inlineStr">
        <is>
          <t>KALMAR LÄN</t>
        </is>
      </c>
      <c r="G509" t="inlineStr">
        <is>
          <t>EMMABODA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56693-2025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45976</v>
      </c>
      <c r="E510" s="1" t="n">
        <v>46220</v>
      </c>
      <c r="F510" t="inlineStr">
        <is>
          <t>KALMAR LÄN</t>
        </is>
      </c>
      <c r="G510" t="inlineStr">
        <is>
          <t>EMMABODA</t>
        </is>
      </c>
      <c r="I510" t="n">
        <v>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33061-2023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45126</v>
      </c>
      <c r="E511" s="1" t="n">
        <v>46220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33060-2023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45126</v>
      </c>
      <c r="E512" s="1" t="n">
        <v>46220</v>
      </c>
      <c r="F512" t="inlineStr">
        <is>
          <t>KALMAR LÄN</t>
        </is>
      </c>
      <c r="G512" t="inlineStr">
        <is>
          <t>EMMABODA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33083-2023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45126</v>
      </c>
      <c r="E513" s="1" t="n">
        <v>46220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37199-2023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45155</v>
      </c>
      <c r="E514" s="1" t="n">
        <v>46220</v>
      </c>
      <c r="F514" t="inlineStr">
        <is>
          <t>KALMAR LÄN</t>
        </is>
      </c>
      <c r="G514" t="inlineStr">
        <is>
          <t>EMMABODA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26502-2026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46183</v>
      </c>
      <c r="E515" s="1" t="n">
        <v>46220</v>
      </c>
      <c r="F515" t="inlineStr">
        <is>
          <t>KALMAR LÄN</t>
        </is>
      </c>
      <c r="G515" t="inlineStr">
        <is>
          <t>EMMABODA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20430-2026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46220</v>
      </c>
      <c r="F516" t="inlineStr">
        <is>
          <t>KALMAR LÄN</t>
        </is>
      </c>
      <c r="G516" t="inlineStr">
        <is>
          <t>EMMABODA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3666-2026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46220</v>
      </c>
      <c r="F517" t="inlineStr">
        <is>
          <t>KALMAR LÄN</t>
        </is>
      </c>
      <c r="G517" t="inlineStr">
        <is>
          <t>EMMABODA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56691-2025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45976</v>
      </c>
      <c r="E518" s="1" t="n">
        <v>46220</v>
      </c>
      <c r="F518" t="inlineStr">
        <is>
          <t>KALMAR LÄN</t>
        </is>
      </c>
      <c r="G518" t="inlineStr">
        <is>
          <t>EMMABODA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4173-2023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44953</v>
      </c>
      <c r="E519" s="1" t="n">
        <v>46220</v>
      </c>
      <c r="F519" t="inlineStr">
        <is>
          <t>KALMAR LÄN</t>
        </is>
      </c>
      <c r="G519" t="inlineStr">
        <is>
          <t>EMMABODA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9812-2024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45362</v>
      </c>
      <c r="E520" s="1" t="n">
        <v>46220</v>
      </c>
      <c r="F520" t="inlineStr">
        <is>
          <t>KALMAR LÄN</t>
        </is>
      </c>
      <c r="G520" t="inlineStr">
        <is>
          <t>EMMABODA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16134-2022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44665</v>
      </c>
      <c r="E521" s="1" t="n">
        <v>46220</v>
      </c>
      <c r="F521" t="inlineStr">
        <is>
          <t>KALMAR LÄN</t>
        </is>
      </c>
      <c r="G521" t="inlineStr">
        <is>
          <t>EMMABODA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20648-2022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44700</v>
      </c>
      <c r="E522" s="1" t="n">
        <v>46220</v>
      </c>
      <c r="F522" t="inlineStr">
        <is>
          <t>KALMAR LÄN</t>
        </is>
      </c>
      <c r="G522" t="inlineStr">
        <is>
          <t>EMMABODA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27028-2026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46220</v>
      </c>
      <c r="F523" t="inlineStr">
        <is>
          <t>KALMAR LÄN</t>
        </is>
      </c>
      <c r="G523" t="inlineStr">
        <is>
          <t>EMMABODA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27030-2026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46220</v>
      </c>
      <c r="F524" t="inlineStr">
        <is>
          <t>KALMAR LÄN</t>
        </is>
      </c>
      <c r="G524" t="inlineStr">
        <is>
          <t>EMMABODA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14970-2025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45743</v>
      </c>
      <c r="E525" s="1" t="n">
        <v>46220</v>
      </c>
      <c r="F525" t="inlineStr">
        <is>
          <t>KALMAR LÄN</t>
        </is>
      </c>
      <c r="G525" t="inlineStr">
        <is>
          <t>EMMABODA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20877-2026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46220</v>
      </c>
      <c r="F526" t="inlineStr">
        <is>
          <t>KALMAR LÄN</t>
        </is>
      </c>
      <c r="G526" t="inlineStr">
        <is>
          <t>EMMABODA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391-2024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45296</v>
      </c>
      <c r="E527" s="1" t="n">
        <v>46220</v>
      </c>
      <c r="F527" t="inlineStr">
        <is>
          <t>KALMAR LÄN</t>
        </is>
      </c>
      <c r="G527" t="inlineStr">
        <is>
          <t>EMMABODA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68947-2021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44530</v>
      </c>
      <c r="E528" s="1" t="n">
        <v>46220</v>
      </c>
      <c r="F528" t="inlineStr">
        <is>
          <t>KALMAR LÄN</t>
        </is>
      </c>
      <c r="G528" t="inlineStr">
        <is>
          <t>EMMABODA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31860-2022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44777</v>
      </c>
      <c r="E529" s="1" t="n">
        <v>46220</v>
      </c>
      <c r="F529" t="inlineStr">
        <is>
          <t>KALMAR LÄN</t>
        </is>
      </c>
      <c r="G529" t="inlineStr">
        <is>
          <t>EMMABODA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27016-2026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46220</v>
      </c>
      <c r="F530" t="inlineStr">
        <is>
          <t>KALMAR LÄN</t>
        </is>
      </c>
      <c r="G530" t="inlineStr">
        <is>
          <t>EMMABODA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60674-2024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45644</v>
      </c>
      <c r="E531" s="1" t="n">
        <v>46220</v>
      </c>
      <c r="F531" t="inlineStr">
        <is>
          <t>KALMAR LÄN</t>
        </is>
      </c>
      <c r="G531" t="inlineStr">
        <is>
          <t>EMMABODA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42684-2023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45181</v>
      </c>
      <c r="E532" s="1" t="n">
        <v>46220</v>
      </c>
      <c r="F532" t="inlineStr">
        <is>
          <t>KALMAR LÄN</t>
        </is>
      </c>
      <c r="G532" t="inlineStr">
        <is>
          <t>EMMABODA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49624-2023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45211</v>
      </c>
      <c r="E533" s="1" t="n">
        <v>46220</v>
      </c>
      <c r="F533" t="inlineStr">
        <is>
          <t>KALMAR LÄN</t>
        </is>
      </c>
      <c r="G533" t="inlineStr">
        <is>
          <t>EMMABODA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27133-2026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46220</v>
      </c>
      <c r="F534" t="inlineStr">
        <is>
          <t>KALMAR LÄN</t>
        </is>
      </c>
      <c r="G534" t="inlineStr">
        <is>
          <t>EMMABODA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39100-2023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45164</v>
      </c>
      <c r="E535" s="1" t="n">
        <v>46220</v>
      </c>
      <c r="F535" t="inlineStr">
        <is>
          <t>KALMAR LÄN</t>
        </is>
      </c>
      <c r="G535" t="inlineStr">
        <is>
          <t>EMMABODA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46141-2023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45190</v>
      </c>
      <c r="E536" s="1" t="n">
        <v>46220</v>
      </c>
      <c r="F536" t="inlineStr">
        <is>
          <t>KALMAR LÄN</t>
        </is>
      </c>
      <c r="G536" t="inlineStr">
        <is>
          <t>EMMABODA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27193-2026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46220</v>
      </c>
      <c r="F537" t="inlineStr">
        <is>
          <t>KALMAR LÄN</t>
        </is>
      </c>
      <c r="G537" t="inlineStr">
        <is>
          <t>EMMABODA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11434-2023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44993</v>
      </c>
      <c r="E538" s="1" t="n">
        <v>46220</v>
      </c>
      <c r="F538" t="inlineStr">
        <is>
          <t>KALMAR LÄN</t>
        </is>
      </c>
      <c r="G538" t="inlineStr">
        <is>
          <t>EMMABODA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27173-2026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46220</v>
      </c>
      <c r="F539" t="inlineStr">
        <is>
          <t>KALMAR LÄN</t>
        </is>
      </c>
      <c r="G539" t="inlineStr">
        <is>
          <t>EMMABODA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10157-2025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45719</v>
      </c>
      <c r="E540" s="1" t="n">
        <v>46220</v>
      </c>
      <c r="F540" t="inlineStr">
        <is>
          <t>KALMAR LÄN</t>
        </is>
      </c>
      <c r="G540" t="inlineStr">
        <is>
          <t>EMMABODA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10167-2025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45719</v>
      </c>
      <c r="E541" s="1" t="n">
        <v>46220</v>
      </c>
      <c r="F541" t="inlineStr">
        <is>
          <t>KALMAR LÄN</t>
        </is>
      </c>
      <c r="G541" t="inlineStr">
        <is>
          <t>EMMABODA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7808-2024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45349</v>
      </c>
      <c r="E542" s="1" t="n">
        <v>46220</v>
      </c>
      <c r="F542" t="inlineStr">
        <is>
          <t>KALMAR LÄN</t>
        </is>
      </c>
      <c r="G542" t="inlineStr">
        <is>
          <t>EMMABODA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27455-2026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46189</v>
      </c>
      <c r="E543" s="1" t="n">
        <v>46220</v>
      </c>
      <c r="F543" t="inlineStr">
        <is>
          <t>KALMAR LÄN</t>
        </is>
      </c>
      <c r="G543" t="inlineStr">
        <is>
          <t>EMMABODA</t>
        </is>
      </c>
      <c r="I543" t="n">
        <v>9.1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27188-2026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46188</v>
      </c>
      <c r="E544" s="1" t="n">
        <v>46220</v>
      </c>
      <c r="F544" t="inlineStr">
        <is>
          <t>KALMAR LÄN</t>
        </is>
      </c>
      <c r="G544" t="inlineStr">
        <is>
          <t>EMMABODA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35382-2024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45531</v>
      </c>
      <c r="E545" s="1" t="n">
        <v>46220</v>
      </c>
      <c r="F545" t="inlineStr">
        <is>
          <t>KALMAR LÄN</t>
        </is>
      </c>
      <c r="G545" t="inlineStr">
        <is>
          <t>EMMABODA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33082-2023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45126</v>
      </c>
      <c r="E546" s="1" t="n">
        <v>46220</v>
      </c>
      <c r="F546" t="inlineStr">
        <is>
          <t>KALMAR LÄN</t>
        </is>
      </c>
      <c r="G546" t="inlineStr">
        <is>
          <t>EMMABODA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50500-2022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44861</v>
      </c>
      <c r="E547" s="1" t="n">
        <v>46220</v>
      </c>
      <c r="F547" t="inlineStr">
        <is>
          <t>KALMAR LÄN</t>
        </is>
      </c>
      <c r="G547" t="inlineStr">
        <is>
          <t>EMMABODA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20051-2025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45772</v>
      </c>
      <c r="E548" s="1" t="n">
        <v>46220</v>
      </c>
      <c r="F548" t="inlineStr">
        <is>
          <t>KALMAR LÄN</t>
        </is>
      </c>
      <c r="G548" t="inlineStr">
        <is>
          <t>EMMABODA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48233-2023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45205</v>
      </c>
      <c r="E549" s="1" t="n">
        <v>46220</v>
      </c>
      <c r="F549" t="inlineStr">
        <is>
          <t>KALMAR LÄN</t>
        </is>
      </c>
      <c r="G549" t="inlineStr">
        <is>
          <t>EMMABODA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27488-2024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45474</v>
      </c>
      <c r="E550" s="1" t="n">
        <v>46220</v>
      </c>
      <c r="F550" t="inlineStr">
        <is>
          <t>KALMAR LÄN</t>
        </is>
      </c>
      <c r="G550" t="inlineStr">
        <is>
          <t>EMMABODA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24782-2023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45084</v>
      </c>
      <c r="E551" s="1" t="n">
        <v>46220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37996-2021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44404</v>
      </c>
      <c r="E552" s="1" t="n">
        <v>46220</v>
      </c>
      <c r="F552" t="inlineStr">
        <is>
          <t>KALMAR LÄN</t>
        </is>
      </c>
      <c r="G552" t="inlineStr">
        <is>
          <t>EMMABODA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33084-2023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45126</v>
      </c>
      <c r="E553" s="1" t="n">
        <v>46220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27646-2026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46220</v>
      </c>
      <c r="F554" t="inlineStr">
        <is>
          <t>KALMAR LÄN</t>
        </is>
      </c>
      <c r="G554" t="inlineStr">
        <is>
          <t>EMMABODA</t>
        </is>
      </c>
      <c r="H554" t="inlineStr">
        <is>
          <t>Sveaskog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44490-2024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45574</v>
      </c>
      <c r="E555" s="1" t="n">
        <v>46220</v>
      </c>
      <c r="F555" t="inlineStr">
        <is>
          <t>KALMAR LÄN</t>
        </is>
      </c>
      <c r="G555" t="inlineStr">
        <is>
          <t>EMMABODA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48918-2023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45204</v>
      </c>
      <c r="E556" s="1" t="n">
        <v>46220</v>
      </c>
      <c r="F556" t="inlineStr">
        <is>
          <t>KALMAR LÄN</t>
        </is>
      </c>
      <c r="G556" t="inlineStr">
        <is>
          <t>EMMABODA</t>
        </is>
      </c>
      <c r="H556" t="inlineStr">
        <is>
          <t>Övriga Aktiebolag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54230-2023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45232</v>
      </c>
      <c r="E557" s="1" t="n">
        <v>46220</v>
      </c>
      <c r="F557" t="inlineStr">
        <is>
          <t>KALMAR LÄN</t>
        </is>
      </c>
      <c r="G557" t="inlineStr">
        <is>
          <t>EMMABODA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27996-2023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45098</v>
      </c>
      <c r="E558" s="1" t="n">
        <v>46220</v>
      </c>
      <c r="F558" t="inlineStr">
        <is>
          <t>KALMAR LÄN</t>
        </is>
      </c>
      <c r="G558" t="inlineStr">
        <is>
          <t>EMMABODA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22700-2025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45789</v>
      </c>
      <c r="E559" s="1" t="n">
        <v>46220</v>
      </c>
      <c r="F559" t="inlineStr">
        <is>
          <t>KALMAR LÄN</t>
        </is>
      </c>
      <c r="G559" t="inlineStr">
        <is>
          <t>EMMABODA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14071-2024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45392</v>
      </c>
      <c r="E560" s="1" t="n">
        <v>46220</v>
      </c>
      <c r="F560" t="inlineStr">
        <is>
          <t>KALMAR LÄN</t>
        </is>
      </c>
      <c r="G560" t="inlineStr">
        <is>
          <t>EMMABODA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14163-2025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45740</v>
      </c>
      <c r="E561" s="1" t="n">
        <v>46220</v>
      </c>
      <c r="F561" t="inlineStr">
        <is>
          <t>KALMAR LÄN</t>
        </is>
      </c>
      <c r="G561" t="inlineStr">
        <is>
          <t>EMMABODA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11466-2026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46083</v>
      </c>
      <c r="E562" s="1" t="n">
        <v>46220</v>
      </c>
      <c r="F562" t="inlineStr">
        <is>
          <t>KALMAR LÄN</t>
        </is>
      </c>
      <c r="G562" t="inlineStr">
        <is>
          <t>EMMABODA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6532-2024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45341</v>
      </c>
      <c r="E563" s="1" t="n">
        <v>46220</v>
      </c>
      <c r="F563" t="inlineStr">
        <is>
          <t>KALMAR LÄN</t>
        </is>
      </c>
      <c r="G563" t="inlineStr">
        <is>
          <t>EMMABODA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22602-2026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46220</v>
      </c>
      <c r="F564" t="inlineStr">
        <is>
          <t>KALMAR LÄN</t>
        </is>
      </c>
      <c r="G564" t="inlineStr">
        <is>
          <t>EMMABODA</t>
        </is>
      </c>
      <c r="I564" t="n">
        <v>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11975-2023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44995</v>
      </c>
      <c r="E565" s="1" t="n">
        <v>46220</v>
      </c>
      <c r="F565" t="inlineStr">
        <is>
          <t>KALMAR LÄN</t>
        </is>
      </c>
      <c r="G565" t="inlineStr">
        <is>
          <t>EMMABODA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8058-2025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45707</v>
      </c>
      <c r="E566" s="1" t="n">
        <v>46220</v>
      </c>
      <c r="F566" t="inlineStr">
        <is>
          <t>KALMAR LÄN</t>
        </is>
      </c>
      <c r="G566" t="inlineStr">
        <is>
          <t>EMMABODA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9262-2026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46069</v>
      </c>
      <c r="E567" s="1" t="n">
        <v>46220</v>
      </c>
      <c r="F567" t="inlineStr">
        <is>
          <t>KALMAR LÄN</t>
        </is>
      </c>
      <c r="G567" t="inlineStr">
        <is>
          <t>EMMABODA</t>
        </is>
      </c>
      <c r="H567" t="inlineStr">
        <is>
          <t>Kyrkan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13276-2023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45003</v>
      </c>
      <c r="E568" s="1" t="n">
        <v>46220</v>
      </c>
      <c r="F568" t="inlineStr">
        <is>
          <t>KALMAR LÄN</t>
        </is>
      </c>
      <c r="G568" t="inlineStr">
        <is>
          <t>EMMABODA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28323-2024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45477</v>
      </c>
      <c r="E569" s="1" t="n">
        <v>46220</v>
      </c>
      <c r="F569" t="inlineStr">
        <is>
          <t>KALMAR LÄN</t>
        </is>
      </c>
      <c r="G569" t="inlineStr">
        <is>
          <t>EMMABODA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12014-2023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44995</v>
      </c>
      <c r="E570" s="1" t="n">
        <v>46220</v>
      </c>
      <c r="F570" t="inlineStr">
        <is>
          <t>KALMAR LÄN</t>
        </is>
      </c>
      <c r="G570" t="inlineStr">
        <is>
          <t>EMMABODA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28347-2026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46196</v>
      </c>
      <c r="E571" s="1" t="n">
        <v>46220</v>
      </c>
      <c r="F571" t="inlineStr">
        <is>
          <t>KALMAR LÄN</t>
        </is>
      </c>
      <c r="G571" t="inlineStr">
        <is>
          <t>EMMABODA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28448-2026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46197</v>
      </c>
      <c r="E572" s="1" t="n">
        <v>46220</v>
      </c>
      <c r="F572" t="inlineStr">
        <is>
          <t>KALMAR LÄN</t>
        </is>
      </c>
      <c r="G572" t="inlineStr">
        <is>
          <t>EMMABODA</t>
        </is>
      </c>
      <c r="H572" t="inlineStr">
        <is>
          <t>Sveaskog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33050-2023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45126</v>
      </c>
      <c r="E573" s="1" t="n">
        <v>46220</v>
      </c>
      <c r="F573" t="inlineStr">
        <is>
          <t>KALMAR LÄN</t>
        </is>
      </c>
      <c r="G573" t="inlineStr">
        <is>
          <t>EMMABODA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32663-2024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45514</v>
      </c>
      <c r="E574" s="1" t="n">
        <v>46220</v>
      </c>
      <c r="F574" t="inlineStr">
        <is>
          <t>KALMAR LÄN</t>
        </is>
      </c>
      <c r="G574" t="inlineStr">
        <is>
          <t>EMMABODA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35306-2023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45146</v>
      </c>
      <c r="E575" s="1" t="n">
        <v>46220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28441-2026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46197</v>
      </c>
      <c r="E576" s="1" t="n">
        <v>46220</v>
      </c>
      <c r="F576" t="inlineStr">
        <is>
          <t>KALMAR LÄN</t>
        </is>
      </c>
      <c r="G576" t="inlineStr">
        <is>
          <t>EMMABODA</t>
        </is>
      </c>
      <c r="H576" t="inlineStr">
        <is>
          <t>Sveaskog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28442-2026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46197</v>
      </c>
      <c r="E577" s="1" t="n">
        <v>46220</v>
      </c>
      <c r="F577" t="inlineStr">
        <is>
          <t>KALMAR LÄN</t>
        </is>
      </c>
      <c r="G577" t="inlineStr">
        <is>
          <t>EMMABODA</t>
        </is>
      </c>
      <c r="H577" t="inlineStr">
        <is>
          <t>Sveaskog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5345-2023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44959</v>
      </c>
      <c r="E578" s="1" t="n">
        <v>46220</v>
      </c>
      <c r="F578" t="inlineStr">
        <is>
          <t>KALMAR LÄN</t>
        </is>
      </c>
      <c r="G578" t="inlineStr">
        <is>
          <t>EMMABODA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28677-2026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46220</v>
      </c>
      <c r="F579" t="inlineStr">
        <is>
          <t>KALMAR LÄN</t>
        </is>
      </c>
      <c r="G579" t="inlineStr">
        <is>
          <t>EMMABODA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21844-2023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45068</v>
      </c>
      <c r="E580" s="1" t="n">
        <v>46220</v>
      </c>
      <c r="F580" t="inlineStr">
        <is>
          <t>KALMAR LÄN</t>
        </is>
      </c>
      <c r="G580" t="inlineStr">
        <is>
          <t>EMMABODA</t>
        </is>
      </c>
      <c r="H580" t="inlineStr">
        <is>
          <t>Kommuner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28990-2026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46220</v>
      </c>
      <c r="F581" t="inlineStr">
        <is>
          <t>KALMAR LÄN</t>
        </is>
      </c>
      <c r="G581" t="inlineStr">
        <is>
          <t>EMMABODA</t>
        </is>
      </c>
      <c r="H581" t="inlineStr">
        <is>
          <t>Kyrkan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8112-2025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45707</v>
      </c>
      <c r="E582" s="1" t="n">
        <v>46220</v>
      </c>
      <c r="F582" t="inlineStr">
        <is>
          <t>KALMAR LÄN</t>
        </is>
      </c>
      <c r="G582" t="inlineStr">
        <is>
          <t>EMMABODA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28996-2026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46196</v>
      </c>
      <c r="E583" s="1" t="n">
        <v>46220</v>
      </c>
      <c r="F583" t="inlineStr">
        <is>
          <t>KALMAR LÄN</t>
        </is>
      </c>
      <c r="G583" t="inlineStr">
        <is>
          <t>EMMABODA</t>
        </is>
      </c>
      <c r="H583" t="inlineStr">
        <is>
          <t>Kyrkan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46728-2022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44851</v>
      </c>
      <c r="E584" s="1" t="n">
        <v>46220</v>
      </c>
      <c r="F584" t="inlineStr">
        <is>
          <t>KALMAR LÄN</t>
        </is>
      </c>
      <c r="G584" t="inlineStr">
        <is>
          <t>EMMABODA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7760-2022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44608</v>
      </c>
      <c r="E585" s="1" t="n">
        <v>46220</v>
      </c>
      <c r="F585" t="inlineStr">
        <is>
          <t>KALMAR LÄN</t>
        </is>
      </c>
      <c r="G585" t="inlineStr">
        <is>
          <t>EMMABODA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27028-2023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45095</v>
      </c>
      <c r="E586" s="1" t="n">
        <v>46220</v>
      </c>
      <c r="F586" t="inlineStr">
        <is>
          <t>KALMAR LÄN</t>
        </is>
      </c>
      <c r="G586" t="inlineStr">
        <is>
          <t>EMMABODA</t>
        </is>
      </c>
      <c r="I586" t="n">
        <v>11.3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2713-2022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44580</v>
      </c>
      <c r="E587" s="1" t="n">
        <v>46220</v>
      </c>
      <c r="F587" t="inlineStr">
        <is>
          <t>KALMAR LÄN</t>
        </is>
      </c>
      <c r="G587" t="inlineStr">
        <is>
          <t>EMMABODA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28982-2026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46196</v>
      </c>
      <c r="E588" s="1" t="n">
        <v>46220</v>
      </c>
      <c r="F588" t="inlineStr">
        <is>
          <t>KALMAR LÄN</t>
        </is>
      </c>
      <c r="G588" t="inlineStr">
        <is>
          <t>EMMABODA</t>
        </is>
      </c>
      <c r="H588" t="inlineStr">
        <is>
          <t>Kyrkan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11636-2024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45373</v>
      </c>
      <c r="E589" s="1" t="n">
        <v>46220</v>
      </c>
      <c r="F589" t="inlineStr">
        <is>
          <t>KALMAR LÄN</t>
        </is>
      </c>
      <c r="G589" t="inlineStr">
        <is>
          <t>EMMABODA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23041-2026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46220</v>
      </c>
      <c r="F590" t="inlineStr">
        <is>
          <t>KALMAR LÄN</t>
        </is>
      </c>
      <c r="G590" t="inlineStr">
        <is>
          <t>EMMABODA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38115-2023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45161</v>
      </c>
      <c r="E591" s="1" t="n">
        <v>46220</v>
      </c>
      <c r="F591" t="inlineStr">
        <is>
          <t>KALMAR LÄN</t>
        </is>
      </c>
      <c r="G591" t="inlineStr">
        <is>
          <t>EMMABODA</t>
        </is>
      </c>
      <c r="H591" t="inlineStr">
        <is>
          <t>Kommuner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22845-2026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46160</v>
      </c>
      <c r="E592" s="1" t="n">
        <v>46220</v>
      </c>
      <c r="F592" t="inlineStr">
        <is>
          <t>KALMAR LÄN</t>
        </is>
      </c>
      <c r="G592" t="inlineStr">
        <is>
          <t>EMMABODA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9755-2023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44984</v>
      </c>
      <c r="E593" s="1" t="n">
        <v>46220</v>
      </c>
      <c r="F593" t="inlineStr">
        <is>
          <t>KALMAR LÄN</t>
        </is>
      </c>
      <c r="G593" t="inlineStr">
        <is>
          <t>EMMABODA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58839-2023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45252</v>
      </c>
      <c r="E594" s="1" t="n">
        <v>46220</v>
      </c>
      <c r="F594" t="inlineStr">
        <is>
          <t>KALMAR LÄN</t>
        </is>
      </c>
      <c r="G594" t="inlineStr">
        <is>
          <t>EMMABODA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30460-2022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44761</v>
      </c>
      <c r="E595" s="1" t="n">
        <v>46220</v>
      </c>
      <c r="F595" t="inlineStr">
        <is>
          <t>KALMAR LÄN</t>
        </is>
      </c>
      <c r="G595" t="inlineStr">
        <is>
          <t>EMMABODA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36043-2022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44802</v>
      </c>
      <c r="E596" s="1" t="n">
        <v>46220</v>
      </c>
      <c r="F596" t="inlineStr">
        <is>
          <t>KALMAR LÄN</t>
        </is>
      </c>
      <c r="G596" t="inlineStr">
        <is>
          <t>EMMABODA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22841-2026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46160</v>
      </c>
      <c r="E597" s="1" t="n">
        <v>46220</v>
      </c>
      <c r="F597" t="inlineStr">
        <is>
          <t>KALMAR LÄN</t>
        </is>
      </c>
      <c r="G597" t="inlineStr">
        <is>
          <t>EMMABODA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18310-2024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45422</v>
      </c>
      <c r="E598" s="1" t="n">
        <v>46220</v>
      </c>
      <c r="F598" t="inlineStr">
        <is>
          <t>KALMAR LÄN</t>
        </is>
      </c>
      <c r="G598" t="inlineStr">
        <is>
          <t>EMMABODA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37296-2022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44808</v>
      </c>
      <c r="E599" s="1" t="n">
        <v>46220</v>
      </c>
      <c r="F599" t="inlineStr">
        <is>
          <t>KALMAR LÄN</t>
        </is>
      </c>
      <c r="G599" t="inlineStr">
        <is>
          <t>EMMABODA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29293-2026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46202</v>
      </c>
      <c r="E600" s="1" t="n">
        <v>46220</v>
      </c>
      <c r="F600" t="inlineStr">
        <is>
          <t>KALMAR LÄN</t>
        </is>
      </c>
      <c r="G600" t="inlineStr">
        <is>
          <t>EMMABODA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22837-2026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46160</v>
      </c>
      <c r="E601" s="1" t="n">
        <v>46220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41734-2025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45902</v>
      </c>
      <c r="E602" s="1" t="n">
        <v>46220</v>
      </c>
      <c r="F602" t="inlineStr">
        <is>
          <t>KALMAR LÄN</t>
        </is>
      </c>
      <c r="G602" t="inlineStr">
        <is>
          <t>EMMABODA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48113-2021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44449</v>
      </c>
      <c r="E603" s="1" t="n">
        <v>46220</v>
      </c>
      <c r="F603" t="inlineStr">
        <is>
          <t>KALMAR LÄN</t>
        </is>
      </c>
      <c r="G603" t="inlineStr">
        <is>
          <t>EMMABODA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44542-2023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45189</v>
      </c>
      <c r="E604" s="1" t="n">
        <v>46220</v>
      </c>
      <c r="F604" t="inlineStr">
        <is>
          <t>KALMAR LÄN</t>
        </is>
      </c>
      <c r="G604" t="inlineStr">
        <is>
          <t>EMMABODA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20052-2025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45772</v>
      </c>
      <c r="E605" s="1" t="n">
        <v>46220</v>
      </c>
      <c r="F605" t="inlineStr">
        <is>
          <t>KALMAR LÄN</t>
        </is>
      </c>
      <c r="G605" t="inlineStr">
        <is>
          <t>EMMABODA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23295-2026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46162</v>
      </c>
      <c r="E606" s="1" t="n">
        <v>46220</v>
      </c>
      <c r="F606" t="inlineStr">
        <is>
          <t>KALMAR LÄN</t>
        </is>
      </c>
      <c r="G606" t="inlineStr">
        <is>
          <t>EMMABODA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19359-2023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45049</v>
      </c>
      <c r="E607" s="1" t="n">
        <v>46220</v>
      </c>
      <c r="F607" t="inlineStr">
        <is>
          <t>KALMAR LÄN</t>
        </is>
      </c>
      <c r="G607" t="inlineStr">
        <is>
          <t>EMMABODA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69464-2021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44531</v>
      </c>
      <c r="E608" s="1" t="n">
        <v>46220</v>
      </c>
      <c r="F608" t="inlineStr">
        <is>
          <t>KALMAR LÄN</t>
        </is>
      </c>
      <c r="G608" t="inlineStr">
        <is>
          <t>EMMABODA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19686-2023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45051</v>
      </c>
      <c r="E609" s="1" t="n">
        <v>46220</v>
      </c>
      <c r="F609" t="inlineStr">
        <is>
          <t>KALMAR LÄN</t>
        </is>
      </c>
      <c r="G609" t="inlineStr">
        <is>
          <t>EMMABODA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19695-2023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45051</v>
      </c>
      <c r="E610" s="1" t="n">
        <v>46220</v>
      </c>
      <c r="F610" t="inlineStr">
        <is>
          <t>KALMAR LÄN</t>
        </is>
      </c>
      <c r="G610" t="inlineStr">
        <is>
          <t>EMMABODA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33067-2023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45126</v>
      </c>
      <c r="E611" s="1" t="n">
        <v>46220</v>
      </c>
      <c r="F611" t="inlineStr">
        <is>
          <t>KALMAR LÄN</t>
        </is>
      </c>
      <c r="G611" t="inlineStr">
        <is>
          <t>EMMABODA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33081-2023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45126</v>
      </c>
      <c r="E612" s="1" t="n">
        <v>46220</v>
      </c>
      <c r="F612" t="inlineStr">
        <is>
          <t>KALMAR LÄN</t>
        </is>
      </c>
      <c r="G612" t="inlineStr">
        <is>
          <t>EMMABODA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23292-2026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46220</v>
      </c>
      <c r="F613" t="inlineStr">
        <is>
          <t>KALMAR LÄN</t>
        </is>
      </c>
      <c r="G613" t="inlineStr">
        <is>
          <t>EMMABODA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29943-2026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46205</v>
      </c>
      <c r="E614" s="1" t="n">
        <v>46220</v>
      </c>
      <c r="F614" t="inlineStr">
        <is>
          <t>KALMAR LÄN</t>
        </is>
      </c>
      <c r="G614" t="inlineStr">
        <is>
          <t>EMMABODA</t>
        </is>
      </c>
      <c r="H614" t="inlineStr">
        <is>
          <t>Sveaskog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4031-2024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45323</v>
      </c>
      <c r="E615" s="1" t="n">
        <v>46220</v>
      </c>
      <c r="F615" t="inlineStr">
        <is>
          <t>KALMAR LÄN</t>
        </is>
      </c>
      <c r="G615" t="inlineStr">
        <is>
          <t>EMMABODA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16703-2022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44673</v>
      </c>
      <c r="E616" s="1" t="n">
        <v>46220</v>
      </c>
      <c r="F616" t="inlineStr">
        <is>
          <t>KALMAR LÄN</t>
        </is>
      </c>
      <c r="G616" t="inlineStr">
        <is>
          <t>EMMABODA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49726-2024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45596</v>
      </c>
      <c r="E617" s="1" t="n">
        <v>46220</v>
      </c>
      <c r="F617" t="inlineStr">
        <is>
          <t>KALMAR LÄN</t>
        </is>
      </c>
      <c r="G617" t="inlineStr">
        <is>
          <t>EMMABODA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56606-2022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44893</v>
      </c>
      <c r="E618" s="1" t="n">
        <v>46220</v>
      </c>
      <c r="F618" t="inlineStr">
        <is>
          <t>KALMAR LÄN</t>
        </is>
      </c>
      <c r="G618" t="inlineStr">
        <is>
          <t>EMMABODA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1417-2025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45668</v>
      </c>
      <c r="E619" s="1" t="n">
        <v>46220</v>
      </c>
      <c r="F619" t="inlineStr">
        <is>
          <t>KALMAR LÄN</t>
        </is>
      </c>
      <c r="G619" t="inlineStr">
        <is>
          <t>EMMABODA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30262-2022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44759</v>
      </c>
      <c r="E620" s="1" t="n">
        <v>46220</v>
      </c>
      <c r="F620" t="inlineStr">
        <is>
          <t>KALMAR LÄN</t>
        </is>
      </c>
      <c r="G620" t="inlineStr">
        <is>
          <t>EMMABODA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5182-2022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44594</v>
      </c>
      <c r="E621" s="1" t="n">
        <v>46220</v>
      </c>
      <c r="F621" t="inlineStr">
        <is>
          <t>KALMAR LÄN</t>
        </is>
      </c>
      <c r="G621" t="inlineStr">
        <is>
          <t>EMMABODA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4024-2024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45323</v>
      </c>
      <c r="E622" s="1" t="n">
        <v>46220</v>
      </c>
      <c r="F622" t="inlineStr">
        <is>
          <t>KALMAR LÄN</t>
        </is>
      </c>
      <c r="G622" t="inlineStr">
        <is>
          <t>EMMABODA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47149-2022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44852</v>
      </c>
      <c r="E623" s="1" t="n">
        <v>46220</v>
      </c>
      <c r="F623" t="inlineStr">
        <is>
          <t>KALMAR LÄN</t>
        </is>
      </c>
      <c r="G623" t="inlineStr">
        <is>
          <t>EMMABODA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36009-2023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45149</v>
      </c>
      <c r="E624" s="1" t="n">
        <v>46220</v>
      </c>
      <c r="F624" t="inlineStr">
        <is>
          <t>KALMAR LÄN</t>
        </is>
      </c>
      <c r="G624" t="inlineStr">
        <is>
          <t>EMMABODA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30515-2023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45111</v>
      </c>
      <c r="E625" s="1" t="n">
        <v>46220</v>
      </c>
      <c r="F625" t="inlineStr">
        <is>
          <t>KALMAR LÄN</t>
        </is>
      </c>
      <c r="G625" t="inlineStr">
        <is>
          <t>EMMABODA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2354-2024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45310</v>
      </c>
      <c r="E626" s="1" t="n">
        <v>46220</v>
      </c>
      <c r="F626" t="inlineStr">
        <is>
          <t>KALMAR LÄN</t>
        </is>
      </c>
      <c r="G626" t="inlineStr">
        <is>
          <t>EMMABODA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48926-2023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45204</v>
      </c>
      <c r="E627" s="1" t="n">
        <v>46220</v>
      </c>
      <c r="F627" t="inlineStr">
        <is>
          <t>KALMAR LÄN</t>
        </is>
      </c>
      <c r="G627" t="inlineStr">
        <is>
          <t>EMMABODA</t>
        </is>
      </c>
      <c r="H627" t="inlineStr">
        <is>
          <t>Övriga Aktiebolag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21291-2023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45062</v>
      </c>
      <c r="E628" s="1" t="n">
        <v>46220</v>
      </c>
      <c r="F628" t="inlineStr">
        <is>
          <t>KALMAR LÄN</t>
        </is>
      </c>
      <c r="G628" t="inlineStr">
        <is>
          <t>EMMABODA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30689-2026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46220</v>
      </c>
      <c r="F629" t="inlineStr">
        <is>
          <t>KALMAR LÄN</t>
        </is>
      </c>
      <c r="G629" t="inlineStr">
        <is>
          <t>EMMABODA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42194-2024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45562</v>
      </c>
      <c r="E630" s="1" t="n">
        <v>46220</v>
      </c>
      <c r="F630" t="inlineStr">
        <is>
          <t>KALMAR LÄN</t>
        </is>
      </c>
      <c r="G630" t="inlineStr">
        <is>
          <t>EMMABODA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24329-2026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46220</v>
      </c>
      <c r="F631" t="inlineStr">
        <is>
          <t>KALMAR LÄN</t>
        </is>
      </c>
      <c r="G631" t="inlineStr">
        <is>
          <t>EMMABODA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28681-2023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45103</v>
      </c>
      <c r="E632" s="1" t="n">
        <v>46220</v>
      </c>
      <c r="F632" t="inlineStr">
        <is>
          <t>KALMAR LÄN</t>
        </is>
      </c>
      <c r="G632" t="inlineStr">
        <is>
          <t>EMMABODA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5192-2025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45688</v>
      </c>
      <c r="E633" s="1" t="n">
        <v>46220</v>
      </c>
      <c r="F633" t="inlineStr">
        <is>
          <t>KALMAR LÄN</t>
        </is>
      </c>
      <c r="G633" t="inlineStr">
        <is>
          <t>EMMABODA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4387-2022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44589</v>
      </c>
      <c r="E634" s="1" t="n">
        <v>46220</v>
      </c>
      <c r="F634" t="inlineStr">
        <is>
          <t>KALMAR LÄN</t>
        </is>
      </c>
      <c r="G634" t="inlineStr">
        <is>
          <t>EMMABODA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24460-2022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44726</v>
      </c>
      <c r="E635" s="1" t="n">
        <v>46220</v>
      </c>
      <c r="F635" t="inlineStr">
        <is>
          <t>KALMAR LÄN</t>
        </is>
      </c>
      <c r="G635" t="inlineStr">
        <is>
          <t>EMMABODA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14792-2025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45742</v>
      </c>
      <c r="E636" s="1" t="n">
        <v>46220</v>
      </c>
      <c r="F636" t="inlineStr">
        <is>
          <t>KALMAR LÄN</t>
        </is>
      </c>
      <c r="G636" t="inlineStr">
        <is>
          <t>EMMABODA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24159-2026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46220</v>
      </c>
      <c r="F637" t="inlineStr">
        <is>
          <t>KALMAR LÄN</t>
        </is>
      </c>
      <c r="G637" t="inlineStr">
        <is>
          <t>EMMABODA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27155-2026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46188</v>
      </c>
      <c r="E638" s="1" t="n">
        <v>46220</v>
      </c>
      <c r="F638" t="inlineStr">
        <is>
          <t>KALMAR LÄN</t>
        </is>
      </c>
      <c r="G638" t="inlineStr">
        <is>
          <t>EMMABODA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67538-2021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44524</v>
      </c>
      <c r="E639" s="1" t="n">
        <v>46220</v>
      </c>
      <c r="F639" t="inlineStr">
        <is>
          <t>KALMAR LÄN</t>
        </is>
      </c>
      <c r="G639" t="inlineStr">
        <is>
          <t>EMMABODA</t>
        </is>
      </c>
      <c r="I639" t="n">
        <v>11.6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24983-2022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44728</v>
      </c>
      <c r="E640" s="1" t="n">
        <v>46220</v>
      </c>
      <c r="F640" t="inlineStr">
        <is>
          <t>KALMAR LÄN</t>
        </is>
      </c>
      <c r="G640" t="inlineStr">
        <is>
          <t>EMMABODA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42943-2023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45182</v>
      </c>
      <c r="E641" s="1" t="n">
        <v>46220</v>
      </c>
      <c r="F641" t="inlineStr">
        <is>
          <t>KALMAR LÄN</t>
        </is>
      </c>
      <c r="G641" t="inlineStr">
        <is>
          <t>EMMABODA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38924-2022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44816</v>
      </c>
      <c r="E642" s="1" t="n">
        <v>46220</v>
      </c>
      <c r="F642" t="inlineStr">
        <is>
          <t>KALMAR LÄN</t>
        </is>
      </c>
      <c r="G642" t="inlineStr">
        <is>
          <t>EMMABODA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18424-2026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46127</v>
      </c>
      <c r="E643" s="1" t="n">
        <v>46220</v>
      </c>
      <c r="F643" t="inlineStr">
        <is>
          <t>KALMAR LÄN</t>
        </is>
      </c>
      <c r="G643" t="inlineStr">
        <is>
          <t>EMMABODA</t>
        </is>
      </c>
      <c r="H643" t="inlineStr">
        <is>
          <t>Sveaskog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44924-2022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44840</v>
      </c>
      <c r="E644" s="1" t="n">
        <v>46220</v>
      </c>
      <c r="F644" t="inlineStr">
        <is>
          <t>KALMAR LÄN</t>
        </is>
      </c>
      <c r="G644" t="inlineStr">
        <is>
          <t>EMMABODA</t>
        </is>
      </c>
      <c r="H644" t="inlineStr">
        <is>
          <t>Övriga Aktiebolag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30883-2026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46212</v>
      </c>
      <c r="E645" s="1" t="n">
        <v>46220</v>
      </c>
      <c r="F645" t="inlineStr">
        <is>
          <t>KALMAR LÄN</t>
        </is>
      </c>
      <c r="G645" t="inlineStr">
        <is>
          <t>EMMABODA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49284-2024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45595</v>
      </c>
      <c r="E646" s="1" t="n">
        <v>46220</v>
      </c>
      <c r="F646" t="inlineStr">
        <is>
          <t>KALMAR LÄN</t>
        </is>
      </c>
      <c r="G646" t="inlineStr">
        <is>
          <t>EMMABODA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30882-2026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46212</v>
      </c>
      <c r="E647" s="1" t="n">
        <v>46220</v>
      </c>
      <c r="F647" t="inlineStr">
        <is>
          <t>KALMAR LÄN</t>
        </is>
      </c>
      <c r="G647" t="inlineStr">
        <is>
          <t>EMMABODA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31027-2026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46213</v>
      </c>
      <c r="E648" s="1" t="n">
        <v>46220</v>
      </c>
      <c r="F648" t="inlineStr">
        <is>
          <t>KALMAR LÄN</t>
        </is>
      </c>
      <c r="G648" t="inlineStr">
        <is>
          <t>EMMABODA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57794-2022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44897</v>
      </c>
      <c r="E649" s="1" t="n">
        <v>46220</v>
      </c>
      <c r="F649" t="inlineStr">
        <is>
          <t>KALMAR LÄN</t>
        </is>
      </c>
      <c r="G649" t="inlineStr">
        <is>
          <t>EMMABODA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63215-2023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45273</v>
      </c>
      <c r="E650" s="1" t="n">
        <v>46220</v>
      </c>
      <c r="F650" t="inlineStr">
        <is>
          <t>KALMAR LÄN</t>
        </is>
      </c>
      <c r="G650" t="inlineStr">
        <is>
          <t>EMMABODA</t>
        </is>
      </c>
      <c r="H650" t="inlineStr">
        <is>
          <t>Kommuner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7839-2024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45349</v>
      </c>
      <c r="E651" s="1" t="n">
        <v>46220</v>
      </c>
      <c r="F651" t="inlineStr">
        <is>
          <t>KALMAR LÄN</t>
        </is>
      </c>
      <c r="G651" t="inlineStr">
        <is>
          <t>EMMABODA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41545-2022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44827</v>
      </c>
      <c r="E652" s="1" t="n">
        <v>46220</v>
      </c>
      <c r="F652" t="inlineStr">
        <is>
          <t>KALMAR LÄN</t>
        </is>
      </c>
      <c r="G652" t="inlineStr">
        <is>
          <t>EMMABODA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27414-2023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45092</v>
      </c>
      <c r="E653" s="1" t="n">
        <v>46220</v>
      </c>
      <c r="F653" t="inlineStr">
        <is>
          <t>KALMAR LÄN</t>
        </is>
      </c>
      <c r="G653" t="inlineStr">
        <is>
          <t>EMMABODA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19551-2026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46134</v>
      </c>
      <c r="E654" s="1" t="n">
        <v>46220</v>
      </c>
      <c r="F654" t="inlineStr">
        <is>
          <t>KALMAR LÄN</t>
        </is>
      </c>
      <c r="G654" t="inlineStr">
        <is>
          <t>EMMABODA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73058-2021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44550</v>
      </c>
      <c r="E655" s="1" t="n">
        <v>46220</v>
      </c>
      <c r="F655" t="inlineStr">
        <is>
          <t>KALMAR LÄN</t>
        </is>
      </c>
      <c r="G655" t="inlineStr">
        <is>
          <t>EMMABODA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23437-2023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45076</v>
      </c>
      <c r="E656" s="1" t="n">
        <v>46220</v>
      </c>
      <c r="F656" t="inlineStr">
        <is>
          <t>KALMAR LÄN</t>
        </is>
      </c>
      <c r="G656" t="inlineStr">
        <is>
          <t>EMMABODA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12959-2024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45385</v>
      </c>
      <c r="E657" s="1" t="n">
        <v>46220</v>
      </c>
      <c r="F657" t="inlineStr">
        <is>
          <t>KALMAR LÄN</t>
        </is>
      </c>
      <c r="G657" t="inlineStr">
        <is>
          <t>EMMABODA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45706-2025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45923</v>
      </c>
      <c r="E658" s="1" t="n">
        <v>46220</v>
      </c>
      <c r="F658" t="inlineStr">
        <is>
          <t>KALMAR LÄN</t>
        </is>
      </c>
      <c r="G658" t="inlineStr">
        <is>
          <t>EMMABODA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32687-2024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45515</v>
      </c>
      <c r="E659" s="1" t="n">
        <v>46220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1702-2024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45307</v>
      </c>
      <c r="E660" s="1" t="n">
        <v>46220</v>
      </c>
      <c r="F660" t="inlineStr">
        <is>
          <t>KALMAR LÄN</t>
        </is>
      </c>
      <c r="G660" t="inlineStr">
        <is>
          <t>EMMABODA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3288-2024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45317</v>
      </c>
      <c r="E661" s="1" t="n">
        <v>46220</v>
      </c>
      <c r="F661" t="inlineStr">
        <is>
          <t>KALMAR LÄN</t>
        </is>
      </c>
      <c r="G661" t="inlineStr">
        <is>
          <t>EMMABODA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43719-2023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45187</v>
      </c>
      <c r="E662" s="1" t="n">
        <v>46220</v>
      </c>
      <c r="F662" t="inlineStr">
        <is>
          <t>KALMAR LÄN</t>
        </is>
      </c>
      <c r="G662" t="inlineStr">
        <is>
          <t>EMMABODA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28600-2022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44748</v>
      </c>
      <c r="E663" s="1" t="n">
        <v>46220</v>
      </c>
      <c r="F663" t="inlineStr">
        <is>
          <t>KALMAR LÄN</t>
        </is>
      </c>
      <c r="G663" t="inlineStr">
        <is>
          <t>EMMABODA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20505-2022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44699</v>
      </c>
      <c r="E664" s="1" t="n">
        <v>46220</v>
      </c>
      <c r="F664" t="inlineStr">
        <is>
          <t>KALMAR LÄN</t>
        </is>
      </c>
      <c r="G664" t="inlineStr">
        <is>
          <t>EMMABODA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15362-2024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45400</v>
      </c>
      <c r="E665" s="1" t="n">
        <v>46220</v>
      </c>
      <c r="F665" t="inlineStr">
        <is>
          <t>KALMAR LÄN</t>
        </is>
      </c>
      <c r="G665" t="inlineStr">
        <is>
          <t>EMMABODA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53373-2023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45229</v>
      </c>
      <c r="E666" s="1" t="n">
        <v>46220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45293-2023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45188</v>
      </c>
      <c r="E667" s="1" t="n">
        <v>46220</v>
      </c>
      <c r="F667" t="inlineStr">
        <is>
          <t>KALMAR LÄN</t>
        </is>
      </c>
      <c r="G667" t="inlineStr">
        <is>
          <t>EMMABODA</t>
        </is>
      </c>
      <c r="H667" t="inlineStr">
        <is>
          <t>Kyrkan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19350-2025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45769</v>
      </c>
      <c r="E668" s="1" t="n">
        <v>46220</v>
      </c>
      <c r="F668" t="inlineStr">
        <is>
          <t>KALMAR LÄN</t>
        </is>
      </c>
      <c r="G668" t="inlineStr">
        <is>
          <t>EMMABODA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31070-2022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44769</v>
      </c>
      <c r="E669" s="1" t="n">
        <v>46220</v>
      </c>
      <c r="F669" t="inlineStr">
        <is>
          <t>KALMAR LÄN</t>
        </is>
      </c>
      <c r="G669" t="inlineStr">
        <is>
          <t>EMMABODA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58592-2021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44488</v>
      </c>
      <c r="E670" s="1" t="n">
        <v>46220</v>
      </c>
      <c r="F670" t="inlineStr">
        <is>
          <t>KALMAR LÄN</t>
        </is>
      </c>
      <c r="G670" t="inlineStr">
        <is>
          <t>EMMABODA</t>
        </is>
      </c>
      <c r="H670" t="inlineStr">
        <is>
          <t>Kommuner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19151-2025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45769</v>
      </c>
      <c r="E671" s="1" t="n">
        <v>46220</v>
      </c>
      <c r="F671" t="inlineStr">
        <is>
          <t>KALMAR LÄN</t>
        </is>
      </c>
      <c r="G671" t="inlineStr">
        <is>
          <t>EMMABODA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14467-2024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45394</v>
      </c>
      <c r="E672" s="1" t="n">
        <v>46220</v>
      </c>
      <c r="F672" t="inlineStr">
        <is>
          <t>KALMAR LÄN</t>
        </is>
      </c>
      <c r="G672" t="inlineStr">
        <is>
          <t>EMMABODA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4885-2023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44955</v>
      </c>
      <c r="E673" s="1" t="n">
        <v>46220</v>
      </c>
      <c r="F673" t="inlineStr">
        <is>
          <t>KALMAR LÄN</t>
        </is>
      </c>
      <c r="G673" t="inlineStr">
        <is>
          <t>EMMABODA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19098-2023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45048</v>
      </c>
      <c r="E674" s="1" t="n">
        <v>46220</v>
      </c>
      <c r="F674" t="inlineStr">
        <is>
          <t>KALMAR LÄN</t>
        </is>
      </c>
      <c r="G674" t="inlineStr">
        <is>
          <t>EMMABODA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8151-2024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45351</v>
      </c>
      <c r="E675" s="1" t="n">
        <v>46220</v>
      </c>
      <c r="F675" t="inlineStr">
        <is>
          <t>KALMAR LÄN</t>
        </is>
      </c>
      <c r="G675" t="inlineStr">
        <is>
          <t>EMMABODA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36367-2024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45534</v>
      </c>
      <c r="E676" s="1" t="n">
        <v>46220</v>
      </c>
      <c r="F676" t="inlineStr">
        <is>
          <t>KALMAR LÄN</t>
        </is>
      </c>
      <c r="G676" t="inlineStr">
        <is>
          <t>EMMABODA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49953-2023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45215</v>
      </c>
      <c r="E677" s="1" t="n">
        <v>46220</v>
      </c>
      <c r="F677" t="inlineStr">
        <is>
          <t>KALMAR LÄN</t>
        </is>
      </c>
      <c r="G677" t="inlineStr">
        <is>
          <t>EMMABODA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39521-2024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45551</v>
      </c>
      <c r="E678" s="1" t="n">
        <v>46220</v>
      </c>
      <c r="F678" t="inlineStr">
        <is>
          <t>KALMAR LÄN</t>
        </is>
      </c>
      <c r="G678" t="inlineStr">
        <is>
          <t>EMMABODA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33980-2024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45523</v>
      </c>
      <c r="E679" s="1" t="n">
        <v>46220</v>
      </c>
      <c r="F679" t="inlineStr">
        <is>
          <t>KALMAR LÄN</t>
        </is>
      </c>
      <c r="G679" t="inlineStr">
        <is>
          <t>EMMABODA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3321-2023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46220</v>
      </c>
      <c r="F680" t="inlineStr">
        <is>
          <t>KALMAR LÄN</t>
        </is>
      </c>
      <c r="G680" t="inlineStr">
        <is>
          <t>EMMABODA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4089-2025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45684</v>
      </c>
      <c r="E681" s="1" t="n">
        <v>46220</v>
      </c>
      <c r="F681" t="inlineStr">
        <is>
          <t>KALMAR LÄN</t>
        </is>
      </c>
      <c r="G681" t="inlineStr">
        <is>
          <t>EMMABODA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56254-2024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45624</v>
      </c>
      <c r="E682" s="1" t="n">
        <v>46220</v>
      </c>
      <c r="F682" t="inlineStr">
        <is>
          <t>KALMAR LÄN</t>
        </is>
      </c>
      <c r="G682" t="inlineStr">
        <is>
          <t>EMMABODA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29539-2024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45484</v>
      </c>
      <c r="E683" s="1" t="n">
        <v>46220</v>
      </c>
      <c r="F683" t="inlineStr">
        <is>
          <t>KALMAR LÄN</t>
        </is>
      </c>
      <c r="G683" t="inlineStr">
        <is>
          <t>EMMABODA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29782-2023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46220</v>
      </c>
      <c r="F684" t="inlineStr">
        <is>
          <t>KALMAR LÄN</t>
        </is>
      </c>
      <c r="G684" t="inlineStr">
        <is>
          <t>EMMABODA</t>
        </is>
      </c>
      <c r="I684" t="n">
        <v>7.4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22145-2024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45445</v>
      </c>
      <c r="E685" s="1" t="n">
        <v>46220</v>
      </c>
      <c r="F685" t="inlineStr">
        <is>
          <t>KALMAR LÄN</t>
        </is>
      </c>
      <c r="G685" t="inlineStr">
        <is>
          <t>EMMABODA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3291-2024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45317</v>
      </c>
      <c r="E686" s="1" t="n">
        <v>46220</v>
      </c>
      <c r="F686" t="inlineStr">
        <is>
          <t>KALMAR LÄN</t>
        </is>
      </c>
      <c r="G686" t="inlineStr">
        <is>
          <t>EMMABODA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39169-2024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45548</v>
      </c>
      <c r="E687" s="1" t="n">
        <v>46220</v>
      </c>
      <c r="F687" t="inlineStr">
        <is>
          <t>KALMAR LÄN</t>
        </is>
      </c>
      <c r="G687" t="inlineStr">
        <is>
          <t>EMMABODA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17527-2024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45415</v>
      </c>
      <c r="E688" s="1" t="n">
        <v>46220</v>
      </c>
      <c r="F688" t="inlineStr">
        <is>
          <t>KALMAR LÄN</t>
        </is>
      </c>
      <c r="G688" t="inlineStr">
        <is>
          <t>EMMABODA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59413-2024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45638</v>
      </c>
      <c r="E689" s="1" t="n">
        <v>46220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42448-2024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45565</v>
      </c>
      <c r="E690" s="1" t="n">
        <v>46220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13148-2024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46220</v>
      </c>
      <c r="F691" t="inlineStr">
        <is>
          <t>KALMAR LÄN</t>
        </is>
      </c>
      <c r="G691" t="inlineStr">
        <is>
          <t>EMMABODA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20506-2025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45775</v>
      </c>
      <c r="E692" s="1" t="n">
        <v>46220</v>
      </c>
      <c r="F692" t="inlineStr">
        <is>
          <t>KALMAR LÄN</t>
        </is>
      </c>
      <c r="G692" t="inlineStr">
        <is>
          <t>EMMABODA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49066-2021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44453</v>
      </c>
      <c r="E693" s="1" t="n">
        <v>46220</v>
      </c>
      <c r="F693" t="inlineStr">
        <is>
          <t>KALMAR LÄN</t>
        </is>
      </c>
      <c r="G693" t="inlineStr">
        <is>
          <t>EMMABODA</t>
        </is>
      </c>
      <c r="I693" t="n">
        <v>8.6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29085-2024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45481</v>
      </c>
      <c r="E694" s="1" t="n">
        <v>46220</v>
      </c>
      <c r="F694" t="inlineStr">
        <is>
          <t>KALMAR LÄN</t>
        </is>
      </c>
      <c r="G694" t="inlineStr">
        <is>
          <t>EMMABODA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42847-2024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45566</v>
      </c>
      <c r="E695" s="1" t="n">
        <v>46220</v>
      </c>
      <c r="F695" t="inlineStr">
        <is>
          <t>KALMAR LÄN</t>
        </is>
      </c>
      <c r="G695" t="inlineStr">
        <is>
          <t>EMMABODA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46429-2024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45582</v>
      </c>
      <c r="E696" s="1" t="n">
        <v>46220</v>
      </c>
      <c r="F696" t="inlineStr">
        <is>
          <t>KALMAR LÄN</t>
        </is>
      </c>
      <c r="G696" t="inlineStr">
        <is>
          <t>EMMABODA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52462-2024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45609</v>
      </c>
      <c r="E697" s="1" t="n">
        <v>46220</v>
      </c>
      <c r="F697" t="inlineStr">
        <is>
          <t>KALMAR LÄN</t>
        </is>
      </c>
      <c r="G697" t="inlineStr">
        <is>
          <t>EMMABODA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29491-2024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45484</v>
      </c>
      <c r="E698" s="1" t="n">
        <v>46220</v>
      </c>
      <c r="F698" t="inlineStr">
        <is>
          <t>KALMAR LÄN</t>
        </is>
      </c>
      <c r="G698" t="inlineStr">
        <is>
          <t>EMMABODA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5200-2025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45688</v>
      </c>
      <c r="E699" s="1" t="n">
        <v>46220</v>
      </c>
      <c r="F699" t="inlineStr">
        <is>
          <t>KALMAR LÄN</t>
        </is>
      </c>
      <c r="G699" t="inlineStr">
        <is>
          <t>EMMABODA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52913-2024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45610</v>
      </c>
      <c r="E700" s="1" t="n">
        <v>46220</v>
      </c>
      <c r="F700" t="inlineStr">
        <is>
          <t>KALMAR LÄN</t>
        </is>
      </c>
      <c r="G700" t="inlineStr">
        <is>
          <t>EMMABODA</t>
        </is>
      </c>
      <c r="I700" t="n">
        <v>6.6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15281-2024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45400</v>
      </c>
      <c r="E701" s="1" t="n">
        <v>46220</v>
      </c>
      <c r="F701" t="inlineStr">
        <is>
          <t>KALMAR LÄN</t>
        </is>
      </c>
      <c r="G701" t="inlineStr">
        <is>
          <t>EMMABODA</t>
        </is>
      </c>
      <c r="I701" t="n">
        <v>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23776-2024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45455</v>
      </c>
      <c r="E702" s="1" t="n">
        <v>46220</v>
      </c>
      <c r="F702" t="inlineStr">
        <is>
          <t>KALMAR LÄN</t>
        </is>
      </c>
      <c r="G702" t="inlineStr">
        <is>
          <t>EMMABODA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7596-2021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44476</v>
      </c>
      <c r="E703" s="1" t="n">
        <v>46220</v>
      </c>
      <c r="F703" t="inlineStr">
        <is>
          <t>KALMAR LÄN</t>
        </is>
      </c>
      <c r="G703" t="inlineStr">
        <is>
          <t>EMMABODA</t>
        </is>
      </c>
      <c r="I703" t="n">
        <v>35.3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3248-2023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45191</v>
      </c>
      <c r="E704" s="1" t="n">
        <v>46220</v>
      </c>
      <c r="F704" t="inlineStr">
        <is>
          <t>KALMAR LÄN</t>
        </is>
      </c>
      <c r="G704" t="inlineStr">
        <is>
          <t>EMMABODA</t>
        </is>
      </c>
      <c r="I704" t="n">
        <v>30.4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7095-2021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44462</v>
      </c>
      <c r="E705" s="1" t="n">
        <v>46220</v>
      </c>
      <c r="F705" t="inlineStr">
        <is>
          <t>KALMAR LÄN</t>
        </is>
      </c>
      <c r="G705" t="inlineStr">
        <is>
          <t>EMMABODA</t>
        </is>
      </c>
      <c r="I705" t="n">
        <v>129.3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393-2023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44959</v>
      </c>
      <c r="E706" s="1" t="n">
        <v>46220</v>
      </c>
      <c r="F706" t="inlineStr">
        <is>
          <t>KALMAR LÄN</t>
        </is>
      </c>
      <c r="G706" t="inlineStr">
        <is>
          <t>EMMABODA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3275-2023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45194</v>
      </c>
      <c r="E707" s="1" t="n">
        <v>46220</v>
      </c>
      <c r="F707" t="inlineStr">
        <is>
          <t>KALMAR LÄN</t>
        </is>
      </c>
      <c r="G707" t="inlineStr">
        <is>
          <t>EMMABODA</t>
        </is>
      </c>
      <c r="I707" t="n">
        <v>18.8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916-2024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46220</v>
      </c>
      <c r="F708" t="inlineStr">
        <is>
          <t>KALMAR LÄN</t>
        </is>
      </c>
      <c r="G708" t="inlineStr">
        <is>
          <t>EMMABODA</t>
        </is>
      </c>
      <c r="I708" t="n">
        <v>34.2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1064-2024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46220</v>
      </c>
      <c r="F709" t="inlineStr">
        <is>
          <t>KALMAR LÄN</t>
        </is>
      </c>
      <c r="G709" t="inlineStr">
        <is>
          <t>EMMABODA</t>
        </is>
      </c>
      <c r="I709" t="n">
        <v>14.4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7020-2022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44903</v>
      </c>
      <c r="E710" s="1" t="n">
        <v>46220</v>
      </c>
      <c r="F710" t="inlineStr">
        <is>
          <t>KALMAR LÄN</t>
        </is>
      </c>
      <c r="G710" t="inlineStr">
        <is>
          <t>EMMABODA</t>
        </is>
      </c>
      <c r="I710" t="n">
        <v>10.5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6951-2022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44900</v>
      </c>
      <c r="E711" s="1" t="n">
        <v>46220</v>
      </c>
      <c r="F711" t="inlineStr">
        <is>
          <t>KALMAR LÄN</t>
        </is>
      </c>
      <c r="G711" t="inlineStr">
        <is>
          <t>EMMABODA</t>
        </is>
      </c>
      <c r="I711" t="n">
        <v>16.2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5811-2022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44852</v>
      </c>
      <c r="E712" s="1" t="n">
        <v>46220</v>
      </c>
      <c r="F712" t="inlineStr">
        <is>
          <t>KALMAR LÄN</t>
        </is>
      </c>
      <c r="G712" t="inlineStr">
        <is>
          <t>EMMABODA</t>
        </is>
      </c>
      <c r="I712" t="n">
        <v>20.2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3326-2023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45200</v>
      </c>
      <c r="E713" s="1" t="n">
        <v>46220</v>
      </c>
      <c r="F713" t="inlineStr">
        <is>
          <t>KALMAR LÄN</t>
        </is>
      </c>
      <c r="G713" t="inlineStr">
        <is>
          <t>EMMABODA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3397-2024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46220</v>
      </c>
      <c r="F714" t="inlineStr">
        <is>
          <t>KALMAR LÄN</t>
        </is>
      </c>
      <c r="G714" t="inlineStr">
        <is>
          <t>EMMABODA</t>
        </is>
      </c>
      <c r="I714" t="n">
        <v>49.9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3244-2023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45191</v>
      </c>
      <c r="E715" s="1" t="n">
        <v>46220</v>
      </c>
      <c r="F715" t="inlineStr">
        <is>
          <t>KALMAR LÄN</t>
        </is>
      </c>
      <c r="G715" t="inlineStr">
        <is>
          <t>EMMABODA</t>
        </is>
      </c>
      <c r="I715" t="n">
        <v>86.2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1011-2024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46220</v>
      </c>
      <c r="F716" t="inlineStr">
        <is>
          <t>KALMAR LÄN</t>
        </is>
      </c>
      <c r="G716" t="inlineStr">
        <is>
          <t>EMMABODA</t>
        </is>
      </c>
      <c r="I716" t="n">
        <v>25.2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4594-2023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45287</v>
      </c>
      <c r="E717" s="1" t="n">
        <v>46220</v>
      </c>
      <c r="F717" t="inlineStr">
        <is>
          <t>KALMAR LÄN</t>
        </is>
      </c>
      <c r="G717" t="inlineStr">
        <is>
          <t>EMMABODA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1017-2024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46220</v>
      </c>
      <c r="F718" t="inlineStr">
        <is>
          <t>KALMAR LÄN</t>
        </is>
      </c>
      <c r="G718" t="inlineStr">
        <is>
          <t>EMMABODA</t>
        </is>
      </c>
      <c r="I718" t="n">
        <v>70.90000000000001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1014-2024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45386</v>
      </c>
      <c r="E719" s="1" t="n">
        <v>46220</v>
      </c>
      <c r="F719" t="inlineStr">
        <is>
          <t>KALMAR LÄN</t>
        </is>
      </c>
      <c r="G719" t="inlineStr">
        <is>
          <t>EMMABODA</t>
        </is>
      </c>
      <c r="I719" t="n">
        <v>21.8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4430-2021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44399</v>
      </c>
      <c r="E720" s="1" t="n">
        <v>46220</v>
      </c>
      <c r="F720" t="inlineStr">
        <is>
          <t>KALMAR LÄN</t>
        </is>
      </c>
      <c r="G720" t="inlineStr">
        <is>
          <t>EMMABODA</t>
        </is>
      </c>
      <c r="I720" t="n">
        <v>96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1018-2024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45386</v>
      </c>
      <c r="E721" s="1" t="n">
        <v>46220</v>
      </c>
      <c r="F721" t="inlineStr">
        <is>
          <t>KALMAR LÄN</t>
        </is>
      </c>
      <c r="G721" t="inlineStr">
        <is>
          <t>EMMABODA</t>
        </is>
      </c>
      <c r="I721" t="n">
        <v>17.9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S 6935-2021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44460</v>
      </c>
      <c r="E722" s="1" t="n">
        <v>46220</v>
      </c>
      <c r="F722" t="inlineStr">
        <is>
          <t>KALMAR LÄN</t>
        </is>
      </c>
      <c r="G722" t="inlineStr">
        <is>
          <t>EMMABODA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S 1028-2024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45387</v>
      </c>
      <c r="E723" s="1" t="n">
        <v>46220</v>
      </c>
      <c r="F723" t="inlineStr">
        <is>
          <t>KALMAR LÄN</t>
        </is>
      </c>
      <c r="G723" t="inlineStr">
        <is>
          <t>EMMABODA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S 9363-2021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44519</v>
      </c>
      <c r="E724" s="1" t="n">
        <v>46220</v>
      </c>
      <c r="F724" t="inlineStr">
        <is>
          <t>KALMAR LÄN</t>
        </is>
      </c>
      <c r="G724" t="inlineStr">
        <is>
          <t>EMMABODA</t>
        </is>
      </c>
      <c r="I724" t="n">
        <v>9.199999999999999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S 3393-2024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45534</v>
      </c>
      <c r="E725" s="1" t="n">
        <v>46220</v>
      </c>
      <c r="F725" t="inlineStr">
        <is>
          <t>KALMAR LÄN</t>
        </is>
      </c>
      <c r="G725" t="inlineStr">
        <is>
          <t>EMMABODA</t>
        </is>
      </c>
      <c r="I725" t="n">
        <v>48.6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S 918-2024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45377</v>
      </c>
      <c r="E726" s="1" t="n">
        <v>46220</v>
      </c>
      <c r="F726" t="inlineStr">
        <is>
          <t>KALMAR LÄN</t>
        </is>
      </c>
      <c r="G726" t="inlineStr">
        <is>
          <t>EMMABODA</t>
        </is>
      </c>
      <c r="I726" t="n">
        <v>30.6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S 4432-2021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44399</v>
      </c>
      <c r="E727" s="1" t="n">
        <v>46220</v>
      </c>
      <c r="F727" t="inlineStr">
        <is>
          <t>KALMAR LÄN</t>
        </is>
      </c>
      <c r="G727" t="inlineStr">
        <is>
          <t>EMMABODA</t>
        </is>
      </c>
      <c r="I727" t="n">
        <v>51.9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S 66-2023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44928</v>
      </c>
      <c r="E728" s="1" t="n">
        <v>46220</v>
      </c>
      <c r="F728" t="inlineStr">
        <is>
          <t>KALMAR LÄN</t>
        </is>
      </c>
      <c r="G728" t="inlineStr">
        <is>
          <t>EMMABODA</t>
        </is>
      </c>
      <c r="I728" t="n">
        <v>29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S 921-2024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45377</v>
      </c>
      <c r="E729" s="1" t="n">
        <v>46220</v>
      </c>
      <c r="F729" t="inlineStr">
        <is>
          <t>KALMAR LÄN</t>
        </is>
      </c>
      <c r="G729" t="inlineStr">
        <is>
          <t>EMMABODA</t>
        </is>
      </c>
      <c r="I729" t="n">
        <v>15.6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S 9386-2021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44519</v>
      </c>
      <c r="E730" s="1" t="n">
        <v>46220</v>
      </c>
      <c r="F730" t="inlineStr">
        <is>
          <t>KALMAR LÄN</t>
        </is>
      </c>
      <c r="G730" t="inlineStr">
        <is>
          <t>EMMABODA</t>
        </is>
      </c>
      <c r="I730" t="n">
        <v>18.7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S 3325-2023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45200</v>
      </c>
      <c r="E731" s="1" t="n">
        <v>46220</v>
      </c>
      <c r="F731" t="inlineStr">
        <is>
          <t>KALMAR LÄN</t>
        </is>
      </c>
      <c r="G731" t="inlineStr">
        <is>
          <t>EMMABODA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S 6949-2022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44900</v>
      </c>
      <c r="E732" s="1" t="n">
        <v>46220</v>
      </c>
      <c r="F732" t="inlineStr">
        <is>
          <t>KALMAR LÄN</t>
        </is>
      </c>
      <c r="G732" t="inlineStr">
        <is>
          <t>EMMABODA</t>
        </is>
      </c>
      <c r="I732" t="n">
        <v>11.9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S 361-2024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45330</v>
      </c>
      <c r="E733" s="1" t="n">
        <v>46220</v>
      </c>
      <c r="F733" t="inlineStr">
        <is>
          <t>KALMAR LÄN</t>
        </is>
      </c>
      <c r="G733" t="inlineStr">
        <is>
          <t>EMMABODA</t>
        </is>
      </c>
      <c r="I733" t="n">
        <v>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S 388-2023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44959</v>
      </c>
      <c r="E734" s="1" t="n">
        <v>46220</v>
      </c>
      <c r="F734" t="inlineStr">
        <is>
          <t>KALMAR LÄN</t>
        </is>
      </c>
      <c r="G734" t="inlineStr">
        <is>
          <t>EMMABODA</t>
        </is>
      </c>
      <c r="I734" t="n">
        <v>13.7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S 919-2024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45348</v>
      </c>
      <c r="E735" s="1" t="n">
        <v>46220</v>
      </c>
      <c r="F735" t="inlineStr">
        <is>
          <t>KALMAR LÄN</t>
        </is>
      </c>
      <c r="G735" t="inlineStr">
        <is>
          <t>EMMABODA</t>
        </is>
      </c>
      <c r="I735" t="n">
        <v>12.3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S 1775-2025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45813</v>
      </c>
      <c r="E736" s="1" t="n">
        <v>46220</v>
      </c>
      <c r="F736" t="inlineStr">
        <is>
          <t>KALMAR LÄN</t>
        </is>
      </c>
      <c r="G736" t="inlineStr">
        <is>
          <t>EMMABODA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S 1774-2025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45813</v>
      </c>
      <c r="E737" s="1" t="n">
        <v>46220</v>
      </c>
      <c r="F737" t="inlineStr">
        <is>
          <t>KALMAR LÄN</t>
        </is>
      </c>
      <c r="G737" t="inlineStr">
        <is>
          <t>EMMABODA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S 2164-2025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45849</v>
      </c>
      <c r="E738" s="1" t="n">
        <v>46220</v>
      </c>
      <c r="F738" t="inlineStr">
        <is>
          <t>KALMAR LÄN</t>
        </is>
      </c>
      <c r="G738" t="inlineStr">
        <is>
          <t>EMMABODA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S 2433-2025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45898</v>
      </c>
      <c r="E739" s="1" t="n">
        <v>46220</v>
      </c>
      <c r="F739" t="inlineStr">
        <is>
          <t>KALMAR LÄN</t>
        </is>
      </c>
      <c r="G739" t="inlineStr">
        <is>
          <t>EMMABODA</t>
        </is>
      </c>
      <c r="I739" t="n">
        <v>16.5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S 2757-2025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45935</v>
      </c>
      <c r="E740" s="1" t="n">
        <v>46220</v>
      </c>
      <c r="F740" t="inlineStr">
        <is>
          <t>KALMAR LÄN</t>
        </is>
      </c>
      <c r="G740" t="inlineStr">
        <is>
          <t>EMMABODA</t>
        </is>
      </c>
      <c r="I740" t="n">
        <v>17.8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3189-2025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45978</v>
      </c>
      <c r="E741" s="1" t="n">
        <v>46220</v>
      </c>
      <c r="F741" t="inlineStr">
        <is>
          <t>KALMAR LÄN</t>
        </is>
      </c>
      <c r="G741" t="inlineStr">
        <is>
          <t>EMMABODA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82-2026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46034</v>
      </c>
      <c r="E742" s="1" t="n">
        <v>46220</v>
      </c>
      <c r="F742" t="inlineStr">
        <is>
          <t>KALMAR LÄN</t>
        </is>
      </c>
      <c r="G742" t="inlineStr">
        <is>
          <t>EMMABODA</t>
        </is>
      </c>
      <c r="I742" t="n">
        <v>47.8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193-2026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46049</v>
      </c>
      <c r="E743" s="1" t="n">
        <v>46220</v>
      </c>
      <c r="F743" t="inlineStr">
        <is>
          <t>KALMAR LÄN</t>
        </is>
      </c>
      <c r="G743" t="inlineStr">
        <is>
          <t>EMMABODA</t>
        </is>
      </c>
      <c r="I743" t="n">
        <v>12.9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194-2026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46049</v>
      </c>
      <c r="E744" s="1" t="n">
        <v>46220</v>
      </c>
      <c r="F744" t="inlineStr">
        <is>
          <t>KALMAR LÄN</t>
        </is>
      </c>
      <c r="G744" t="inlineStr">
        <is>
          <t>EMMABODA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374-2026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46065</v>
      </c>
      <c r="E745" s="1" t="n">
        <v>46220</v>
      </c>
      <c r="F745" t="inlineStr">
        <is>
          <t>KALMAR LÄN</t>
        </is>
      </c>
      <c r="G745" t="inlineStr">
        <is>
          <t>EMMABODA</t>
        </is>
      </c>
      <c r="I745" t="n">
        <v>22.4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700-2026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46092</v>
      </c>
      <c r="E746" s="1" t="n">
        <v>46220</v>
      </c>
      <c r="F746" t="inlineStr">
        <is>
          <t>KALMAR LÄN</t>
        </is>
      </c>
      <c r="G746" t="inlineStr">
        <is>
          <t>EMMABODA</t>
        </is>
      </c>
      <c r="I746" t="n">
        <v>22.1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337-2026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46062</v>
      </c>
      <c r="E747" s="1" t="n">
        <v>46220</v>
      </c>
      <c r="F747" t="inlineStr">
        <is>
          <t>KALMAR LÄN</t>
        </is>
      </c>
      <c r="G747" t="inlineStr">
        <is>
          <t>EMMABODA</t>
        </is>
      </c>
      <c r="I747" t="n">
        <v>38.4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978-2026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46119</v>
      </c>
      <c r="E748" s="1" t="n">
        <v>46220</v>
      </c>
      <c r="F748" t="inlineStr">
        <is>
          <t>KALMAR LÄN</t>
        </is>
      </c>
      <c r="G748" t="inlineStr">
        <is>
          <t>EMMABODA</t>
        </is>
      </c>
      <c r="I748" t="n">
        <v>14.1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988-2026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46119</v>
      </c>
      <c r="E749" s="1" t="n">
        <v>46220</v>
      </c>
      <c r="F749" t="inlineStr">
        <is>
          <t>KALMAR LÄN</t>
        </is>
      </c>
      <c r="G749" t="inlineStr">
        <is>
          <t>EMMABODA</t>
        </is>
      </c>
      <c r="I749" t="n">
        <v>11.2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1058-2026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46127</v>
      </c>
      <c r="E750" s="1" t="n">
        <v>46220</v>
      </c>
      <c r="F750" t="inlineStr">
        <is>
          <t>KALMAR LÄN</t>
        </is>
      </c>
      <c r="G750" t="inlineStr">
        <is>
          <t>EMMABODA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1688-2026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46183</v>
      </c>
      <c r="E751" s="1" t="n">
        <v>46220</v>
      </c>
      <c r="F751" t="inlineStr">
        <is>
          <t>KALMAR LÄN</t>
        </is>
      </c>
      <c r="G751" t="inlineStr">
        <is>
          <t>EMMABODA</t>
        </is>
      </c>
      <c r="I751" t="n">
        <v>40.2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1771-2026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46191</v>
      </c>
      <c r="E752" s="1" t="n">
        <v>46220</v>
      </c>
      <c r="F752" t="inlineStr">
        <is>
          <t>KALMAR LÄN</t>
        </is>
      </c>
      <c r="G752" t="inlineStr">
        <is>
          <t>EMMABODA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1527-2026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46167</v>
      </c>
      <c r="E753" s="1" t="n">
        <v>46220</v>
      </c>
      <c r="F753" t="inlineStr">
        <is>
          <t>KALMAR LÄN</t>
        </is>
      </c>
      <c r="G753" t="inlineStr">
        <is>
          <t>EMMABODA</t>
        </is>
      </c>
      <c r="I753" t="n">
        <v>12.7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>
      <c r="A754" t="inlineStr">
        <is>
          <t>S 1430-2026</t>
        </is>
      </c>
      <c r="B754" t="inlineStr">
        <is>
          <t>samrådsanmälan</t>
        </is>
      </c>
      <c r="C754" t="inlineStr">
        <is>
          <t>Skogsgödsling</t>
        </is>
      </c>
      <c r="D754" s="1" t="n">
        <v>46156</v>
      </c>
      <c r="E754" s="1" t="n">
        <v>46220</v>
      </c>
      <c r="F754" t="inlineStr">
        <is>
          <t>KALMAR LÄN</t>
        </is>
      </c>
      <c r="G754" t="inlineStr">
        <is>
          <t>EMMABODA</t>
        </is>
      </c>
      <c r="I754" t="n">
        <v>17.1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2026-07-17T01:44:06Z</dcterms:created>
  <dcterms:modified xmlns:dcterms="http://purl.org/dc/terms/" xmlns:xsi="http://www.w3.org/2001/XMLSchema-instance" xsi:type="dcterms:W3CDTF">2026-07-17T01:44:07Z</dcterms:modified>
</cp:coreProperties>
</file>