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46237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46237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46237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46237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46237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46237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46237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46237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46237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46237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46237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46237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46237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46237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46237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46237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46237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31226-2022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44771</v>
      </c>
      <c r="E24" s="1" t="n">
        <v>46237</v>
      </c>
      <c r="F24" t="inlineStr">
        <is>
          <t>KALMAR LÄN</t>
        </is>
      </c>
      <c r="G24" t="inlineStr">
        <is>
          <t>EMMABODA</t>
        </is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Lappuggla</t>
        </is>
      </c>
      <c r="W24">
        <f>HYPERLINK("https://klasma.github.io/Logging_0862/artfynd/A 31226-2022 artfynd.xlsx", "A 31226-2022")</f>
        <v/>
      </c>
      <c r="X24">
        <f>HYPERLINK("https://klasma.github.io/Logging_0862/kartor/A 31226-2022 karta.png", "A 31226-2022")</f>
        <v/>
      </c>
      <c r="Y24">
        <f>HYPERLINK("https://klasma.github.io/Logging_0862/kartor_geotiff/A 31226-2022 georefererad karta.tif", "A 31226-2022")</f>
        <v/>
      </c>
      <c r="AA24">
        <f>HYPERLINK("https://klasma.github.io/Logging_0862/klagomål/A 31226-2022 FSC-klagomål.docx", "A 31226-2022")</f>
        <v/>
      </c>
      <c r="AB24">
        <f>HYPERLINK("https://klasma.github.io/Logging_0862/klagomålsmail/A 31226-2022 FSC-klagomål mail.docx", "A 31226-2022")</f>
        <v/>
      </c>
      <c r="AC24">
        <f>HYPERLINK("https://klasma.github.io/Logging_0862/tillsyn/A 31226-2022 tillsynsbegäran.docx", "A 31226-2022")</f>
        <v/>
      </c>
      <c r="AD24">
        <f>HYPERLINK("https://klasma.github.io/Logging_0862/tillsynsmail/A 31226-2022 tillsynsbegäran mail.docx", "A 31226-2022")</f>
        <v/>
      </c>
      <c r="AE24">
        <f>HYPERLINK("https://klasma.github.io/Logging_0862/fåglar/A 31226-2022 prioriterade fågelarter.docx", "A 31226-2022")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46237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46550-2021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46237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HYPERLINK("https://klasma.github.io/Logging_0862/artfynd/A 46550-2021 artfynd.xlsx", "A 46550-2021")</f>
        <v/>
      </c>
      <c r="X26">
        <f>HYPERLINK("https://klasma.github.io/Logging_0862/kartor/A 46550-2021 karta.png", "A 46550-2021")</f>
        <v/>
      </c>
      <c r="Y26">
        <f>HYPERLINK("https://klasma.github.io/Logging_0862/kartor_geotiff/A 46550-2021 georefererad karta.tif", "A 46550-2021")</f>
        <v/>
      </c>
      <c r="AA26">
        <f>HYPERLINK("https://klasma.github.io/Logging_0862/klagomål/A 46550-2021 FSC-klagomål.docx", "A 46550-2021")</f>
        <v/>
      </c>
      <c r="AB26">
        <f>HYPERLINK("https://klasma.github.io/Logging_0862/klagomålsmail/A 46550-2021 FSC-klagomål mail.docx", "A 46550-2021")</f>
        <v/>
      </c>
      <c r="AC26">
        <f>HYPERLINK("https://klasma.github.io/Logging_0862/tillsyn/A 46550-2021 tillsynsbegäran.docx", "A 46550-2021")</f>
        <v/>
      </c>
      <c r="AD26">
        <f>HYPERLINK("https://klasma.github.io/Logging_0862/tillsynsmail/A 46550-2021 tillsynsbegäran mail.docx", "A 46550-2021")</f>
        <v/>
      </c>
    </row>
    <row r="27" ht="15" customHeight="1">
      <c r="A27" t="inlineStr">
        <is>
          <t>A 53370-2023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46237</v>
      </c>
      <c r="F27" t="inlineStr">
        <is>
          <t>KALMAR LÄN</t>
        </is>
      </c>
      <c r="G27" t="inlineStr">
        <is>
          <t>EMMABODA</t>
        </is>
      </c>
      <c r="I27" t="n">
        <v>2.4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53370-2023 artfynd.xlsx", "A 53370-2023")</f>
        <v/>
      </c>
      <c r="X27">
        <f>HYPERLINK("https://klasma.github.io/Logging_0862/kartor/A 53370-2023 karta.png", "A 53370-2023")</f>
        <v/>
      </c>
      <c r="Y27">
        <f>HYPERLINK("https://klasma.github.io/Logging_0862/kartor_geotiff/A 53370-2023 georefererad karta.tif", "A 53370-2023")</f>
        <v/>
      </c>
      <c r="Z27">
        <f>HYPERLINK("https://klasma.github.io/Logging_0862/knärot/A 53370-2023 karta knärot.png", "A 53370-2023")</f>
        <v/>
      </c>
      <c r="AA27">
        <f>HYPERLINK("https://klasma.github.io/Logging_0862/klagomål/A 53370-2023 FSC-klagomål.docx", "A 53370-2023")</f>
        <v/>
      </c>
      <c r="AB27">
        <f>HYPERLINK("https://klasma.github.io/Logging_0862/klagomålsmail/A 53370-2023 FSC-klagomål mail.docx", "A 53370-2023")</f>
        <v/>
      </c>
      <c r="AC27">
        <f>HYPERLINK("https://klasma.github.io/Logging_0862/tillsyn/A 53370-2023 tillsynsbegäran.docx", "A 53370-2023")</f>
        <v/>
      </c>
      <c r="AD27">
        <f>HYPERLINK("https://klasma.github.io/Logging_0862/tillsynsmail/A 53370-2023 tillsynsbegäran mail.docx", "A 53370-2023")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46237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30597-2022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44762</v>
      </c>
      <c r="E29" s="1" t="n">
        <v>46237</v>
      </c>
      <c r="F29" t="inlineStr">
        <is>
          <t>KALMAR LÄN</t>
        </is>
      </c>
      <c r="G29" t="inlineStr">
        <is>
          <t>EMMABODA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HYPERLINK("https://klasma.github.io/Logging_0862/artfynd/A 30597-2022 artfynd.xlsx", "A 30597-2022")</f>
        <v/>
      </c>
      <c r="X29">
        <f>HYPERLINK("https://klasma.github.io/Logging_0862/kartor/A 30597-2022 karta.png", "A 30597-2022")</f>
        <v/>
      </c>
      <c r="Y29">
        <f>HYPERLINK("https://klasma.github.io/Logging_0862/kartor_geotiff/A 30597-2022 georefererad karta.tif", "A 30597-2022")</f>
        <v/>
      </c>
      <c r="AA29">
        <f>HYPERLINK("https://klasma.github.io/Logging_0862/klagomål/A 30597-2022 FSC-klagomål.docx", "A 30597-2022")</f>
        <v/>
      </c>
      <c r="AB29">
        <f>HYPERLINK("https://klasma.github.io/Logging_0862/klagomålsmail/A 30597-2022 FSC-klagomål mail.docx", "A 30597-2022")</f>
        <v/>
      </c>
      <c r="AC29">
        <f>HYPERLINK("https://klasma.github.io/Logging_0862/tillsyn/A 30597-2022 tillsynsbegäran.docx", "A 30597-2022")</f>
        <v/>
      </c>
      <c r="AD29">
        <f>HYPERLINK("https://klasma.github.io/Logging_0862/tillsynsmail/A 30597-2022 tillsynsbegäran mail.docx", "A 30597-2022")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46237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46237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HYPERLINK("https://klasma.github.io/Logging_0862/artfynd/A 27416-2023 artfynd.xlsx", "A 27416-2023")</f>
        <v/>
      </c>
      <c r="X31">
        <f>HYPERLINK("https://klasma.github.io/Logging_0862/kartor/A 27416-2023 karta.png", "A 27416-2023")</f>
        <v/>
      </c>
      <c r="Y31">
        <f>HYPERLINK("https://klasma.github.io/Logging_0862/kartor_geotiff/A 27416-2023 georefererad karta.tif", "A 27416-2023")</f>
        <v/>
      </c>
      <c r="AA31">
        <f>HYPERLINK("https://klasma.github.io/Logging_0862/klagomål/A 27416-2023 FSC-klagomål.docx", "A 27416-2023")</f>
        <v/>
      </c>
      <c r="AB31">
        <f>HYPERLINK("https://klasma.github.io/Logging_0862/klagomålsmail/A 27416-2023 FSC-klagomål mail.docx", "A 27416-2023")</f>
        <v/>
      </c>
      <c r="AC31">
        <f>HYPERLINK("https://klasma.github.io/Logging_0862/tillsyn/A 27416-2023 tillsynsbegäran.docx", "A 27416-2023")</f>
        <v/>
      </c>
      <c r="AD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46237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6612-2023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46237</v>
      </c>
      <c r="F33" t="inlineStr">
        <is>
          <t>KALMAR LÄN</t>
        </is>
      </c>
      <c r="G33" t="inlineStr">
        <is>
          <t>EMMABODA</t>
        </is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HYPERLINK("https://klasma.github.io/Logging_0862/artfynd/A 6612-2023 artfynd.xlsx", "A 6612-2023")</f>
        <v/>
      </c>
      <c r="X33">
        <f>HYPERLINK("https://klasma.github.io/Logging_0862/kartor/A 6612-2023 karta.png", "A 6612-2023")</f>
        <v/>
      </c>
      <c r="Y33">
        <f>HYPERLINK("https://klasma.github.io/Logging_0862/kartor_geotiff/A 6612-2023 georefererad karta.tif", "A 6612-2023")</f>
        <v/>
      </c>
      <c r="AA33">
        <f>HYPERLINK("https://klasma.github.io/Logging_0862/klagomål/A 6612-2023 FSC-klagomål.docx", "A 6612-2023")</f>
        <v/>
      </c>
      <c r="AB33">
        <f>HYPERLINK("https://klasma.github.io/Logging_0862/klagomålsmail/A 6612-2023 FSC-klagomål mail.docx", "A 6612-2023")</f>
        <v/>
      </c>
      <c r="AC33">
        <f>HYPERLINK("https://klasma.github.io/Logging_0862/tillsyn/A 6612-2023 tillsynsbegäran.docx", "A 6612-2023")</f>
        <v/>
      </c>
      <c r="AD33">
        <f>HYPERLINK("https://klasma.github.io/Logging_0862/tillsynsmail/A 6612-2023 tillsynsbegäran mail.docx", "A 6612-2023")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46237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Göktyta</t>
        </is>
      </c>
      <c r="W34">
        <f>HYPERLINK("https://klasma.github.io/Logging_0862/artfynd/A 52182-2025 artfynd.xlsx", "A 52182-2025")</f>
        <v/>
      </c>
      <c r="X34">
        <f>HYPERLINK("https://klasma.github.io/Logging_0862/kartor/A 52182-2025 karta.png", "A 52182-2025")</f>
        <v/>
      </c>
      <c r="Y34">
        <f>HYPERLINK("https://klasma.github.io/Logging_0862/kartor_geotiff/A 52182-2025 georefererad karta.tif", "A 52182-2025")</f>
        <v/>
      </c>
      <c r="AA34">
        <f>HYPERLINK("https://klasma.github.io/Logging_0862/klagomål/A 52182-2025 FSC-klagomål.docx", "A 52182-2025")</f>
        <v/>
      </c>
      <c r="AB34">
        <f>HYPERLINK("https://klasma.github.io/Logging_0862/klagomålsmail/A 52182-2025 FSC-klagomål mail.docx", "A 52182-2025")</f>
        <v/>
      </c>
      <c r="AC34">
        <f>HYPERLINK("https://klasma.github.io/Logging_0862/tillsyn/A 52182-2025 tillsynsbegäran.docx", "A 52182-2025")</f>
        <v/>
      </c>
      <c r="AD34">
        <f>HYPERLINK("https://klasma.github.io/Logging_0862/tillsynsmail/A 52182-2025 tillsynsbegäran mail.docx", "A 52182-2025")</f>
        <v/>
      </c>
      <c r="AE34">
        <f>HYPERLINK("https://klasma.github.io/Logging_0862/fåglar/A 52182-2025 prioriterade fågelarter.docx", "A 52182-2025")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46237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46237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46237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58297-2021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44488</v>
      </c>
      <c r="E38" s="1" t="n">
        <v>46237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58297-2021 artfynd.xlsx", "A 58297-2021")</f>
        <v/>
      </c>
      <c r="X38">
        <f>HYPERLINK("https://klasma.github.io/Logging_0862/kartor/A 58297-2021 karta.png", "A 58297-2021")</f>
        <v/>
      </c>
      <c r="Y38">
        <f>HYPERLINK("https://klasma.github.io/Logging_0862/kartor_geotiff/A 58297-2021 georefererad karta.tif", "A 58297-2021")</f>
        <v/>
      </c>
      <c r="AA38">
        <f>HYPERLINK("https://klasma.github.io/Logging_0862/klagomål/A 58297-2021 FSC-klagomål.docx", "A 58297-2021")</f>
        <v/>
      </c>
      <c r="AB38">
        <f>HYPERLINK("https://klasma.github.io/Logging_0862/klagomålsmail/A 58297-2021 FSC-klagomål mail.docx", "A 58297-2021")</f>
        <v/>
      </c>
      <c r="AC38">
        <f>HYPERLINK("https://klasma.github.io/Logging_0862/tillsyn/A 58297-2021 tillsynsbegäran.docx", "A 58297-2021")</f>
        <v/>
      </c>
      <c r="AD38">
        <f>HYPERLINK("https://klasma.github.io/Logging_0862/tillsynsmail/A 58297-2021 tillsynsbegäran mail.docx", "A 58297-2021")</f>
        <v/>
      </c>
    </row>
    <row r="39" ht="15" customHeight="1">
      <c r="A39" t="inlineStr">
        <is>
          <t>A 5884-2024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46237</v>
      </c>
      <c r="F39" t="inlineStr">
        <is>
          <t>KALMAR LÄN</t>
        </is>
      </c>
      <c r="G39" t="inlineStr">
        <is>
          <t>EMMABODA</t>
        </is>
      </c>
      <c r="I39" t="n">
        <v>4.7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HYPERLINK("https://klasma.github.io/Logging_0862/artfynd/A 5884-2024 artfynd.xlsx", "A 5884-2024")</f>
        <v/>
      </c>
      <c r="X39">
        <f>HYPERLINK("https://klasma.github.io/Logging_0862/kartor/A 5884-2024 karta.png", "A 5884-2024")</f>
        <v/>
      </c>
      <c r="Y39">
        <f>HYPERLINK("https://klasma.github.io/Logging_0862/kartor_geotiff/A 5884-2024 georefererad karta.tif", "A 5884-2024")</f>
        <v/>
      </c>
      <c r="AA39">
        <f>HYPERLINK("https://klasma.github.io/Logging_0862/klagomål/A 5884-2024 FSC-klagomål.docx", "A 5884-2024")</f>
        <v/>
      </c>
      <c r="AB39">
        <f>HYPERLINK("https://klasma.github.io/Logging_0862/klagomålsmail/A 5884-2024 FSC-klagomål mail.docx", "A 5884-2024")</f>
        <v/>
      </c>
      <c r="AC39">
        <f>HYPERLINK("https://klasma.github.io/Logging_0862/tillsyn/A 5884-2024 tillsynsbegäran.docx", "A 5884-2024")</f>
        <v/>
      </c>
      <c r="AD39">
        <f>HYPERLINK("https://klasma.github.io/Logging_0862/tillsynsmail/A 5884-2024 tillsynsbegäran mail.docx", "A 5884-2024")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46237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46237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46237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6247-2026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46237</v>
      </c>
      <c r="F43" t="inlineStr">
        <is>
          <t>KALMAR LÄN</t>
        </is>
      </c>
      <c r="G43" t="inlineStr">
        <is>
          <t>EMMABODA</t>
        </is>
      </c>
      <c r="I43" t="n">
        <v>1.2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HYPERLINK("https://klasma.github.io/Logging_0862/artfynd/A 6247-2026 artfynd.xlsx", "A 6247-2026")</f>
        <v/>
      </c>
      <c r="X43">
        <f>HYPERLINK("https://klasma.github.io/Logging_0862/kartor/A 6247-2026 karta.png", "A 6247-2026")</f>
        <v/>
      </c>
      <c r="Y43">
        <f>HYPERLINK("https://klasma.github.io/Logging_0862/kartor_geotiff/A 6247-2026 georefererad karta.tif", "A 6247-2026")</f>
        <v/>
      </c>
      <c r="AA43">
        <f>HYPERLINK("https://klasma.github.io/Logging_0862/klagomål/A 6247-2026 FSC-klagomål.docx", "A 6247-2026")</f>
        <v/>
      </c>
      <c r="AB43">
        <f>HYPERLINK("https://klasma.github.io/Logging_0862/klagomålsmail/A 6247-2026 FSC-klagomål mail.docx", "A 6247-2026")</f>
        <v/>
      </c>
      <c r="AC43">
        <f>HYPERLINK("https://klasma.github.io/Logging_0862/tillsyn/A 6247-2026 tillsynsbegäran.docx", "A 6247-2026")</f>
        <v/>
      </c>
      <c r="AD43">
        <f>HYPERLINK("https://klasma.github.io/Logging_0862/tillsynsmail/A 6247-2026 tillsynsbegäran mail.docx", "A 6247-2026")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46237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46237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46237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A 54981-2025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45967</v>
      </c>
      <c r="E47" s="1" t="n">
        <v>46237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HYPERLINK("https://klasma.github.io/Logging_0862/artfynd/A 54981-2025 artfynd.xlsx", "A 54981-2025")</f>
        <v/>
      </c>
      <c r="X47">
        <f>HYPERLINK("https://klasma.github.io/Logging_0862/kartor/A 54981-2025 karta.png", "A 54981-2025")</f>
        <v/>
      </c>
      <c r="Y47">
        <f>HYPERLINK("https://klasma.github.io/Logging_0862/kartor_geotiff/A 54981-2025 georefererad karta.tif", "A 54981-2025")</f>
        <v/>
      </c>
      <c r="AA47">
        <f>HYPERLINK("https://klasma.github.io/Logging_0862/klagomål/A 54981-2025 FSC-klagomål.docx", "A 54981-2025")</f>
        <v/>
      </c>
      <c r="AB47">
        <f>HYPERLINK("https://klasma.github.io/Logging_0862/klagomålsmail/A 54981-2025 FSC-klagomål mail.docx", "A 54981-2025")</f>
        <v/>
      </c>
      <c r="AC47">
        <f>HYPERLINK("https://klasma.github.io/Logging_0862/tillsyn/A 54981-2025 tillsynsbegäran.docx", "A 54981-2025")</f>
        <v/>
      </c>
      <c r="AD47">
        <f>HYPERLINK("https://klasma.github.io/Logging_0862/tillsynsmail/A 54981-2025 tillsynsbegäran mail.docx", "A 54981-2025")</f>
        <v/>
      </c>
    </row>
    <row r="48" ht="15" customHeight="1">
      <c r="A48" t="inlineStr">
        <is>
          <t>A 19763-2026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46135</v>
      </c>
      <c r="E48" s="1" t="n">
        <v>46237</v>
      </c>
      <c r="F48" t="inlineStr">
        <is>
          <t>KALMAR LÄN</t>
        </is>
      </c>
      <c r="G48" t="inlineStr">
        <is>
          <t>EMMABODA</t>
        </is>
      </c>
      <c r="H48" t="inlineStr">
        <is>
          <t>Sveaskog</t>
        </is>
      </c>
      <c r="I48" t="n">
        <v>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Granspira</t>
        </is>
      </c>
      <c r="W48">
        <f>HYPERLINK("https://klasma.github.io/Logging_0862/artfynd/A 19763-2026 artfynd.xlsx", "A 19763-2026")</f>
        <v/>
      </c>
      <c r="X48">
        <f>HYPERLINK("https://klasma.github.io/Logging_0862/kartor/A 19763-2026 karta.png", "A 19763-2026")</f>
        <v/>
      </c>
      <c r="Y48">
        <f>HYPERLINK("https://klasma.github.io/Logging_0862/kartor_geotiff/A 19763-2026 georefererad karta.tif", "A 19763-2026")</f>
        <v/>
      </c>
      <c r="AA48">
        <f>HYPERLINK("https://klasma.github.io/Logging_0862/klagomål/A 19763-2026 FSC-klagomål.docx", "A 19763-2026")</f>
        <v/>
      </c>
      <c r="AB48">
        <f>HYPERLINK("https://klasma.github.io/Logging_0862/klagomålsmail/A 19763-2026 FSC-klagomål mail.docx", "A 19763-2026")</f>
        <v/>
      </c>
      <c r="AC48">
        <f>HYPERLINK("https://klasma.github.io/Logging_0862/tillsyn/A 19763-2026 tillsynsbegäran.docx", "A 19763-2026")</f>
        <v/>
      </c>
      <c r="AD48">
        <f>HYPERLINK("https://klasma.github.io/Logging_0862/tillsynsmail/A 19763-2026 tillsynsbegäran mail.docx", "A 19763-2026")</f>
        <v/>
      </c>
    </row>
    <row r="49" ht="15" customHeight="1">
      <c r="A49" t="inlineStr">
        <is>
          <t>A 18621-2025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46237</v>
      </c>
      <c r="F49" t="inlineStr">
        <is>
          <t>KALMAR LÄN</t>
        </is>
      </c>
      <c r="G49" t="inlineStr">
        <is>
          <t>EMMABODA</t>
        </is>
      </c>
      <c r="I49" t="n">
        <v>1.7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Pärluggla</t>
        </is>
      </c>
      <c r="W49">
        <f>HYPERLINK("https://klasma.github.io/Logging_0862/artfynd/A 18621-2025 artfynd.xlsx", "A 18621-2025")</f>
        <v/>
      </c>
      <c r="X49">
        <f>HYPERLINK("https://klasma.github.io/Logging_0862/kartor/A 18621-2025 karta.png", "A 18621-2025")</f>
        <v/>
      </c>
      <c r="Y49">
        <f>HYPERLINK("https://klasma.github.io/Logging_0862/kartor_geotiff/A 18621-2025 georefererad karta.tif", "A 18621-2025")</f>
        <v/>
      </c>
      <c r="AA49">
        <f>HYPERLINK("https://klasma.github.io/Logging_0862/klagomål/A 18621-2025 FSC-klagomål.docx", "A 18621-2025")</f>
        <v/>
      </c>
      <c r="AB49">
        <f>HYPERLINK("https://klasma.github.io/Logging_0862/klagomålsmail/A 18621-2025 FSC-klagomål mail.docx", "A 18621-2025")</f>
        <v/>
      </c>
      <c r="AC49">
        <f>HYPERLINK("https://klasma.github.io/Logging_0862/tillsyn/A 18621-2025 tillsynsbegäran.docx", "A 18621-2025")</f>
        <v/>
      </c>
      <c r="AD49">
        <f>HYPERLINK("https://klasma.github.io/Logging_0862/tillsynsmail/A 18621-2025 tillsynsbegäran mail.docx", "A 18621-2025")</f>
        <v/>
      </c>
      <c r="AE49">
        <f>HYPERLINK("https://klasma.github.io/Logging_0862/fåglar/A 18621-2025 prioriterade fågelarter.docx", "A 18621-2025")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46237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46237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46237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46237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46237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46237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46237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46237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46237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46237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46237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46237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46237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46237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46237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46237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46237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46237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46237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46237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46237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46237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46237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46237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46237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46237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46237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46237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46237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46237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46237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46237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46237</v>
      </c>
      <c r="F82" t="inlineStr">
        <is>
          <t>KALMAR LÄN</t>
        </is>
      </c>
      <c r="G82" t="inlineStr">
        <is>
          <t>EMMABODA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46237</v>
      </c>
      <c r="F83" t="inlineStr">
        <is>
          <t>KALMAR LÄN</t>
        </is>
      </c>
      <c r="G83" t="inlineStr">
        <is>
          <t>EMMABODA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46237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46237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46237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46237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46237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46237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46237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46237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46237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46237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46237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46237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46237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46237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46237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46237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46237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46237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46237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46237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46237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46237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46237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46237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46237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46237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46237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46237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46237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46237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46237</v>
      </c>
      <c r="F114" t="inlineStr">
        <is>
          <t>KALMAR LÄN</t>
        </is>
      </c>
      <c r="G114" t="inlineStr">
        <is>
          <t>EMMABODA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46237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46237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46237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46237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46237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46237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46237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46237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46237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46237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46237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46237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46237</v>
      </c>
      <c r="F127" t="inlineStr">
        <is>
          <t>KALMAR LÄN</t>
        </is>
      </c>
      <c r="G127" t="inlineStr">
        <is>
          <t>EMMABODA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46237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46237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46237</v>
      </c>
      <c r="F130" t="inlineStr">
        <is>
          <t>KALMAR LÄN</t>
        </is>
      </c>
      <c r="G130" t="inlineStr">
        <is>
          <t>EMMABODA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44431</v>
      </c>
      <c r="E131" s="1" t="n">
        <v>46237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46237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46237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44424</v>
      </c>
      <c r="E134" s="1" t="n">
        <v>46237</v>
      </c>
      <c r="F134" t="inlineStr">
        <is>
          <t>KALMAR LÄN</t>
        </is>
      </c>
      <c r="G134" t="inlineStr">
        <is>
          <t>EMMABODA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46237</v>
      </c>
      <c r="F135" t="inlineStr">
        <is>
          <t>KALMAR LÄN</t>
        </is>
      </c>
      <c r="G135" t="inlineStr">
        <is>
          <t>EMMABODA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46237</v>
      </c>
      <c r="F136" t="inlineStr">
        <is>
          <t>KALMAR LÄN</t>
        </is>
      </c>
      <c r="G136" t="inlineStr">
        <is>
          <t>EMMABODA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44725</v>
      </c>
      <c r="E137" s="1" t="n">
        <v>46237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46237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46237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46237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68947-2021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46237</v>
      </c>
      <c r="F141" t="inlineStr">
        <is>
          <t>KALMAR LÄN</t>
        </is>
      </c>
      <c r="G141" t="inlineStr">
        <is>
          <t>EMMABODA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46237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44847</v>
      </c>
      <c r="E143" s="1" t="n">
        <v>46237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46237</v>
      </c>
      <c r="F144" t="inlineStr">
        <is>
          <t>KALMAR LÄN</t>
        </is>
      </c>
      <c r="G144" t="inlineStr">
        <is>
          <t>EMMABODA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46237</v>
      </c>
      <c r="F145" t="inlineStr">
        <is>
          <t>KALMAR LÄN</t>
        </is>
      </c>
      <c r="G145" t="inlineStr">
        <is>
          <t>EMMABODA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46237</v>
      </c>
      <c r="F146" t="inlineStr">
        <is>
          <t>KALMAR LÄN</t>
        </is>
      </c>
      <c r="G146" t="inlineStr">
        <is>
          <t>EMMABODA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47219-2021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44447</v>
      </c>
      <c r="E147" s="1" t="n">
        <v>46237</v>
      </c>
      <c r="F147" t="inlineStr">
        <is>
          <t>KALMAR LÄN</t>
        </is>
      </c>
      <c r="G147" t="inlineStr">
        <is>
          <t>EMMABODA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46237</v>
      </c>
      <c r="F148" t="inlineStr">
        <is>
          <t>KALMAR LÄN</t>
        </is>
      </c>
      <c r="G148" t="inlineStr">
        <is>
          <t>EMMABODA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44452</v>
      </c>
      <c r="E149" s="1" t="n">
        <v>46237</v>
      </c>
      <c r="F149" t="inlineStr">
        <is>
          <t>KALMAR LÄN</t>
        </is>
      </c>
      <c r="G149" t="inlineStr">
        <is>
          <t>EMMABODA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46237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44589</v>
      </c>
      <c r="E151" s="1" t="n">
        <v>46237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46237</v>
      </c>
      <c r="F152" t="inlineStr">
        <is>
          <t>KALMAR LÄN</t>
        </is>
      </c>
      <c r="G152" t="inlineStr">
        <is>
          <t>EMMABODA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45514</v>
      </c>
      <c r="E153" s="1" t="n">
        <v>46237</v>
      </c>
      <c r="F153" t="inlineStr">
        <is>
          <t>KALMAR LÄN</t>
        </is>
      </c>
      <c r="G153" t="inlineStr">
        <is>
          <t>EMMABODA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44589</v>
      </c>
      <c r="E154" s="1" t="n">
        <v>46237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46237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73552-2021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46237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46237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46237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44507</v>
      </c>
      <c r="E159" s="1" t="n">
        <v>46237</v>
      </c>
      <c r="F159" t="inlineStr">
        <is>
          <t>KALMAR LÄN</t>
        </is>
      </c>
      <c r="G159" t="inlineStr">
        <is>
          <t>EMMABODA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66662-2021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46237</v>
      </c>
      <c r="F160" t="inlineStr">
        <is>
          <t>KALMAR LÄN</t>
        </is>
      </c>
      <c r="G160" t="inlineStr">
        <is>
          <t>EMMABODA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68952-2021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46237</v>
      </c>
      <c r="F161" t="inlineStr">
        <is>
          <t>KALMAR LÄN</t>
        </is>
      </c>
      <c r="G161" t="inlineStr">
        <is>
          <t>EMMABODA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46237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68940-2021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44530</v>
      </c>
      <c r="E163" s="1" t="n">
        <v>46237</v>
      </c>
      <c r="F163" t="inlineStr">
        <is>
          <t>KALMAR LÄN</t>
        </is>
      </c>
      <c r="G163" t="inlineStr">
        <is>
          <t>EMMABODA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46237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46237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51135-2023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46237</v>
      </c>
      <c r="F166" t="inlineStr">
        <is>
          <t>KALMAR LÄN</t>
        </is>
      </c>
      <c r="G166" t="inlineStr">
        <is>
          <t>EMMABODA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46237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45335</v>
      </c>
      <c r="E168" s="1" t="n">
        <v>46237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46237</v>
      </c>
      <c r="F169" t="inlineStr">
        <is>
          <t>KALMAR LÄN</t>
        </is>
      </c>
      <c r="G169" t="inlineStr">
        <is>
          <t>EMMABODA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46237</v>
      </c>
      <c r="F170" t="inlineStr">
        <is>
          <t>KALMAR LÄN</t>
        </is>
      </c>
      <c r="G170" t="inlineStr">
        <is>
          <t>EMMABODA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46237</v>
      </c>
      <c r="F171" t="inlineStr">
        <is>
          <t>KALMAR LÄN</t>
        </is>
      </c>
      <c r="G171" t="inlineStr">
        <is>
          <t>EMMABODA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46237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46237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73058-2021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46237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46237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46237</v>
      </c>
      <c r="F176" t="inlineStr">
        <is>
          <t>KALMAR LÄN</t>
        </is>
      </c>
      <c r="G176" t="inlineStr">
        <is>
          <t>EMMABODA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45606</v>
      </c>
      <c r="E177" s="1" t="n">
        <v>46237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46237</v>
      </c>
      <c r="F178" t="inlineStr">
        <is>
          <t>KALMAR LÄN</t>
        </is>
      </c>
      <c r="G178" t="inlineStr">
        <is>
          <t>EMMABODA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46237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46237</v>
      </c>
      <c r="F180" t="inlineStr">
        <is>
          <t>KALMAR LÄN</t>
        </is>
      </c>
      <c r="G180" t="inlineStr">
        <is>
          <t>EMMABODA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46237</v>
      </c>
      <c r="F181" t="inlineStr">
        <is>
          <t>KALMAR LÄN</t>
        </is>
      </c>
      <c r="G181" t="inlineStr">
        <is>
          <t>EMMABODA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46237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46237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46237</v>
      </c>
      <c r="F184" t="inlineStr">
        <is>
          <t>KALMAR LÄN</t>
        </is>
      </c>
      <c r="G184" t="inlineStr">
        <is>
          <t>EMMABODA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45397</v>
      </c>
      <c r="E185" s="1" t="n">
        <v>46237</v>
      </c>
      <c r="F185" t="inlineStr">
        <is>
          <t>KALMAR LÄN</t>
        </is>
      </c>
      <c r="G185" t="inlineStr">
        <is>
          <t>EMMABODA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46237</v>
      </c>
      <c r="F186" t="inlineStr">
        <is>
          <t>KALMAR LÄN</t>
        </is>
      </c>
      <c r="G186" t="inlineStr">
        <is>
          <t>EMMABODA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46237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46237</v>
      </c>
      <c r="F188" t="inlineStr">
        <is>
          <t>KALMAR LÄN</t>
        </is>
      </c>
      <c r="G188" t="inlineStr">
        <is>
          <t>EMMABODA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46237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46237</v>
      </c>
      <c r="F190" t="inlineStr">
        <is>
          <t>KALMAR LÄN</t>
        </is>
      </c>
      <c r="G190" t="inlineStr">
        <is>
          <t>EMMABODA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46237</v>
      </c>
      <c r="F191" t="inlineStr">
        <is>
          <t>KALMAR LÄN</t>
        </is>
      </c>
      <c r="G191" t="inlineStr">
        <is>
          <t>EMMABODA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46237</v>
      </c>
      <c r="F192" t="inlineStr">
        <is>
          <t>KALMAR LÄN</t>
        </is>
      </c>
      <c r="G192" t="inlineStr">
        <is>
          <t>EMMABODA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46237</v>
      </c>
      <c r="F193" t="inlineStr">
        <is>
          <t>KALMAR LÄN</t>
        </is>
      </c>
      <c r="G193" t="inlineStr">
        <is>
          <t>EMMABODA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46237</v>
      </c>
      <c r="F194" t="inlineStr">
        <is>
          <t>KALMAR LÄN</t>
        </is>
      </c>
      <c r="G194" t="inlineStr">
        <is>
          <t>EMMABODA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46237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46237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46237</v>
      </c>
      <c r="F197" t="inlineStr">
        <is>
          <t>KALMAR LÄN</t>
        </is>
      </c>
      <c r="G197" t="inlineStr">
        <is>
          <t>EMMABODA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46237</v>
      </c>
      <c r="F198" t="inlineStr">
        <is>
          <t>KALMAR LÄN</t>
        </is>
      </c>
      <c r="G198" t="inlineStr">
        <is>
          <t>EMMABODA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46237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46237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46237</v>
      </c>
      <c r="F201" t="inlineStr">
        <is>
          <t>KALMAR LÄN</t>
        </is>
      </c>
      <c r="G201" t="inlineStr">
        <is>
          <t>EMMABODA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46237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46237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46237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46237</v>
      </c>
      <c r="F205" t="inlineStr">
        <is>
          <t>KALMAR LÄN</t>
        </is>
      </c>
      <c r="G205" t="inlineStr">
        <is>
          <t>EMMABODA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46237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46237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44995</v>
      </c>
      <c r="E208" s="1" t="n">
        <v>46237</v>
      </c>
      <c r="F208" t="inlineStr">
        <is>
          <t>KALMAR LÄN</t>
        </is>
      </c>
      <c r="G208" t="inlineStr">
        <is>
          <t>EMMABODA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46237</v>
      </c>
      <c r="F209" t="inlineStr">
        <is>
          <t>KALMAR LÄN</t>
        </is>
      </c>
      <c r="G209" t="inlineStr">
        <is>
          <t>EMMABODA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46237</v>
      </c>
      <c r="F210" t="inlineStr">
        <is>
          <t>KALMAR LÄN</t>
        </is>
      </c>
      <c r="G210" t="inlineStr">
        <is>
          <t>EMMABODA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44728</v>
      </c>
      <c r="E211" s="1" t="n">
        <v>46237</v>
      </c>
      <c r="F211" t="inlineStr">
        <is>
          <t>KALMAR LÄN</t>
        </is>
      </c>
      <c r="G211" t="inlineStr">
        <is>
          <t>EMMABODA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46237</v>
      </c>
      <c r="F212" t="inlineStr">
        <is>
          <t>KALMAR LÄN</t>
        </is>
      </c>
      <c r="G212" t="inlineStr">
        <is>
          <t>EMMABODA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45036</v>
      </c>
      <c r="E213" s="1" t="n">
        <v>46237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44834</v>
      </c>
      <c r="E214" s="1" t="n">
        <v>46237</v>
      </c>
      <c r="F214" t="inlineStr">
        <is>
          <t>KALMAR LÄN</t>
        </is>
      </c>
      <c r="G214" t="inlineStr">
        <is>
          <t>EMMABODA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46237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46237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46237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46237</v>
      </c>
      <c r="F218" t="inlineStr">
        <is>
          <t>KALMAR LÄN</t>
        </is>
      </c>
      <c r="G218" t="inlineStr">
        <is>
          <t>EMMABODA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45126</v>
      </c>
      <c r="E219" s="1" t="n">
        <v>46237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46237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46237</v>
      </c>
      <c r="F221" t="inlineStr">
        <is>
          <t>KALMAR LÄN</t>
        </is>
      </c>
      <c r="G221" t="inlineStr">
        <is>
          <t>EMMABODA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45007</v>
      </c>
      <c r="E222" s="1" t="n">
        <v>46237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46237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44580</v>
      </c>
      <c r="E224" s="1" t="n">
        <v>46237</v>
      </c>
      <c r="F224" t="inlineStr">
        <is>
          <t>KALMAR LÄN</t>
        </is>
      </c>
      <c r="G224" t="inlineStr">
        <is>
          <t>EMMABODA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46237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50500-2022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44861</v>
      </c>
      <c r="E226" s="1" t="n">
        <v>46237</v>
      </c>
      <c r="F226" t="inlineStr">
        <is>
          <t>KALMAR LÄN</t>
        </is>
      </c>
      <c r="G226" t="inlineStr">
        <is>
          <t>EMMABODA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46237</v>
      </c>
      <c r="F227" t="inlineStr">
        <is>
          <t>KALMAR LÄN</t>
        </is>
      </c>
      <c r="G227" t="inlineStr">
        <is>
          <t>EMMABODA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46237</v>
      </c>
      <c r="F228" t="inlineStr">
        <is>
          <t>KALMAR LÄN</t>
        </is>
      </c>
      <c r="G228" t="inlineStr">
        <is>
          <t>EMMABODA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46237</v>
      </c>
      <c r="F229" t="inlineStr">
        <is>
          <t>KALMAR LÄN</t>
        </is>
      </c>
      <c r="G229" t="inlineStr">
        <is>
          <t>EMMABODA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44955</v>
      </c>
      <c r="E230" s="1" t="n">
        <v>46237</v>
      </c>
      <c r="F230" t="inlineStr">
        <is>
          <t>KALMAR LÄN</t>
        </is>
      </c>
      <c r="G230" t="inlineStr">
        <is>
          <t>EMMABODA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46237</v>
      </c>
      <c r="F231" t="inlineStr">
        <is>
          <t>KALMAR LÄN</t>
        </is>
      </c>
      <c r="G231" t="inlineStr">
        <is>
          <t>EMMABODA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46237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46237</v>
      </c>
      <c r="F233" t="inlineStr">
        <is>
          <t>KALMAR LÄN</t>
        </is>
      </c>
      <c r="G233" t="inlineStr">
        <is>
          <t>EMMABODA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46237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46237</v>
      </c>
      <c r="F235" t="inlineStr">
        <is>
          <t>KALMAR LÄN</t>
        </is>
      </c>
      <c r="G235" t="inlineStr">
        <is>
          <t>EMMABODA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46237</v>
      </c>
      <c r="F236" t="inlineStr">
        <is>
          <t>KALMAR LÄN</t>
        </is>
      </c>
      <c r="G236" t="inlineStr">
        <is>
          <t>EMMABODA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46237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46237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45051</v>
      </c>
      <c r="E239" s="1" t="n">
        <v>46237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46237</v>
      </c>
      <c r="F240" t="inlineStr">
        <is>
          <t>KALMAR LÄN</t>
        </is>
      </c>
      <c r="G240" t="inlineStr">
        <is>
          <t>EMMABODA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46237</v>
      </c>
      <c r="F241" t="inlineStr">
        <is>
          <t>KALMAR LÄN</t>
        </is>
      </c>
      <c r="G241" t="inlineStr">
        <is>
          <t>EMMABODA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46237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46237</v>
      </c>
      <c r="F243" t="inlineStr">
        <is>
          <t>KALMAR LÄN</t>
        </is>
      </c>
      <c r="G243" t="inlineStr">
        <is>
          <t>EMMABODA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46237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46237</v>
      </c>
      <c r="F245" t="inlineStr">
        <is>
          <t>KALMAR LÄN</t>
        </is>
      </c>
      <c r="G245" t="inlineStr">
        <is>
          <t>EMMABODA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44995</v>
      </c>
      <c r="E246" s="1" t="n">
        <v>46237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46237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46237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44594</v>
      </c>
      <c r="E249" s="1" t="n">
        <v>46237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46237</v>
      </c>
      <c r="F250" t="inlineStr">
        <is>
          <t>KALMAR LÄN</t>
        </is>
      </c>
      <c r="G250" t="inlineStr">
        <is>
          <t>EMMABODA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46237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44524</v>
      </c>
      <c r="E252" s="1" t="n">
        <v>46237</v>
      </c>
      <c r="F252" t="inlineStr">
        <is>
          <t>KALMAR LÄN</t>
        </is>
      </c>
      <c r="G252" t="inlineStr">
        <is>
          <t>EMMABODA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45976</v>
      </c>
      <c r="E253" s="1" t="n">
        <v>46237</v>
      </c>
      <c r="F253" t="inlineStr">
        <is>
          <t>KALMAR LÄN</t>
        </is>
      </c>
      <c r="G253" t="inlineStr">
        <is>
          <t>EMMABODA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46237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44808</v>
      </c>
      <c r="E255" s="1" t="n">
        <v>46237</v>
      </c>
      <c r="F255" t="inlineStr">
        <is>
          <t>KALMAR LÄN</t>
        </is>
      </c>
      <c r="G255" t="inlineStr">
        <is>
          <t>EMMABODA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46237</v>
      </c>
      <c r="F256" t="inlineStr">
        <is>
          <t>KALMAR LÄN</t>
        </is>
      </c>
      <c r="G256" t="inlineStr">
        <is>
          <t>EMMABODA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46237</v>
      </c>
      <c r="F257" t="inlineStr">
        <is>
          <t>KALMAR LÄN</t>
        </is>
      </c>
      <c r="G257" t="inlineStr">
        <is>
          <t>EMMABODA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46237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46237</v>
      </c>
      <c r="F259" t="inlineStr">
        <is>
          <t>KALMAR LÄN</t>
        </is>
      </c>
      <c r="G259" t="inlineStr">
        <is>
          <t>EMMABODA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46237</v>
      </c>
      <c r="F260" t="inlineStr">
        <is>
          <t>KALMAR LÄN</t>
        </is>
      </c>
      <c r="G260" t="inlineStr">
        <is>
          <t>EMMABODA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46237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46237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46237</v>
      </c>
      <c r="F263" t="inlineStr">
        <is>
          <t>KALMAR LÄN</t>
        </is>
      </c>
      <c r="G263" t="inlineStr">
        <is>
          <t>EMMABODA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46237</v>
      </c>
      <c r="F264" t="inlineStr">
        <is>
          <t>KALMAR LÄN</t>
        </is>
      </c>
      <c r="G264" t="inlineStr">
        <is>
          <t>EMMABODA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46237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46237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46237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46237</v>
      </c>
      <c r="F268" t="inlineStr">
        <is>
          <t>KALMAR LÄN</t>
        </is>
      </c>
      <c r="G268" t="inlineStr">
        <is>
          <t>EMMABODA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46237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46237</v>
      </c>
      <c r="F270" t="inlineStr">
        <is>
          <t>KALMAR LÄN</t>
        </is>
      </c>
      <c r="G270" t="inlineStr">
        <is>
          <t>EMMABODA</t>
        </is>
      </c>
      <c r="H270" t="inlineStr">
        <is>
          <t>Övriga Aktiebolag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46237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46237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45191</v>
      </c>
      <c r="E273" s="1" t="n">
        <v>46237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45921</v>
      </c>
      <c r="E274" s="1" t="n">
        <v>46237</v>
      </c>
      <c r="F274" t="inlineStr">
        <is>
          <t>KALMAR LÄN</t>
        </is>
      </c>
      <c r="G274" t="inlineStr">
        <is>
          <t>EMMABODA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45095</v>
      </c>
      <c r="E275" s="1" t="n">
        <v>46237</v>
      </c>
      <c r="F275" t="inlineStr">
        <is>
          <t>KALMAR LÄN</t>
        </is>
      </c>
      <c r="G275" t="inlineStr">
        <is>
          <t>EMMABODA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44944</v>
      </c>
      <c r="E276" s="1" t="n">
        <v>46237</v>
      </c>
      <c r="F276" t="inlineStr">
        <is>
          <t>KALMAR LÄN</t>
        </is>
      </c>
      <c r="G276" t="inlineStr">
        <is>
          <t>EMMABODA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31860-2022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44777</v>
      </c>
      <c r="E277" s="1" t="n">
        <v>46237</v>
      </c>
      <c r="F277" t="inlineStr">
        <is>
          <t>KALMAR LÄN</t>
        </is>
      </c>
      <c r="G277" t="inlineStr">
        <is>
          <t>EMMABODA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46237</v>
      </c>
      <c r="F278" t="inlineStr">
        <is>
          <t>KALMAR LÄN</t>
        </is>
      </c>
      <c r="G278" t="inlineStr">
        <is>
          <t>EMMABODA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46237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46237</v>
      </c>
      <c r="F280" t="inlineStr">
        <is>
          <t>KALMAR LÄN</t>
        </is>
      </c>
      <c r="G280" t="inlineStr">
        <is>
          <t>EMMABODA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45362</v>
      </c>
      <c r="E281" s="1" t="n">
        <v>46237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43135-2025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46237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46237</v>
      </c>
      <c r="F283" t="inlineStr">
        <is>
          <t>KALMAR LÄN</t>
        </is>
      </c>
      <c r="G283" t="inlineStr">
        <is>
          <t>EMMABODA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46237</v>
      </c>
      <c r="F284" t="inlineStr">
        <is>
          <t>KALMAR LÄN</t>
        </is>
      </c>
      <c r="G284" t="inlineStr">
        <is>
          <t>EMMABODA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46237</v>
      </c>
      <c r="F285" t="inlineStr">
        <is>
          <t>KALMAR LÄN</t>
        </is>
      </c>
      <c r="G285" t="inlineStr">
        <is>
          <t>EMMABODA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46237</v>
      </c>
      <c r="F286" t="inlineStr">
        <is>
          <t>KALMAR LÄN</t>
        </is>
      </c>
      <c r="G286" t="inlineStr">
        <is>
          <t>EMMABODA</t>
        </is>
      </c>
      <c r="H286" t="inlineStr">
        <is>
          <t>Kommuner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45422</v>
      </c>
      <c r="E287" s="1" t="n">
        <v>46237</v>
      </c>
      <c r="F287" t="inlineStr">
        <is>
          <t>KALMAR LÄN</t>
        </is>
      </c>
      <c r="G287" t="inlineStr">
        <is>
          <t>EMMABODA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46237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45514</v>
      </c>
      <c r="E289" s="1" t="n">
        <v>46237</v>
      </c>
      <c r="F289" t="inlineStr">
        <is>
          <t>KALMAR LÄN</t>
        </is>
      </c>
      <c r="G289" t="inlineStr">
        <is>
          <t>EMMABODA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45514</v>
      </c>
      <c r="E290" s="1" t="n">
        <v>46237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46237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45355</v>
      </c>
      <c r="E292" s="1" t="n">
        <v>46237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46237</v>
      </c>
      <c r="F293" t="inlineStr">
        <is>
          <t>KALMAR LÄN</t>
        </is>
      </c>
      <c r="G293" t="inlineStr">
        <is>
          <t>EMMABODA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44700</v>
      </c>
      <c r="E294" s="1" t="n">
        <v>46237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46237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46237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46237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46237</v>
      </c>
      <c r="F298" t="inlineStr">
        <is>
          <t>KALMAR LÄN</t>
        </is>
      </c>
      <c r="G298" t="inlineStr">
        <is>
          <t>EMMABODA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46237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46237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46237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46237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46237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46237</v>
      </c>
      <c r="F304" t="inlineStr">
        <is>
          <t>KALMAR LÄN</t>
        </is>
      </c>
      <c r="G304" t="inlineStr">
        <is>
          <t>EMMABODA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45107</v>
      </c>
      <c r="E305" s="1" t="n">
        <v>46237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45976</v>
      </c>
      <c r="E306" s="1" t="n">
        <v>46237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46237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46237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46237</v>
      </c>
      <c r="F309" t="inlineStr">
        <is>
          <t>KALMAR LÄN</t>
        </is>
      </c>
      <c r="G309" t="inlineStr">
        <is>
          <t>EMMABODA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45092</v>
      </c>
      <c r="E310" s="1" t="n">
        <v>46237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46237</v>
      </c>
      <c r="F311" t="inlineStr">
        <is>
          <t>KALMAR LÄN</t>
        </is>
      </c>
      <c r="G311" t="inlineStr">
        <is>
          <t>EMMABODA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46237</v>
      </c>
      <c r="F312" t="inlineStr">
        <is>
          <t>KALMAR LÄN</t>
        </is>
      </c>
      <c r="G312" t="inlineStr">
        <is>
          <t>EMMABODA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46237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46237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46237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46237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46237</v>
      </c>
      <c r="F317" t="inlineStr">
        <is>
          <t>KALMAR LÄN</t>
        </is>
      </c>
      <c r="G317" t="inlineStr">
        <is>
          <t>EMMABODA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45515</v>
      </c>
      <c r="E318" s="1" t="n">
        <v>46237</v>
      </c>
      <c r="F318" t="inlineStr">
        <is>
          <t>KALMAR LÄN</t>
        </is>
      </c>
      <c r="G318" t="inlineStr">
        <is>
          <t>EMMABODA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46237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50467-2021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44455</v>
      </c>
      <c r="E320" s="1" t="n">
        <v>46237</v>
      </c>
      <c r="F320" t="inlineStr">
        <is>
          <t>KALMAR LÄN</t>
        </is>
      </c>
      <c r="G320" t="inlineStr">
        <is>
          <t>EMMABODA</t>
        </is>
      </c>
      <c r="H320" t="inlineStr">
        <is>
          <t>Övriga Aktiebolag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46237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46237</v>
      </c>
      <c r="F322" t="inlineStr">
        <is>
          <t>KALMAR LÄN</t>
        </is>
      </c>
      <c r="G322" t="inlineStr">
        <is>
          <t>EMMABODA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46237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45349</v>
      </c>
      <c r="E324" s="1" t="n">
        <v>46237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45349</v>
      </c>
      <c r="E325" s="1" t="n">
        <v>46237</v>
      </c>
      <c r="F325" t="inlineStr">
        <is>
          <t>KALMAR LÄN</t>
        </is>
      </c>
      <c r="G325" t="inlineStr">
        <is>
          <t>EMMABODA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54482-2021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46237</v>
      </c>
      <c r="F326" t="inlineStr">
        <is>
          <t>KALMAR LÄN</t>
        </is>
      </c>
      <c r="G326" t="inlineStr">
        <is>
          <t>EMMABODA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45641</v>
      </c>
      <c r="E327" s="1" t="n">
        <v>46237</v>
      </c>
      <c r="F327" t="inlineStr">
        <is>
          <t>KALMAR LÄN</t>
        </is>
      </c>
      <c r="G327" t="inlineStr">
        <is>
          <t>EMMABODA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46237</v>
      </c>
      <c r="F328" t="inlineStr">
        <is>
          <t>KALMAR LÄN</t>
        </is>
      </c>
      <c r="G328" t="inlineStr">
        <is>
          <t>EMMABODA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46237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34032-2022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44791</v>
      </c>
      <c r="E330" s="1" t="n">
        <v>46237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46237</v>
      </c>
      <c r="F331" t="inlineStr">
        <is>
          <t>KALMAR LÄN</t>
        </is>
      </c>
      <c r="G331" t="inlineStr">
        <is>
          <t>EMMABODA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46237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46237</v>
      </c>
      <c r="F333" t="inlineStr">
        <is>
          <t>KALMAR LÄN</t>
        </is>
      </c>
      <c r="G333" t="inlineStr">
        <is>
          <t>EMMABODA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46237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46237</v>
      </c>
      <c r="F335" t="inlineStr">
        <is>
          <t>KALMAR LÄN</t>
        </is>
      </c>
      <c r="G335" t="inlineStr">
        <is>
          <t>EMMABODA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46237</v>
      </c>
      <c r="F336" t="inlineStr">
        <is>
          <t>KALMAR LÄN</t>
        </is>
      </c>
      <c r="G336" t="inlineStr">
        <is>
          <t>EMMABODA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45789</v>
      </c>
      <c r="E337" s="1" t="n">
        <v>46237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46237</v>
      </c>
      <c r="F338" t="inlineStr">
        <is>
          <t>KALMAR LÄN</t>
        </is>
      </c>
      <c r="G338" t="inlineStr">
        <is>
          <t>EMMABODA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45102</v>
      </c>
      <c r="E339" s="1" t="n">
        <v>46237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61791-2022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44911</v>
      </c>
      <c r="E340" s="1" t="n">
        <v>46237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45102</v>
      </c>
      <c r="E341" s="1" t="n">
        <v>46237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44729</v>
      </c>
      <c r="E342" s="1" t="n">
        <v>46237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45394</v>
      </c>
      <c r="E343" s="1" t="n">
        <v>46237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46237</v>
      </c>
      <c r="F344" t="inlineStr">
        <is>
          <t>KALMAR LÄN</t>
        </is>
      </c>
      <c r="G344" t="inlineStr">
        <is>
          <t>EMMABODA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46237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32242-2022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44781</v>
      </c>
      <c r="E346" s="1" t="n">
        <v>46237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46237</v>
      </c>
      <c r="F347" t="inlineStr">
        <is>
          <t>KALMAR LÄN</t>
        </is>
      </c>
      <c r="G347" t="inlineStr">
        <is>
          <t>EMMABODA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46237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46237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46237</v>
      </c>
      <c r="F350" t="inlineStr">
        <is>
          <t>KALMAR LÄN</t>
        </is>
      </c>
      <c r="G350" t="inlineStr">
        <is>
          <t>EMMABODA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46237</v>
      </c>
      <c r="F351" t="inlineStr">
        <is>
          <t>KALMAR LÄN</t>
        </is>
      </c>
      <c r="G351" t="inlineStr">
        <is>
          <t>EMMABODA</t>
        </is>
      </c>
      <c r="H351" t="inlineStr">
        <is>
          <t>Sveaskog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46237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44761</v>
      </c>
      <c r="E353" s="1" t="n">
        <v>46237</v>
      </c>
      <c r="F353" t="inlineStr">
        <is>
          <t>KALMAR LÄN</t>
        </is>
      </c>
      <c r="G353" t="inlineStr">
        <is>
          <t>EMMABODA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46237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59764-2022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46237</v>
      </c>
      <c r="F355" t="inlineStr">
        <is>
          <t>KALMAR LÄN</t>
        </is>
      </c>
      <c r="G355" t="inlineStr">
        <is>
          <t>EMMABODA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46237</v>
      </c>
      <c r="F356" t="inlineStr">
        <is>
          <t>KALMAR LÄN</t>
        </is>
      </c>
      <c r="G356" t="inlineStr">
        <is>
          <t>EMMABODA</t>
        </is>
      </c>
      <c r="H356" t="inlineStr">
        <is>
          <t>Kyrkan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46237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44683</v>
      </c>
      <c r="E358" s="1" t="n">
        <v>46237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46237</v>
      </c>
      <c r="F359" t="inlineStr">
        <is>
          <t>KALMAR LÄN</t>
        </is>
      </c>
      <c r="G359" t="inlineStr">
        <is>
          <t>EMMABODA</t>
        </is>
      </c>
      <c r="H359" t="inlineStr">
        <is>
          <t>Sveaskog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46237</v>
      </c>
      <c r="F360" t="inlineStr">
        <is>
          <t>KALMAR LÄN</t>
        </is>
      </c>
      <c r="G360" t="inlineStr">
        <is>
          <t>EMMABODA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46237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46237</v>
      </c>
      <c r="F362" t="inlineStr">
        <is>
          <t>KALMAR LÄN</t>
        </is>
      </c>
      <c r="G362" t="inlineStr">
        <is>
          <t>EMMABODA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54983-2025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45967</v>
      </c>
      <c r="E363" s="1" t="n">
        <v>46237</v>
      </c>
      <c r="F363" t="inlineStr">
        <is>
          <t>KALMAR LÄN</t>
        </is>
      </c>
      <c r="G363" t="inlineStr">
        <is>
          <t>EMMABODA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45445</v>
      </c>
      <c r="E364" s="1" t="n">
        <v>46237</v>
      </c>
      <c r="F364" t="inlineStr">
        <is>
          <t>KALMAR LÄN</t>
        </is>
      </c>
      <c r="G364" t="inlineStr">
        <is>
          <t>EMMABODA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54982-2025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45967</v>
      </c>
      <c r="E365" s="1" t="n">
        <v>46237</v>
      </c>
      <c r="F365" t="inlineStr">
        <is>
          <t>KALMAR LÄN</t>
        </is>
      </c>
      <c r="G365" t="inlineStr">
        <is>
          <t>EMMABODA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46237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46237</v>
      </c>
      <c r="F367" t="inlineStr">
        <is>
          <t>KALMAR LÄN</t>
        </is>
      </c>
      <c r="G367" t="inlineStr">
        <is>
          <t>EMMABODA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46237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46237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45067</v>
      </c>
      <c r="E370" s="1" t="n">
        <v>46237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46237</v>
      </c>
      <c r="F371" t="inlineStr">
        <is>
          <t>KALMAR LÄN</t>
        </is>
      </c>
      <c r="G371" t="inlineStr">
        <is>
          <t>EMMABODA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16236-2023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45028</v>
      </c>
      <c r="E372" s="1" t="n">
        <v>46237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46237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46237</v>
      </c>
      <c r="F374" t="inlineStr">
        <is>
          <t>KALMAR LÄN</t>
        </is>
      </c>
      <c r="G374" t="inlineStr">
        <is>
          <t>EMMABODA</t>
        </is>
      </c>
      <c r="H374" t="inlineStr">
        <is>
          <t>Kyrkan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46237</v>
      </c>
      <c r="F375" t="inlineStr">
        <is>
          <t>KALMAR LÄN</t>
        </is>
      </c>
      <c r="G375" t="inlineStr">
        <is>
          <t>EMMABODA</t>
        </is>
      </c>
      <c r="H375" t="inlineStr">
        <is>
          <t>Kyrkan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46237</v>
      </c>
      <c r="F376" t="inlineStr">
        <is>
          <t>KALMAR LÄN</t>
        </is>
      </c>
      <c r="G376" t="inlineStr">
        <is>
          <t>EMMABODA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46237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45772</v>
      </c>
      <c r="E378" s="1" t="n">
        <v>46237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46862-2023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45200</v>
      </c>
      <c r="E379" s="1" t="n">
        <v>46237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46237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66333-2021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46237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46237</v>
      </c>
      <c r="F382" t="inlineStr">
        <is>
          <t>KALMAR LÄN</t>
        </is>
      </c>
      <c r="G382" t="inlineStr">
        <is>
          <t>EMMABODA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44433</v>
      </c>
      <c r="E383" s="1" t="n">
        <v>46237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46237</v>
      </c>
      <c r="F384" t="inlineStr">
        <is>
          <t>KALMAR LÄN</t>
        </is>
      </c>
      <c r="G384" t="inlineStr">
        <is>
          <t>EMMABODA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46237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46237</v>
      </c>
      <c r="F386" t="inlineStr">
        <is>
          <t>KALMAR LÄN</t>
        </is>
      </c>
      <c r="G386" t="inlineStr">
        <is>
          <t>EMMABODA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46237</v>
      </c>
      <c r="F387" t="inlineStr">
        <is>
          <t>KALMAR LÄN</t>
        </is>
      </c>
      <c r="G387" t="inlineStr">
        <is>
          <t>EMMABODA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46237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46237</v>
      </c>
      <c r="F389" t="inlineStr">
        <is>
          <t>KALMAR LÄN</t>
        </is>
      </c>
      <c r="G389" t="inlineStr">
        <is>
          <t>EMMABODA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40013-2021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44418</v>
      </c>
      <c r="E390" s="1" t="n">
        <v>46237</v>
      </c>
      <c r="F390" t="inlineStr">
        <is>
          <t>KALMAR LÄN</t>
        </is>
      </c>
      <c r="G390" t="inlineStr">
        <is>
          <t>EMMABODA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46237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46237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18947-2022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44690</v>
      </c>
      <c r="E393" s="1" t="n">
        <v>46237</v>
      </c>
      <c r="F393" t="inlineStr">
        <is>
          <t>KALMAR LÄN</t>
        </is>
      </c>
      <c r="G393" t="inlineStr">
        <is>
          <t>EMMABODA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46237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67538-2021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44524</v>
      </c>
      <c r="E395" s="1" t="n">
        <v>46237</v>
      </c>
      <c r="F395" t="inlineStr">
        <is>
          <t>KALMAR LÄN</t>
        </is>
      </c>
      <c r="G395" t="inlineStr">
        <is>
          <t>EMMABODA</t>
        </is>
      </c>
      <c r="I395" t="n">
        <v>11.6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45415</v>
      </c>
      <c r="E396" s="1" t="n">
        <v>46237</v>
      </c>
      <c r="F396" t="inlineStr">
        <is>
          <t>KALMAR LÄN</t>
        </is>
      </c>
      <c r="G396" t="inlineStr">
        <is>
          <t>EMMABODA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46237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46237</v>
      </c>
      <c r="F398" t="inlineStr">
        <is>
          <t>KALMAR LÄN</t>
        </is>
      </c>
      <c r="G398" t="inlineStr">
        <is>
          <t>EMMABODA</t>
        </is>
      </c>
      <c r="H398" t="inlineStr">
        <is>
          <t>Kommuner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46237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45111</v>
      </c>
      <c r="E400" s="1" t="n">
        <v>46237</v>
      </c>
      <c r="F400" t="inlineStr">
        <is>
          <t>KALMAR LÄN</t>
        </is>
      </c>
      <c r="G400" t="inlineStr">
        <is>
          <t>EMMABODA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46237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45049</v>
      </c>
      <c r="E402" s="1" t="n">
        <v>46237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46237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46237</v>
      </c>
      <c r="F404" t="inlineStr">
        <is>
          <t>KALMAR LÄN</t>
        </is>
      </c>
      <c r="G404" t="inlineStr">
        <is>
          <t>EMMABODA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46237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46237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45606</v>
      </c>
      <c r="E407" s="1" t="n">
        <v>46237</v>
      </c>
      <c r="F407" t="inlineStr">
        <is>
          <t>KALMAR LÄN</t>
        </is>
      </c>
      <c r="G407" t="inlineStr">
        <is>
          <t>EMMABODA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46237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45007</v>
      </c>
      <c r="E409" s="1" t="n">
        <v>46237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46237</v>
      </c>
      <c r="F410" t="inlineStr">
        <is>
          <t>KALMAR LÄN</t>
        </is>
      </c>
      <c r="G410" t="inlineStr">
        <is>
          <t>EMMABODA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46237</v>
      </c>
      <c r="F411" t="inlineStr">
        <is>
          <t>KALMAR LÄN</t>
        </is>
      </c>
      <c r="G411" t="inlineStr">
        <is>
          <t>EMMABODA</t>
        </is>
      </c>
      <c r="H411" t="inlineStr">
        <is>
          <t>Sveaskog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46237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46237</v>
      </c>
      <c r="F413" t="inlineStr">
        <is>
          <t>KALMAR LÄN</t>
        </is>
      </c>
      <c r="G413" t="inlineStr">
        <is>
          <t>EMMABODA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46237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38924-2022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44816</v>
      </c>
      <c r="E415" s="1" t="n">
        <v>46237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44608</v>
      </c>
      <c r="E416" s="1" t="n">
        <v>46237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46237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45740</v>
      </c>
      <c r="E418" s="1" t="n">
        <v>46237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30262-2022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44759</v>
      </c>
      <c r="E419" s="1" t="n">
        <v>46237</v>
      </c>
      <c r="F419" t="inlineStr">
        <is>
          <t>KALMAR LÄN</t>
        </is>
      </c>
      <c r="G419" t="inlineStr">
        <is>
          <t>EMMABODA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46237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46237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45164</v>
      </c>
      <c r="E422" s="1" t="n">
        <v>46237</v>
      </c>
      <c r="F422" t="inlineStr">
        <is>
          <t>KALMAR LÄN</t>
        </is>
      </c>
      <c r="G422" t="inlineStr">
        <is>
          <t>EMMABODA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46237</v>
      </c>
      <c r="F423" t="inlineStr">
        <is>
          <t>KALMAR LÄN</t>
        </is>
      </c>
      <c r="G423" t="inlineStr">
        <is>
          <t>EMMABODA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46237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46237</v>
      </c>
      <c r="F425" t="inlineStr">
        <is>
          <t>KALMAR LÄN</t>
        </is>
      </c>
      <c r="G425" t="inlineStr">
        <is>
          <t>EMMABODA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46237</v>
      </c>
      <c r="F426" t="inlineStr">
        <is>
          <t>KALMAR LÄN</t>
        </is>
      </c>
      <c r="G426" t="inlineStr">
        <is>
          <t>EMMABODA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46237</v>
      </c>
      <c r="F427" t="inlineStr">
        <is>
          <t>KALMAR LÄN</t>
        </is>
      </c>
      <c r="G427" t="inlineStr">
        <is>
          <t>EMMABODA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46237</v>
      </c>
      <c r="F428" t="inlineStr">
        <is>
          <t>KALMAR LÄN</t>
        </is>
      </c>
      <c r="G428" t="inlineStr">
        <is>
          <t>EMMABODA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46237</v>
      </c>
      <c r="F429" t="inlineStr">
        <is>
          <t>KALMAR LÄN</t>
        </is>
      </c>
      <c r="G429" t="inlineStr">
        <is>
          <t>EMMABODA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46237</v>
      </c>
      <c r="F430" t="inlineStr">
        <is>
          <t>KALMAR LÄN</t>
        </is>
      </c>
      <c r="G430" t="inlineStr">
        <is>
          <t>EMMABODA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46237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46237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46237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44959</v>
      </c>
      <c r="E434" s="1" t="n">
        <v>46237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46237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46237</v>
      </c>
      <c r="F436" t="inlineStr">
        <is>
          <t>KALMAR LÄN</t>
        </is>
      </c>
      <c r="G436" t="inlineStr">
        <is>
          <t>EMMABODA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44977</v>
      </c>
      <c r="E437" s="1" t="n">
        <v>46237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45327</v>
      </c>
      <c r="E438" s="1" t="n">
        <v>46237</v>
      </c>
      <c r="F438" t="inlineStr">
        <is>
          <t>KALMAR LÄN</t>
        </is>
      </c>
      <c r="G438" t="inlineStr">
        <is>
          <t>EMMABODA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46237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45335</v>
      </c>
      <c r="E440" s="1" t="n">
        <v>46237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46237</v>
      </c>
      <c r="F441" t="inlineStr">
        <is>
          <t>KALMAR LÄN</t>
        </is>
      </c>
      <c r="G441" t="inlineStr">
        <is>
          <t>EMMABODA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46237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19551-2026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46134</v>
      </c>
      <c r="E443" s="1" t="n">
        <v>46237</v>
      </c>
      <c r="F443" t="inlineStr">
        <is>
          <t>KALMAR LÄN</t>
        </is>
      </c>
      <c r="G443" t="inlineStr">
        <is>
          <t>EMMABODA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46237</v>
      </c>
      <c r="F444" t="inlineStr">
        <is>
          <t>KALMAR LÄN</t>
        </is>
      </c>
      <c r="G444" t="inlineStr">
        <is>
          <t>EMMABODA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44728</v>
      </c>
      <c r="E445" s="1" t="n">
        <v>46237</v>
      </c>
      <c r="F445" t="inlineStr">
        <is>
          <t>KALMAR LÄN</t>
        </is>
      </c>
      <c r="G445" t="inlineStr">
        <is>
          <t>EMMABODA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46237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46237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44852</v>
      </c>
      <c r="E448" s="1" t="n">
        <v>46237</v>
      </c>
      <c r="F448" t="inlineStr">
        <is>
          <t>KALMAR LÄN</t>
        </is>
      </c>
      <c r="G448" t="inlineStr">
        <is>
          <t>EMMABODA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46237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46237</v>
      </c>
      <c r="F450" t="inlineStr">
        <is>
          <t>KALMAR LÄN</t>
        </is>
      </c>
      <c r="G450" t="inlineStr">
        <is>
          <t>EMMABODA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44953</v>
      </c>
      <c r="E451" s="1" t="n">
        <v>46237</v>
      </c>
      <c r="F451" t="inlineStr">
        <is>
          <t>KALMAR LÄN</t>
        </is>
      </c>
      <c r="G451" t="inlineStr">
        <is>
          <t>EMMABODA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46237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44953</v>
      </c>
      <c r="E453" s="1" t="n">
        <v>46237</v>
      </c>
      <c r="F453" t="inlineStr">
        <is>
          <t>KALMAR LÄN</t>
        </is>
      </c>
      <c r="G453" t="inlineStr">
        <is>
          <t>EMMABODA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44572</v>
      </c>
      <c r="E454" s="1" t="n">
        <v>46237</v>
      </c>
      <c r="F454" t="inlineStr">
        <is>
          <t>KALMAR LÄN</t>
        </is>
      </c>
      <c r="G454" t="inlineStr">
        <is>
          <t>EMMABODA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46237</v>
      </c>
      <c r="F455" t="inlineStr">
        <is>
          <t>KALMAR LÄN</t>
        </is>
      </c>
      <c r="G455" t="inlineStr">
        <is>
          <t>EMMABODA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46237</v>
      </c>
      <c r="F456" t="inlineStr">
        <is>
          <t>KALMAR LÄN</t>
        </is>
      </c>
      <c r="G456" t="inlineStr">
        <is>
          <t>EMMABODA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46237</v>
      </c>
      <c r="F457" t="inlineStr">
        <is>
          <t>KALMAR LÄN</t>
        </is>
      </c>
      <c r="G457" t="inlineStr">
        <is>
          <t>EMMABODA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44593</v>
      </c>
      <c r="E458" s="1" t="n">
        <v>46237</v>
      </c>
      <c r="F458" t="inlineStr">
        <is>
          <t>KALMAR LÄN</t>
        </is>
      </c>
      <c r="G458" t="inlineStr">
        <is>
          <t>EMMABODA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46237</v>
      </c>
      <c r="F459" t="inlineStr">
        <is>
          <t>KALMAR LÄN</t>
        </is>
      </c>
      <c r="G459" t="inlineStr">
        <is>
          <t>EMMABODA</t>
        </is>
      </c>
      <c r="H459" t="inlineStr">
        <is>
          <t>Kommuner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46237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46237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45003</v>
      </c>
      <c r="E462" s="1" t="n">
        <v>46237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9662-2023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46237</v>
      </c>
      <c r="F463" t="inlineStr">
        <is>
          <t>KALMAR LÄN</t>
        </is>
      </c>
      <c r="G463" t="inlineStr">
        <is>
          <t>EMMABODA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15410-2023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46237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44980</v>
      </c>
      <c r="E465" s="1" t="n">
        <v>46237</v>
      </c>
      <c r="F465" t="inlineStr">
        <is>
          <t>KALMAR LÄN</t>
        </is>
      </c>
      <c r="G465" t="inlineStr">
        <is>
          <t>EMMABODA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46237</v>
      </c>
      <c r="F466" t="inlineStr">
        <is>
          <t>KALMAR LÄN</t>
        </is>
      </c>
      <c r="G466" t="inlineStr">
        <is>
          <t>EMMABODA</t>
        </is>
      </c>
      <c r="H466" t="inlineStr">
        <is>
          <t>Övriga Aktiebolag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44924-2022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46237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45595</v>
      </c>
      <c r="E468" s="1" t="n">
        <v>46237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46237</v>
      </c>
      <c r="F469" t="inlineStr">
        <is>
          <t>KALMAR LÄN</t>
        </is>
      </c>
      <c r="G469" t="inlineStr">
        <is>
          <t>EMMABODA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46237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33606-2023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45132</v>
      </c>
      <c r="E471" s="1" t="n">
        <v>46237</v>
      </c>
      <c r="F471" t="inlineStr">
        <is>
          <t>KALMAR LÄN</t>
        </is>
      </c>
      <c r="G471" t="inlineStr">
        <is>
          <t>EMMABODA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46237</v>
      </c>
      <c r="F472" t="inlineStr">
        <is>
          <t>KALMAR LÄN</t>
        </is>
      </c>
      <c r="G472" t="inlineStr">
        <is>
          <t>EMMABODA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44600</v>
      </c>
      <c r="E473" s="1" t="n">
        <v>46237</v>
      </c>
      <c r="F473" t="inlineStr">
        <is>
          <t>KALMAR LÄN</t>
        </is>
      </c>
      <c r="G473" t="inlineStr">
        <is>
          <t>EMMABODA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45037</v>
      </c>
      <c r="E474" s="1" t="n">
        <v>46237</v>
      </c>
      <c r="F474" t="inlineStr">
        <is>
          <t>KALMAR LÄN</t>
        </is>
      </c>
      <c r="G474" t="inlineStr">
        <is>
          <t>EMMABODA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46237</v>
      </c>
      <c r="F475" t="inlineStr">
        <is>
          <t>KALMAR LÄN</t>
        </is>
      </c>
      <c r="G475" t="inlineStr">
        <is>
          <t>EMMABODA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44982</v>
      </c>
      <c r="E476" s="1" t="n">
        <v>46237</v>
      </c>
      <c r="F476" t="inlineStr">
        <is>
          <t>KALMAR LÄN</t>
        </is>
      </c>
      <c r="G476" t="inlineStr">
        <is>
          <t>EMMABODA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44993</v>
      </c>
      <c r="E477" s="1" t="n">
        <v>46237</v>
      </c>
      <c r="F477" t="inlineStr">
        <is>
          <t>KALMAR LÄN</t>
        </is>
      </c>
      <c r="G477" t="inlineStr">
        <is>
          <t>EMMABODA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45433</v>
      </c>
      <c r="E478" s="1" t="n">
        <v>46237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46237</v>
      </c>
      <c r="F479" t="inlineStr">
        <is>
          <t>KALMAR LÄN</t>
        </is>
      </c>
      <c r="G479" t="inlineStr">
        <is>
          <t>EMMABODA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46237</v>
      </c>
      <c r="F480" t="inlineStr">
        <is>
          <t>KALMAR LÄN</t>
        </is>
      </c>
      <c r="G480" t="inlineStr">
        <is>
          <t>EMMABODA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45146</v>
      </c>
      <c r="E481" s="1" t="n">
        <v>46237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46237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46237</v>
      </c>
      <c r="F483" t="inlineStr">
        <is>
          <t>KALMAR LÄN</t>
        </is>
      </c>
      <c r="G483" t="inlineStr">
        <is>
          <t>EMMABODA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46237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46237</v>
      </c>
      <c r="F485" t="inlineStr">
        <is>
          <t>KALMAR LÄN</t>
        </is>
      </c>
      <c r="G485" t="inlineStr">
        <is>
          <t>EMMABODA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46237</v>
      </c>
      <c r="F486" t="inlineStr">
        <is>
          <t>KALMAR LÄN</t>
        </is>
      </c>
      <c r="G486" t="inlineStr">
        <is>
          <t>EMMABODA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46237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46237</v>
      </c>
      <c r="F488" t="inlineStr">
        <is>
          <t>KALMAR LÄN</t>
        </is>
      </c>
      <c r="G488" t="inlineStr">
        <is>
          <t>EMMABODA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46237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59737-2021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44494</v>
      </c>
      <c r="E490" s="1" t="n">
        <v>46237</v>
      </c>
      <c r="F490" t="inlineStr">
        <is>
          <t>KALMAR LÄN</t>
        </is>
      </c>
      <c r="G490" t="inlineStr">
        <is>
          <t>EMMABODA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46237</v>
      </c>
      <c r="F491" t="inlineStr">
        <is>
          <t>KALMAR LÄN</t>
        </is>
      </c>
      <c r="G491" t="inlineStr">
        <is>
          <t>EMMABODA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69464-2021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44531</v>
      </c>
      <c r="E492" s="1" t="n">
        <v>46237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44504</v>
      </c>
      <c r="E493" s="1" t="n">
        <v>46237</v>
      </c>
      <c r="F493" t="inlineStr">
        <is>
          <t>KALMAR LÄN</t>
        </is>
      </c>
      <c r="G493" t="inlineStr">
        <is>
          <t>EMMABODA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46237</v>
      </c>
      <c r="F494" t="inlineStr">
        <is>
          <t>KALMAR LÄN</t>
        </is>
      </c>
      <c r="G494" t="inlineStr">
        <is>
          <t>EMMABODA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46237</v>
      </c>
      <c r="F495" t="inlineStr">
        <is>
          <t>KALMAR LÄN</t>
        </is>
      </c>
      <c r="G495" t="inlineStr">
        <is>
          <t>EMMABODA</t>
        </is>
      </c>
      <c r="H495" t="inlineStr">
        <is>
          <t>Övriga Aktiebolag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46237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46237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46237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46237</v>
      </c>
      <c r="F499" t="inlineStr">
        <is>
          <t>KALMAR LÄN</t>
        </is>
      </c>
      <c r="G499" t="inlineStr">
        <is>
          <t>EMMABODA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46237</v>
      </c>
      <c r="F500" t="inlineStr">
        <is>
          <t>KALMAR LÄN</t>
        </is>
      </c>
      <c r="G500" t="inlineStr">
        <is>
          <t>EMMABODA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46237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45126</v>
      </c>
      <c r="E502" s="1" t="n">
        <v>46237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46237</v>
      </c>
      <c r="F503" t="inlineStr">
        <is>
          <t>KALMAR LÄN</t>
        </is>
      </c>
      <c r="G503" t="inlineStr">
        <is>
          <t>EMMABODA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46237</v>
      </c>
      <c r="F504" t="inlineStr">
        <is>
          <t>KALMAR LÄN</t>
        </is>
      </c>
      <c r="G504" t="inlineStr">
        <is>
          <t>EMMABODA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46237</v>
      </c>
      <c r="F505" t="inlineStr">
        <is>
          <t>KALMAR LÄN</t>
        </is>
      </c>
      <c r="G505" t="inlineStr">
        <is>
          <t>EMMABODA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46237</v>
      </c>
      <c r="F506" t="inlineStr">
        <is>
          <t>KALMAR LÄN</t>
        </is>
      </c>
      <c r="G506" t="inlineStr">
        <is>
          <t>EMMABODA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46237</v>
      </c>
      <c r="F507" t="inlineStr">
        <is>
          <t>KALMAR LÄN</t>
        </is>
      </c>
      <c r="G507" t="inlineStr">
        <is>
          <t>EMMABODA</t>
        </is>
      </c>
      <c r="H507" t="inlineStr">
        <is>
          <t>Kyrkan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39736-2023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45167</v>
      </c>
      <c r="E508" s="1" t="n">
        <v>46237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46237</v>
      </c>
      <c r="F509" t="inlineStr">
        <is>
          <t>KALMAR LÄN</t>
        </is>
      </c>
      <c r="G509" t="inlineStr">
        <is>
          <t>EMMABODA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46237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46237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45665</v>
      </c>
      <c r="E512" s="1" t="n">
        <v>46237</v>
      </c>
      <c r="F512" t="inlineStr">
        <is>
          <t>KALMAR LÄN</t>
        </is>
      </c>
      <c r="G512" t="inlineStr">
        <is>
          <t>EMMABODA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46237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46237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9704-2026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46072</v>
      </c>
      <c r="E515" s="1" t="n">
        <v>46237</v>
      </c>
      <c r="F515" t="inlineStr">
        <is>
          <t>KALMAR LÄN</t>
        </is>
      </c>
      <c r="G515" t="inlineStr">
        <is>
          <t>EMMABODA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46237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46237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27155-2026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46188</v>
      </c>
      <c r="E518" s="1" t="n">
        <v>46237</v>
      </c>
      <c r="F518" t="inlineStr">
        <is>
          <t>KALMAR LÄN</t>
        </is>
      </c>
      <c r="G518" t="inlineStr">
        <is>
          <t>EMMABODA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46071</v>
      </c>
      <c r="E519" s="1" t="n">
        <v>46237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46237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45202</v>
      </c>
      <c r="E521" s="1" t="n">
        <v>46237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46237</v>
      </c>
      <c r="F522" t="inlineStr">
        <is>
          <t>KALMAR LÄN</t>
        </is>
      </c>
      <c r="G522" t="inlineStr">
        <is>
          <t>EMMABODA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46237</v>
      </c>
      <c r="F523" t="inlineStr">
        <is>
          <t>KALMAR LÄN</t>
        </is>
      </c>
      <c r="G523" t="inlineStr">
        <is>
          <t>EMMABODA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46237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46237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46237</v>
      </c>
      <c r="F526" t="inlineStr">
        <is>
          <t>KALMAR LÄN</t>
        </is>
      </c>
      <c r="G526" t="inlineStr">
        <is>
          <t>EMMABODA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44215-2024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45573</v>
      </c>
      <c r="E527" s="1" t="n">
        <v>46237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46237</v>
      </c>
      <c r="F528" t="inlineStr">
        <is>
          <t>KALMAR LÄN</t>
        </is>
      </c>
      <c r="G528" t="inlineStr">
        <is>
          <t>EMMABODA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46237</v>
      </c>
      <c r="F529" t="inlineStr">
        <is>
          <t>KALMAR LÄN</t>
        </is>
      </c>
      <c r="G529" t="inlineStr">
        <is>
          <t>EMMABODA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46237</v>
      </c>
      <c r="F530" t="inlineStr">
        <is>
          <t>KALMAR LÄN</t>
        </is>
      </c>
      <c r="G530" t="inlineStr">
        <is>
          <t>EMMABODA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48113-2021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44449</v>
      </c>
      <c r="E531" s="1" t="n">
        <v>46237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37060-2023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45155</v>
      </c>
      <c r="E532" s="1" t="n">
        <v>46237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46237</v>
      </c>
      <c r="F533" t="inlineStr">
        <is>
          <t>KALMAR LÄN</t>
        </is>
      </c>
      <c r="G533" t="inlineStr">
        <is>
          <t>EMMABODA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46237</v>
      </c>
      <c r="F534" t="inlineStr">
        <is>
          <t>KALMAR LÄN</t>
        </is>
      </c>
      <c r="G534" t="inlineStr">
        <is>
          <t>EMMABODA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46237</v>
      </c>
      <c r="F535" t="inlineStr">
        <is>
          <t>KALMAR LÄN</t>
        </is>
      </c>
      <c r="G535" t="inlineStr">
        <is>
          <t>EMMABODA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44783</v>
      </c>
      <c r="E536" s="1" t="n">
        <v>46237</v>
      </c>
      <c r="F536" t="inlineStr">
        <is>
          <t>KALMAR LÄN</t>
        </is>
      </c>
      <c r="G536" t="inlineStr">
        <is>
          <t>EMMABODA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46237</v>
      </c>
      <c r="F537" t="inlineStr">
        <is>
          <t>KALMAR LÄN</t>
        </is>
      </c>
      <c r="G537" t="inlineStr">
        <is>
          <t>EMMABODA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44897</v>
      </c>
      <c r="E538" s="1" t="n">
        <v>46237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45716</v>
      </c>
      <c r="E539" s="1" t="n">
        <v>46237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45091</v>
      </c>
      <c r="E540" s="1" t="n">
        <v>46237</v>
      </c>
      <c r="F540" t="inlineStr">
        <is>
          <t>KALMAR LÄN</t>
        </is>
      </c>
      <c r="G540" t="inlineStr">
        <is>
          <t>EMMABODA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44652</v>
      </c>
      <c r="E541" s="1" t="n">
        <v>46237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44665</v>
      </c>
      <c r="E542" s="1" t="n">
        <v>46237</v>
      </c>
      <c r="F542" t="inlineStr">
        <is>
          <t>KALMAR LÄN</t>
        </is>
      </c>
      <c r="G542" t="inlineStr">
        <is>
          <t>EMMABODA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53704-2023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46237</v>
      </c>
      <c r="F543" t="inlineStr">
        <is>
          <t>KALMAR LÄN</t>
        </is>
      </c>
      <c r="G543" t="inlineStr">
        <is>
          <t>EMMABODA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46237</v>
      </c>
      <c r="F544" t="inlineStr">
        <is>
          <t>KALMAR LÄN</t>
        </is>
      </c>
      <c r="G544" t="inlineStr">
        <is>
          <t>EMMABODA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45232</v>
      </c>
      <c r="E545" s="1" t="n">
        <v>46237</v>
      </c>
      <c r="F545" t="inlineStr">
        <is>
          <t>KALMAR LÄN</t>
        </is>
      </c>
      <c r="G545" t="inlineStr">
        <is>
          <t>EMMABODA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45182</v>
      </c>
      <c r="E546" s="1" t="n">
        <v>46237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66658-2021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44519</v>
      </c>
      <c r="E547" s="1" t="n">
        <v>46237</v>
      </c>
      <c r="F547" t="inlineStr">
        <is>
          <t>KALMAR LÄN</t>
        </is>
      </c>
      <c r="G547" t="inlineStr">
        <is>
          <t>EMMABODA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46237</v>
      </c>
      <c r="F548" t="inlineStr">
        <is>
          <t>KALMAR LÄN</t>
        </is>
      </c>
      <c r="G548" t="inlineStr">
        <is>
          <t>EMMABODA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44699</v>
      </c>
      <c r="E549" s="1" t="n">
        <v>46237</v>
      </c>
      <c r="F549" t="inlineStr">
        <is>
          <t>KALMAR LÄN</t>
        </is>
      </c>
      <c r="G549" t="inlineStr">
        <is>
          <t>EMMABODA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45148</v>
      </c>
      <c r="E550" s="1" t="n">
        <v>46237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45561</v>
      </c>
      <c r="E551" s="1" t="n">
        <v>46237</v>
      </c>
      <c r="F551" t="inlineStr">
        <is>
          <t>KALMAR LÄN</t>
        </is>
      </c>
      <c r="G551" t="inlineStr">
        <is>
          <t>EMMABODA</t>
        </is>
      </c>
      <c r="H551" t="inlineStr">
        <is>
          <t>Övriga Aktiebolag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46237</v>
      </c>
      <c r="F552" t="inlineStr">
        <is>
          <t>KALMAR LÄN</t>
        </is>
      </c>
      <c r="G552" t="inlineStr">
        <is>
          <t>EMMABODA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46237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45434</v>
      </c>
      <c r="E554" s="1" t="n">
        <v>46237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44619</v>
      </c>
      <c r="E555" s="1" t="n">
        <v>46237</v>
      </c>
      <c r="F555" t="inlineStr">
        <is>
          <t>KALMAR LÄN</t>
        </is>
      </c>
      <c r="G555" t="inlineStr">
        <is>
          <t>EMMABODA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46237</v>
      </c>
      <c r="F556" t="inlineStr">
        <is>
          <t>KALMAR LÄN</t>
        </is>
      </c>
      <c r="G556" t="inlineStr">
        <is>
          <t>EMMABODA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46237</v>
      </c>
      <c r="F557" t="inlineStr">
        <is>
          <t>KALMAR LÄN</t>
        </is>
      </c>
      <c r="G557" t="inlineStr">
        <is>
          <t>EMMABODA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46237</v>
      </c>
      <c r="F558" t="inlineStr">
        <is>
          <t>KALMAR LÄN</t>
        </is>
      </c>
      <c r="G558" t="inlineStr">
        <is>
          <t>EMMABODA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44979</v>
      </c>
      <c r="E559" s="1" t="n">
        <v>46237</v>
      </c>
      <c r="F559" t="inlineStr">
        <is>
          <t>KALMAR LÄN</t>
        </is>
      </c>
      <c r="G559" t="inlineStr">
        <is>
          <t>EMMABODA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46237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46237</v>
      </c>
      <c r="F561" t="inlineStr">
        <is>
          <t>KALMAR LÄN</t>
        </is>
      </c>
      <c r="G561" t="inlineStr">
        <is>
          <t>EMMABODA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24776-2022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44728</v>
      </c>
      <c r="E562" s="1" t="n">
        <v>46237</v>
      </c>
      <c r="F562" t="inlineStr">
        <is>
          <t>KALMAR LÄN</t>
        </is>
      </c>
      <c r="G562" t="inlineStr">
        <is>
          <t>EMMABODA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45551</v>
      </c>
      <c r="E563" s="1" t="n">
        <v>46237</v>
      </c>
      <c r="F563" t="inlineStr">
        <is>
          <t>KALMAR LÄN</t>
        </is>
      </c>
      <c r="G563" t="inlineStr">
        <is>
          <t>EMMABODA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46237</v>
      </c>
      <c r="F564" t="inlineStr">
        <is>
          <t>KALMAR LÄN</t>
        </is>
      </c>
      <c r="G564" t="inlineStr">
        <is>
          <t>EMMABODA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46237</v>
      </c>
      <c r="F565" t="inlineStr">
        <is>
          <t>KALMAR LÄN</t>
        </is>
      </c>
      <c r="G565" t="inlineStr">
        <is>
          <t>EMMABODA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46237</v>
      </c>
      <c r="F566" t="inlineStr">
        <is>
          <t>KALMAR LÄN</t>
        </is>
      </c>
      <c r="G566" t="inlineStr">
        <is>
          <t>EMMABODA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46237</v>
      </c>
      <c r="F567" t="inlineStr">
        <is>
          <t>KALMAR LÄN</t>
        </is>
      </c>
      <c r="G567" t="inlineStr">
        <is>
          <t>EMMABODA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46237</v>
      </c>
      <c r="F568" t="inlineStr">
        <is>
          <t>KALMAR LÄN</t>
        </is>
      </c>
      <c r="G568" t="inlineStr">
        <is>
          <t>EMMABODA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45292-2023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45188</v>
      </c>
      <c r="E569" s="1" t="n">
        <v>46237</v>
      </c>
      <c r="F569" t="inlineStr">
        <is>
          <t>KALMAR LÄN</t>
        </is>
      </c>
      <c r="G569" t="inlineStr">
        <is>
          <t>EMMABODA</t>
        </is>
      </c>
      <c r="H569" t="inlineStr">
        <is>
          <t>Kyrkan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45293-2023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45188</v>
      </c>
      <c r="E570" s="1" t="n">
        <v>46237</v>
      </c>
      <c r="F570" t="inlineStr">
        <is>
          <t>KALMAR LÄN</t>
        </is>
      </c>
      <c r="G570" t="inlineStr">
        <is>
          <t>EMMABODA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45534</v>
      </c>
      <c r="E571" s="1" t="n">
        <v>46237</v>
      </c>
      <c r="F571" t="inlineStr">
        <is>
          <t>KALMAR LÄN</t>
        </is>
      </c>
      <c r="G571" t="inlineStr">
        <is>
          <t>EMMABODA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45400</v>
      </c>
      <c r="E572" s="1" t="n">
        <v>46237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46237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45484</v>
      </c>
      <c r="E574" s="1" t="n">
        <v>46237</v>
      </c>
      <c r="F574" t="inlineStr">
        <is>
          <t>KALMAR LÄN</t>
        </is>
      </c>
      <c r="G574" t="inlineStr">
        <is>
          <t>EMMABODA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46237</v>
      </c>
      <c r="F575" t="inlineStr">
        <is>
          <t>KALMAR LÄN</t>
        </is>
      </c>
      <c r="G575" t="inlineStr">
        <is>
          <t>EMMABODA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46237</v>
      </c>
      <c r="F576" t="inlineStr">
        <is>
          <t>KALMAR LÄN</t>
        </is>
      </c>
      <c r="G576" t="inlineStr">
        <is>
          <t>EMMABODA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45351</v>
      </c>
      <c r="E577" s="1" t="n">
        <v>46237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46237</v>
      </c>
      <c r="F578" t="inlineStr">
        <is>
          <t>KALMAR LÄN</t>
        </is>
      </c>
      <c r="G578" t="inlineStr">
        <is>
          <t>EMMABODA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46237</v>
      </c>
      <c r="F579" t="inlineStr">
        <is>
          <t>KALMAR LÄN</t>
        </is>
      </c>
      <c r="G579" t="inlineStr">
        <is>
          <t>EMMABODA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46120</v>
      </c>
      <c r="E580" s="1" t="n">
        <v>46237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44673</v>
      </c>
      <c r="E581" s="1" t="n">
        <v>46237</v>
      </c>
      <c r="F581" t="inlineStr">
        <is>
          <t>KALMAR LÄN</t>
        </is>
      </c>
      <c r="G581" t="inlineStr">
        <is>
          <t>EMMABODA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45164</v>
      </c>
      <c r="E582" s="1" t="n">
        <v>46237</v>
      </c>
      <c r="F582" t="inlineStr">
        <is>
          <t>KALMAR LÄN</t>
        </is>
      </c>
      <c r="G582" t="inlineStr">
        <is>
          <t>EMMABODA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29023-2022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44749</v>
      </c>
      <c r="E583" s="1" t="n">
        <v>46237</v>
      </c>
      <c r="F583" t="inlineStr">
        <is>
          <t>KALMAR LÄN</t>
        </is>
      </c>
      <c r="G583" t="inlineStr">
        <is>
          <t>EMMABODA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24460-2022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44726</v>
      </c>
      <c r="E584" s="1" t="n">
        <v>46237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36043-2022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46237</v>
      </c>
      <c r="F585" t="inlineStr">
        <is>
          <t>KALMAR LÄN</t>
        </is>
      </c>
      <c r="G585" t="inlineStr">
        <is>
          <t>EMMABODA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18437-2026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46127</v>
      </c>
      <c r="E586" s="1" t="n">
        <v>46237</v>
      </c>
      <c r="F586" t="inlineStr">
        <is>
          <t>KALMAR LÄN</t>
        </is>
      </c>
      <c r="G586" t="inlineStr">
        <is>
          <t>EMMABODA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18444-2026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46127</v>
      </c>
      <c r="E587" s="1" t="n">
        <v>46237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46237</v>
      </c>
      <c r="F588" t="inlineStr">
        <is>
          <t>KALMAR LÄN</t>
        </is>
      </c>
      <c r="G588" t="inlineStr">
        <is>
          <t>EMMABODA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46237</v>
      </c>
      <c r="F589" t="inlineStr">
        <is>
          <t>KALMAR LÄN</t>
        </is>
      </c>
      <c r="G589" t="inlineStr">
        <is>
          <t>EMMABODA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45317</v>
      </c>
      <c r="E590" s="1" t="n">
        <v>46237</v>
      </c>
      <c r="F590" t="inlineStr">
        <is>
          <t>KALMAR LÄN</t>
        </is>
      </c>
      <c r="G590" t="inlineStr">
        <is>
          <t>EMMABODA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46237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60143-2023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46237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46237</v>
      </c>
      <c r="F593" t="inlineStr">
        <is>
          <t>KALMAR LÄN</t>
        </is>
      </c>
      <c r="G593" t="inlineStr">
        <is>
          <t>EMMABODA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45415</v>
      </c>
      <c r="E594" s="1" t="n">
        <v>46237</v>
      </c>
      <c r="F594" t="inlineStr">
        <is>
          <t>KALMAR LÄN</t>
        </is>
      </c>
      <c r="G594" t="inlineStr">
        <is>
          <t>EMMABODA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46237</v>
      </c>
      <c r="F595" t="inlineStr">
        <is>
          <t>KALMAR LÄN</t>
        </is>
      </c>
      <c r="G595" t="inlineStr">
        <is>
          <t>EMMABODA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46237</v>
      </c>
      <c r="F596" t="inlineStr">
        <is>
          <t>KALMAR LÄN</t>
        </is>
      </c>
      <c r="G596" t="inlineStr">
        <is>
          <t>EMMABODA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46237</v>
      </c>
      <c r="F597" t="inlineStr">
        <is>
          <t>KALMAR LÄN</t>
        </is>
      </c>
      <c r="G597" t="inlineStr">
        <is>
          <t>EMMABODA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45565</v>
      </c>
      <c r="E598" s="1" t="n">
        <v>46237</v>
      </c>
      <c r="F598" t="inlineStr">
        <is>
          <t>KALMAR LÄN</t>
        </is>
      </c>
      <c r="G598" t="inlineStr">
        <is>
          <t>EMMABODA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45445</v>
      </c>
      <c r="E599" s="1" t="n">
        <v>46237</v>
      </c>
      <c r="F599" t="inlineStr">
        <is>
          <t>KALMAR LÄN</t>
        </is>
      </c>
      <c r="G599" t="inlineStr">
        <is>
          <t>EMMABODA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39169-2024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45548</v>
      </c>
      <c r="E600" s="1" t="n">
        <v>46237</v>
      </c>
      <c r="F600" t="inlineStr">
        <is>
          <t>KALMAR LÄN</t>
        </is>
      </c>
      <c r="G600" t="inlineStr">
        <is>
          <t>EMMABODA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46237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46237</v>
      </c>
      <c r="F602" t="inlineStr">
        <is>
          <t>KALMAR LÄN</t>
        </is>
      </c>
      <c r="G602" t="inlineStr">
        <is>
          <t>EMMABODA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45716</v>
      </c>
      <c r="E603" s="1" t="n">
        <v>46237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35522-2022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44799</v>
      </c>
      <c r="E604" s="1" t="n">
        <v>46237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19299-2026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46133</v>
      </c>
      <c r="E605" s="1" t="n">
        <v>46237</v>
      </c>
      <c r="F605" t="inlineStr">
        <is>
          <t>KALMAR LÄN</t>
        </is>
      </c>
      <c r="G605" t="inlineStr">
        <is>
          <t>EMMABODA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46237</v>
      </c>
      <c r="F606" t="inlineStr">
        <is>
          <t>KALMAR LÄN</t>
        </is>
      </c>
      <c r="G606" t="inlineStr">
        <is>
          <t>EMMABODA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45688</v>
      </c>
      <c r="E607" s="1" t="n">
        <v>46237</v>
      </c>
      <c r="F607" t="inlineStr">
        <is>
          <t>KALMAR LÄN</t>
        </is>
      </c>
      <c r="G607" t="inlineStr">
        <is>
          <t>EMMABODA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45632</v>
      </c>
      <c r="E608" s="1" t="n">
        <v>46237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45401</v>
      </c>
      <c r="E609" s="1" t="n">
        <v>46237</v>
      </c>
      <c r="F609" t="inlineStr">
        <is>
          <t>KALMAR LÄN</t>
        </is>
      </c>
      <c r="G609" t="inlineStr">
        <is>
          <t>EMMABODA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41545-2022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44827</v>
      </c>
      <c r="E610" s="1" t="n">
        <v>46237</v>
      </c>
      <c r="F610" t="inlineStr">
        <is>
          <t>KALMAR LÄN</t>
        </is>
      </c>
      <c r="G610" t="inlineStr">
        <is>
          <t>EMMABODA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39411-2024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46237</v>
      </c>
      <c r="F611" t="inlineStr">
        <is>
          <t>KALMAR LÄN</t>
        </is>
      </c>
      <c r="G611" t="inlineStr">
        <is>
          <t>EMMABODA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46237</v>
      </c>
      <c r="F612" t="inlineStr">
        <is>
          <t>KALMAR LÄN</t>
        </is>
      </c>
      <c r="G612" t="inlineStr">
        <is>
          <t>EMMABODA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45819</v>
      </c>
      <c r="E613" s="1" t="n">
        <v>46237</v>
      </c>
      <c r="F613" t="inlineStr">
        <is>
          <t>KALMAR LÄN</t>
        </is>
      </c>
      <c r="G613" t="inlineStr">
        <is>
          <t>EMMABODA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46237</v>
      </c>
      <c r="F614" t="inlineStr">
        <is>
          <t>KALMAR LÄN</t>
        </is>
      </c>
      <c r="G614" t="inlineStr">
        <is>
          <t>EMMABODA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45309</v>
      </c>
      <c r="E615" s="1" t="n">
        <v>46237</v>
      </c>
      <c r="F615" t="inlineStr">
        <is>
          <t>KALMAR LÄN</t>
        </is>
      </c>
      <c r="G615" t="inlineStr">
        <is>
          <t>EMMABODA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46237</v>
      </c>
      <c r="F616" t="inlineStr">
        <is>
          <t>KALMAR LÄN</t>
        </is>
      </c>
      <c r="G616" t="inlineStr">
        <is>
          <t>EMMABODA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46237</v>
      </c>
      <c r="F617" t="inlineStr">
        <is>
          <t>KALMAR LÄN</t>
        </is>
      </c>
      <c r="G617" t="inlineStr">
        <is>
          <t>EMMABODA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46237</v>
      </c>
      <c r="F618" t="inlineStr">
        <is>
          <t>KALMAR LÄN</t>
        </is>
      </c>
      <c r="G618" t="inlineStr">
        <is>
          <t>EMMABODA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45484</v>
      </c>
      <c r="E619" s="1" t="n">
        <v>46237</v>
      </c>
      <c r="F619" t="inlineStr">
        <is>
          <t>KALMAR LÄN</t>
        </is>
      </c>
      <c r="G619" t="inlineStr">
        <is>
          <t>EMMABODA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45307</v>
      </c>
      <c r="E620" s="1" t="n">
        <v>46237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46237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46065-2023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45190</v>
      </c>
      <c r="E622" s="1" t="n">
        <v>46237</v>
      </c>
      <c r="F622" t="inlineStr">
        <is>
          <t>KALMAR LÄN</t>
        </is>
      </c>
      <c r="G622" t="inlineStr">
        <is>
          <t>EMMABODA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54857-2025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45966</v>
      </c>
      <c r="E623" s="1" t="n">
        <v>46237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46237</v>
      </c>
      <c r="F624" t="inlineStr">
        <is>
          <t>KALMAR LÄN</t>
        </is>
      </c>
      <c r="G624" t="inlineStr">
        <is>
          <t>EMMABODA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45310</v>
      </c>
      <c r="E625" s="1" t="n">
        <v>46237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45901</v>
      </c>
      <c r="E626" s="1" t="n">
        <v>46237</v>
      </c>
      <c r="F626" t="inlineStr">
        <is>
          <t>KALMAR LÄN</t>
        </is>
      </c>
      <c r="G626" t="inlineStr">
        <is>
          <t>EMMABODA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46237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49066-2021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44453</v>
      </c>
      <c r="E628" s="1" t="n">
        <v>46237</v>
      </c>
      <c r="F628" t="inlineStr">
        <is>
          <t>KALMAR LÄN</t>
        </is>
      </c>
      <c r="G628" t="inlineStr">
        <is>
          <t>EMMABODA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45926</v>
      </c>
      <c r="E629" s="1" t="n">
        <v>46237</v>
      </c>
      <c r="F629" t="inlineStr">
        <is>
          <t>KALMAR LÄN</t>
        </is>
      </c>
      <c r="G629" t="inlineStr">
        <is>
          <t>EMMABODA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46237</v>
      </c>
      <c r="F630" t="inlineStr">
        <is>
          <t>KALMAR LÄN</t>
        </is>
      </c>
      <c r="G630" t="inlineStr">
        <is>
          <t>EMMABODA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14080-2024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46237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62164-2025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46237</v>
      </c>
      <c r="F632" t="inlineStr">
        <is>
          <t>KALMAR LÄN</t>
        </is>
      </c>
      <c r="G632" t="inlineStr">
        <is>
          <t>EMMABODA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42847-2024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46237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46237</v>
      </c>
      <c r="F634" t="inlineStr">
        <is>
          <t>KALMAR LÄN</t>
        </is>
      </c>
      <c r="G634" t="inlineStr">
        <is>
          <t>EMMABODA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46237</v>
      </c>
      <c r="F635" t="inlineStr">
        <is>
          <t>KALMAR LÄN</t>
        </is>
      </c>
      <c r="G635" t="inlineStr">
        <is>
          <t>EMMABODA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46775-2022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44851</v>
      </c>
      <c r="E636" s="1" t="n">
        <v>46237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45481</v>
      </c>
      <c r="E637" s="1" t="n">
        <v>46237</v>
      </c>
      <c r="F637" t="inlineStr">
        <is>
          <t>KALMAR LÄN</t>
        </is>
      </c>
      <c r="G637" t="inlineStr">
        <is>
          <t>EMMABODA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46237</v>
      </c>
      <c r="F638" t="inlineStr">
        <is>
          <t>KALMAR LÄN</t>
        </is>
      </c>
      <c r="G638" t="inlineStr">
        <is>
          <t>EMMABODA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42424-2025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46237</v>
      </c>
      <c r="F639" t="inlineStr">
        <is>
          <t>KALMAR LÄN</t>
        </is>
      </c>
      <c r="G639" t="inlineStr">
        <is>
          <t>EMMABODA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46237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46237</v>
      </c>
      <c r="F641" t="inlineStr">
        <is>
          <t>KALMAR LÄN</t>
        </is>
      </c>
      <c r="G641" t="inlineStr">
        <is>
          <t>EMMABODA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56549-2022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44893</v>
      </c>
      <c r="E642" s="1" t="n">
        <v>46237</v>
      </c>
      <c r="F642" t="inlineStr">
        <is>
          <t>KALMAR LÄN</t>
        </is>
      </c>
      <c r="G642" t="inlineStr">
        <is>
          <t>EMMABODA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37637-2023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45159</v>
      </c>
      <c r="E643" s="1" t="n">
        <v>46237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44769</v>
      </c>
      <c r="E644" s="1" t="n">
        <v>46237</v>
      </c>
      <c r="F644" t="inlineStr">
        <is>
          <t>KALMAR LÄN</t>
        </is>
      </c>
      <c r="G644" t="inlineStr">
        <is>
          <t>EMMABODA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43746-2023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45187</v>
      </c>
      <c r="E645" s="1" t="n">
        <v>46237</v>
      </c>
      <c r="F645" t="inlineStr">
        <is>
          <t>KALMAR LÄN</t>
        </is>
      </c>
      <c r="G645" t="inlineStr">
        <is>
          <t>EMMABODA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45401</v>
      </c>
      <c r="E646" s="1" t="n">
        <v>46237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46728-2022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44851</v>
      </c>
      <c r="E647" s="1" t="n">
        <v>46237</v>
      </c>
      <c r="F647" t="inlineStr">
        <is>
          <t>KALMAR LÄN</t>
        </is>
      </c>
      <c r="G647" t="inlineStr">
        <is>
          <t>EMMABODA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45196</v>
      </c>
      <c r="E648" s="1" t="n">
        <v>46237</v>
      </c>
      <c r="F648" t="inlineStr">
        <is>
          <t>KALMAR LÄN</t>
        </is>
      </c>
      <c r="G648" t="inlineStr">
        <is>
          <t>EMMABODA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46237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57717-2022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44897</v>
      </c>
      <c r="E650" s="1" t="n">
        <v>46237</v>
      </c>
      <c r="F650" t="inlineStr">
        <is>
          <t>KALMAR LÄN</t>
        </is>
      </c>
      <c r="G650" t="inlineStr">
        <is>
          <t>EMMABODA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45455</v>
      </c>
      <c r="E651" s="1" t="n">
        <v>46237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45323</v>
      </c>
      <c r="E652" s="1" t="n">
        <v>46237</v>
      </c>
      <c r="F652" t="inlineStr">
        <is>
          <t>KALMAR LÄN</t>
        </is>
      </c>
      <c r="G652" t="inlineStr">
        <is>
          <t>EMMABODA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58156-2021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44487</v>
      </c>
      <c r="E653" s="1" t="n">
        <v>46237</v>
      </c>
      <c r="F653" t="inlineStr">
        <is>
          <t>KALMAR LÄN</t>
        </is>
      </c>
      <c r="G653" t="inlineStr">
        <is>
          <t>EMMABODA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45323</v>
      </c>
      <c r="E654" s="1" t="n">
        <v>46237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45637</v>
      </c>
      <c r="E655" s="1" t="n">
        <v>46237</v>
      </c>
      <c r="F655" t="inlineStr">
        <is>
          <t>KALMAR LÄN</t>
        </is>
      </c>
      <c r="G655" t="inlineStr">
        <is>
          <t>EMMABODA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41393-2021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44424</v>
      </c>
      <c r="E656" s="1" t="n">
        <v>46237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25783-2024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45466</v>
      </c>
      <c r="E657" s="1" t="n">
        <v>46237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45327</v>
      </c>
      <c r="E658" s="1" t="n">
        <v>46237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58592-2021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44488</v>
      </c>
      <c r="E659" s="1" t="n">
        <v>46237</v>
      </c>
      <c r="F659" t="inlineStr">
        <is>
          <t>KALMAR LÄN</t>
        </is>
      </c>
      <c r="G659" t="inlineStr">
        <is>
          <t>EMMABODA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45296</v>
      </c>
      <c r="E660" s="1" t="n">
        <v>46237</v>
      </c>
      <c r="F660" t="inlineStr">
        <is>
          <t>KALMAR LÄN</t>
        </is>
      </c>
      <c r="G660" t="inlineStr">
        <is>
          <t>EMMABODA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46237</v>
      </c>
      <c r="F661" t="inlineStr">
        <is>
          <t>KALMAR LÄN</t>
        </is>
      </c>
      <c r="G661" t="inlineStr">
        <is>
          <t>EMMABODA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36491-2024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46237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8397-2023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44977</v>
      </c>
      <c r="E663" s="1" t="n">
        <v>46237</v>
      </c>
      <c r="F663" t="inlineStr">
        <is>
          <t>KALMAR LÄN</t>
        </is>
      </c>
      <c r="G663" t="inlineStr">
        <is>
          <t>EMMABODA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45665</v>
      </c>
      <c r="E664" s="1" t="n">
        <v>46237</v>
      </c>
      <c r="F664" t="inlineStr">
        <is>
          <t>KALMAR LÄN</t>
        </is>
      </c>
      <c r="G664" t="inlineStr">
        <is>
          <t>EMMABODA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25776-2025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46237</v>
      </c>
      <c r="F665" t="inlineStr">
        <is>
          <t>KALMAR LÄN</t>
        </is>
      </c>
      <c r="G665" t="inlineStr">
        <is>
          <t>EMMABODA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44958</v>
      </c>
      <c r="E666" s="1" t="n">
        <v>46237</v>
      </c>
      <c r="F666" t="inlineStr">
        <is>
          <t>KALMAR LÄN</t>
        </is>
      </c>
      <c r="G666" t="inlineStr">
        <is>
          <t>EMMABODA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45813</v>
      </c>
      <c r="E667" s="1" t="n">
        <v>46237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29807-2025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45825</v>
      </c>
      <c r="E668" s="1" t="n">
        <v>46237</v>
      </c>
      <c r="F668" t="inlineStr">
        <is>
          <t>KALMAR LÄN</t>
        </is>
      </c>
      <c r="G668" t="inlineStr">
        <is>
          <t>EMMABODA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46237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30118-2025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46237</v>
      </c>
      <c r="F670" t="inlineStr">
        <is>
          <t>KALMAR LÄN</t>
        </is>
      </c>
      <c r="G670" t="inlineStr">
        <is>
          <t>EMMABODA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46237</v>
      </c>
      <c r="F671" t="inlineStr">
        <is>
          <t>KALMAR LÄN</t>
        </is>
      </c>
      <c r="G671" t="inlineStr">
        <is>
          <t>EMMABODA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29879-2025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46237</v>
      </c>
      <c r="F672" t="inlineStr">
        <is>
          <t>KALMAR LÄN</t>
        </is>
      </c>
      <c r="G672" t="inlineStr">
        <is>
          <t>EMMABODA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46237</v>
      </c>
      <c r="F673" t="inlineStr">
        <is>
          <t>KALMAR LÄN</t>
        </is>
      </c>
      <c r="G673" t="inlineStr">
        <is>
          <t>EMMABODA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46237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45832</v>
      </c>
      <c r="E675" s="1" t="n">
        <v>46237</v>
      </c>
      <c r="F675" t="inlineStr">
        <is>
          <t>KALMAR LÄN</t>
        </is>
      </c>
      <c r="G675" t="inlineStr">
        <is>
          <t>EMMABODA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46237</v>
      </c>
      <c r="F676" t="inlineStr">
        <is>
          <t>KALMAR LÄN</t>
        </is>
      </c>
      <c r="G676" t="inlineStr">
        <is>
          <t>EMMABODA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26111-2025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45805</v>
      </c>
      <c r="E677" s="1" t="n">
        <v>46237</v>
      </c>
      <c r="F677" t="inlineStr">
        <is>
          <t>KALMAR LÄN</t>
        </is>
      </c>
      <c r="G677" t="inlineStr">
        <is>
          <t>EMMABODA</t>
        </is>
      </c>
      <c r="I677" t="n">
        <v>12.5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45621</v>
      </c>
      <c r="E678" s="1" t="n">
        <v>46237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34055-2025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45845</v>
      </c>
      <c r="E679" s="1" t="n">
        <v>46237</v>
      </c>
      <c r="F679" t="inlineStr">
        <is>
          <t>KALMAR LÄN</t>
        </is>
      </c>
      <c r="G679" t="inlineStr">
        <is>
          <t>EMMABODA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11758-2025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46237</v>
      </c>
      <c r="F680" t="inlineStr">
        <is>
          <t>KALMAR LÄN</t>
        </is>
      </c>
      <c r="G680" t="inlineStr">
        <is>
          <t>EMMABODA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20053-2025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45772</v>
      </c>
      <c r="E681" s="1" t="n">
        <v>46237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20511-2025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46237</v>
      </c>
      <c r="F682" t="inlineStr">
        <is>
          <t>KALMAR LÄN</t>
        </is>
      </c>
      <c r="G682" t="inlineStr">
        <is>
          <t>EMMABODA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45849</v>
      </c>
      <c r="E683" s="1" t="n">
        <v>46237</v>
      </c>
      <c r="F683" t="inlineStr">
        <is>
          <t>KALMAR LÄN</t>
        </is>
      </c>
      <c r="G683" t="inlineStr">
        <is>
          <t>EMMABODA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46237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45851</v>
      </c>
      <c r="E685" s="1" t="n">
        <v>46237</v>
      </c>
      <c r="F685" t="inlineStr">
        <is>
          <t>KALMAR LÄN</t>
        </is>
      </c>
      <c r="G685" t="inlineStr">
        <is>
          <t>EMMABODA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45851</v>
      </c>
      <c r="E686" s="1" t="n">
        <v>46237</v>
      </c>
      <c r="F686" t="inlineStr">
        <is>
          <t>KALMAR LÄN</t>
        </is>
      </c>
      <c r="G686" t="inlineStr">
        <is>
          <t>EMMABODA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35592-2025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45857</v>
      </c>
      <c r="E687" s="1" t="n">
        <v>46237</v>
      </c>
      <c r="F687" t="inlineStr">
        <is>
          <t>KALMAR LÄN</t>
        </is>
      </c>
      <c r="G687" t="inlineStr">
        <is>
          <t>EMMABODA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45750</v>
      </c>
      <c r="E688" s="1" t="n">
        <v>46237</v>
      </c>
      <c r="F688" t="inlineStr">
        <is>
          <t>KALMAR LÄN</t>
        </is>
      </c>
      <c r="G688" t="inlineStr">
        <is>
          <t>EMMABODA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45863</v>
      </c>
      <c r="E689" s="1" t="n">
        <v>46237</v>
      </c>
      <c r="F689" t="inlineStr">
        <is>
          <t>KALMAR LÄN</t>
        </is>
      </c>
      <c r="G689" t="inlineStr">
        <is>
          <t>EMMABODA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45790</v>
      </c>
      <c r="E690" s="1" t="n">
        <v>46237</v>
      </c>
      <c r="F690" t="inlineStr">
        <is>
          <t>KALMAR LÄN</t>
        </is>
      </c>
      <c r="G690" t="inlineStr">
        <is>
          <t>EMMABODA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45881</v>
      </c>
      <c r="E691" s="1" t="n">
        <v>46237</v>
      </c>
      <c r="F691" t="inlineStr">
        <is>
          <t>KALMAR LÄN</t>
        </is>
      </c>
      <c r="G691" t="inlineStr">
        <is>
          <t>EMMABODA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54085-2024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46237</v>
      </c>
      <c r="F692" t="inlineStr">
        <is>
          <t>KALMAR LÄN</t>
        </is>
      </c>
      <c r="G692" t="inlineStr">
        <is>
          <t>EMMABODA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46237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46237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46237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46237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46237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46237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46237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46237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46237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46237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46237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46237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46237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46237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46237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46237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46237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46237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46237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46237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46237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46237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46237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46237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46237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46237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46237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46237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46237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46237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46237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46237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46237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46237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46237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46237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46237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46237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46237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46237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46237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46237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46237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46237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46237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46237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46237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46237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46237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46237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2026-08-03T01:52:58Z</dcterms:created>
  <dcterms:modified xmlns:dcterms="http://purl.org/dc/terms/" xmlns:xsi="http://www.w3.org/2001/XMLSchema-instance" xsi:type="dcterms:W3CDTF">2026-08-03T01:52:59Z</dcterms:modified>
</cp:coreProperties>
</file>