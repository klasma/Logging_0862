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46284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46284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46284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46284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46284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46284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46284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46284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46284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46284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46284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46284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46284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46284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46284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46284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46284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46284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46284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46187-2023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46284</v>
      </c>
      <c r="F26" t="inlineStr">
        <is>
          <t>KALMAR LÄN</t>
        </is>
      </c>
      <c r="G26" t="inlineStr">
        <is>
          <t>EMMABODA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HYPERLINK("https://klasma.github.io/Logging_0862/artfynd/A 46187-2023 artfynd.xlsx", "A 46187-2023")</f>
        <v/>
      </c>
      <c r="X26">
        <f>HYPERLINK("https://klasma.github.io/Logging_0862/kartor/A 46187-2023 karta.png", "A 46187-2023")</f>
        <v/>
      </c>
      <c r="Y26">
        <f>HYPERLINK("https://klasma.github.io/Logging_0862/kartor_geotiff/A 46187-2023 georefererad karta.tif", "A 46187-2023")</f>
        <v/>
      </c>
      <c r="AA26">
        <f>HYPERLINK("https://klasma.github.io/Logging_0862/klagomål/A 46187-2023 FSC-klagomål.docx", "A 46187-2023")</f>
        <v/>
      </c>
      <c r="AB26">
        <f>HYPERLINK("https://klasma.github.io/Logging_0862/klagomålsmail/A 46187-2023 FSC-klagomål mail.docx", "A 46187-2023")</f>
        <v/>
      </c>
      <c r="AC26">
        <f>HYPERLINK("https://klasma.github.io/Logging_0862/tillsyn/A 46187-2023 tillsynsbegäran.docx", "A 46187-2023")</f>
        <v/>
      </c>
      <c r="AD26">
        <f>HYPERLINK("https://klasma.github.io/Logging_0862/tillsynsmail/A 46187-2023 tillsynsbegäran mail.docx", "A 46187-2023")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46284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28871-2023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46284</v>
      </c>
      <c r="F28" t="inlineStr">
        <is>
          <t>KALMAR LÄN</t>
        </is>
      </c>
      <c r="G28" t="inlineStr">
        <is>
          <t>EMMABODA</t>
        </is>
      </c>
      <c r="I28" t="n">
        <v>1.7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HYPERLINK("https://klasma.github.io/Logging_0862/artfynd/A 28871-2023 artfynd.xlsx", "A 28871-2023")</f>
        <v/>
      </c>
      <c r="X28">
        <f>HYPERLINK("https://klasma.github.io/Logging_0862/kartor/A 28871-2023 karta.png", "A 28871-2023")</f>
        <v/>
      </c>
      <c r="Y28">
        <f>HYPERLINK("https://klasma.github.io/Logging_0862/kartor_geotiff/A 28871-2023 georefererad karta.tif", "A 28871-2023")</f>
        <v/>
      </c>
      <c r="AA28">
        <f>HYPERLINK("https://klasma.github.io/Logging_0862/klagomål/A 28871-2023 FSC-klagomål.docx", "A 28871-2023")</f>
        <v/>
      </c>
      <c r="AB28">
        <f>HYPERLINK("https://klasma.github.io/Logging_0862/klagomålsmail/A 28871-2023 FSC-klagomål mail.docx", "A 28871-2023")</f>
        <v/>
      </c>
      <c r="AC28">
        <f>HYPERLINK("https://klasma.github.io/Logging_0862/tillsyn/A 28871-2023 tillsynsbegäran.docx", "A 28871-2023")</f>
        <v/>
      </c>
      <c r="AD28">
        <f>HYPERLINK("https://klasma.github.io/Logging_0862/tillsynsmail/A 28871-2023 tillsynsbegäran mail.docx", "A 28871-2023")</f>
        <v/>
      </c>
    </row>
    <row r="29" ht="15" customHeight="1">
      <c r="A29" t="inlineStr">
        <is>
          <t>A 5884-2024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45335</v>
      </c>
      <c r="E29" s="1" t="n">
        <v>46284</v>
      </c>
      <c r="F29" t="inlineStr">
        <is>
          <t>KALMAR LÄN</t>
        </is>
      </c>
      <c r="G29" t="inlineStr">
        <is>
          <t>EMMABODA</t>
        </is>
      </c>
      <c r="I29" t="n">
        <v>4.7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HYPERLINK("https://klasma.github.io/Logging_0862/artfynd/A 5884-2024 artfynd.xlsx", "A 5884-2024")</f>
        <v/>
      </c>
      <c r="X29">
        <f>HYPERLINK("https://klasma.github.io/Logging_0862/kartor/A 5884-2024 karta.png", "A 5884-2024")</f>
        <v/>
      </c>
      <c r="Y29">
        <f>HYPERLINK("https://klasma.github.io/Logging_0862/kartor_geotiff/A 5884-2024 georefererad karta.tif", "A 5884-2024")</f>
        <v/>
      </c>
      <c r="AA29">
        <f>HYPERLINK("https://klasma.github.io/Logging_0862/klagomål/A 5884-2024 FSC-klagomål.docx", "A 5884-2024")</f>
        <v/>
      </c>
      <c r="AB29">
        <f>HYPERLINK("https://klasma.github.io/Logging_0862/klagomålsmail/A 5884-2024 FSC-klagomål mail.docx", "A 5884-2024")</f>
        <v/>
      </c>
      <c r="AC29">
        <f>HYPERLINK("https://klasma.github.io/Logging_0862/tillsyn/A 5884-2024 tillsynsbegäran.docx", "A 5884-2024")</f>
        <v/>
      </c>
      <c r="AD29">
        <f>HYPERLINK("https://klasma.github.io/Logging_0862/tillsynsmail/A 5884-2024 tillsynsbegäran mail.docx", "A 5884-2024")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46284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46284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38119-2023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46284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HYPERLINK("https://klasma.github.io/Logging_0862/artfynd/A 38119-2023 artfynd.xlsx", "A 38119-2023")</f>
        <v/>
      </c>
      <c r="X32">
        <f>HYPERLINK("https://klasma.github.io/Logging_0862/kartor/A 38119-2023 karta.png", "A 38119-2023")</f>
        <v/>
      </c>
      <c r="Y32">
        <f>HYPERLINK("https://klasma.github.io/Logging_0862/kartor_geotiff/A 38119-2023 georefererad karta.tif", "A 38119-2023")</f>
        <v/>
      </c>
      <c r="AA32">
        <f>HYPERLINK("https://klasma.github.io/Logging_0862/klagomål/A 38119-2023 FSC-klagomål.docx", "A 38119-2023")</f>
        <v/>
      </c>
      <c r="AB32">
        <f>HYPERLINK("https://klasma.github.io/Logging_0862/klagomålsmail/A 38119-2023 FSC-klagomål mail.docx", "A 38119-2023")</f>
        <v/>
      </c>
      <c r="AC32">
        <f>HYPERLINK("https://klasma.github.io/Logging_0862/tillsyn/A 38119-2023 tillsynsbegäran.docx", "A 38119-2023")</f>
        <v/>
      </c>
      <c r="AD32">
        <f>HYPERLINK("https://klasma.github.io/Logging_0862/tillsynsmail/A 38119-2023 tillsynsbegäran mail.docx", "A 38119-2023")</f>
        <v/>
      </c>
    </row>
    <row r="33" ht="15" customHeight="1">
      <c r="A33" t="inlineStr">
        <is>
          <t>A 21846-2023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46284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21846-2023 artfynd.xlsx", "A 21846-2023")</f>
        <v/>
      </c>
      <c r="X33">
        <f>HYPERLINK("https://klasma.github.io/Logging_0862/kartor/A 21846-2023 karta.png", "A 21846-2023")</f>
        <v/>
      </c>
      <c r="Y33">
        <f>HYPERLINK("https://klasma.github.io/Logging_0862/kartor_geotiff/A 21846-2023 georefererad karta.tif", "A 21846-2023")</f>
        <v/>
      </c>
      <c r="AA33">
        <f>HYPERLINK("https://klasma.github.io/Logging_0862/klagomål/A 21846-2023 FSC-klagomål.docx", "A 21846-2023")</f>
        <v/>
      </c>
      <c r="AB33">
        <f>HYPERLINK("https://klasma.github.io/Logging_0862/klagomålsmail/A 21846-2023 FSC-klagomål mail.docx", "A 21846-2023")</f>
        <v/>
      </c>
      <c r="AC33">
        <f>HYPERLINK("https://klasma.github.io/Logging_0862/tillsyn/A 21846-2023 tillsynsbegäran.docx", "A 21846-2023")</f>
        <v/>
      </c>
      <c r="AD33">
        <f>HYPERLINK("https://klasma.github.io/Logging_0862/tillsynsmail/A 21846-2023 tillsynsbegäran mail.docx", "A 21846-2023")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46284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46284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53370-2023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46284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HYPERLINK("https://klasma.github.io/Logging_0862/artfynd/A 53370-2023 artfynd.xlsx", "A 53370-2023")</f>
        <v/>
      </c>
      <c r="X36">
        <f>HYPERLINK("https://klasma.github.io/Logging_0862/kartor/A 53370-2023 karta.png", "A 53370-2023")</f>
        <v/>
      </c>
      <c r="Y36">
        <f>HYPERLINK("https://klasma.github.io/Logging_0862/kartor_geotiff/A 53370-2023 georefererad karta.tif", "A 53370-2023")</f>
        <v/>
      </c>
      <c r="Z36">
        <f>HYPERLINK("https://klasma.github.io/Logging_0862/knärot/A 53370-2023 karta knärot.png", "A 53370-2023")</f>
        <v/>
      </c>
      <c r="AA36">
        <f>HYPERLINK("https://klasma.github.io/Logging_0862/klagomål/A 53370-2023 FSC-klagomål.docx", "A 53370-2023")</f>
        <v/>
      </c>
      <c r="AB36">
        <f>HYPERLINK("https://klasma.github.io/Logging_0862/klagomålsmail/A 53370-2023 FSC-klagomål mail.docx", "A 53370-2023")</f>
        <v/>
      </c>
      <c r="AC36">
        <f>HYPERLINK("https://klasma.github.io/Logging_0862/tillsyn/A 53370-2023 tillsynsbegäran.docx", "A 53370-2023")</f>
        <v/>
      </c>
      <c r="AD36">
        <f>HYPERLINK("https://klasma.github.io/Logging_0862/tillsynsmail/A 53370-2023 tillsynsbegäran mail.docx", "A 53370-2023")</f>
        <v/>
      </c>
    </row>
    <row r="37" ht="15" customHeight="1">
      <c r="A37" t="inlineStr">
        <is>
          <t>A 29859-2023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46284</v>
      </c>
      <c r="F37" t="inlineStr">
        <is>
          <t>KALMAR LÄN</t>
        </is>
      </c>
      <c r="G37" t="inlineStr">
        <is>
          <t>EMMABODA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HYPERLINK("https://klasma.github.io/Logging_0862/artfynd/A 29859-2023 artfynd.xlsx", "A 29859-2023")</f>
        <v/>
      </c>
      <c r="X37">
        <f>HYPERLINK("https://klasma.github.io/Logging_0862/kartor/A 29859-2023 karta.png", "A 29859-2023")</f>
        <v/>
      </c>
      <c r="Y37">
        <f>HYPERLINK("https://klasma.github.io/Logging_0862/kartor_geotiff/A 29859-2023 georefererad karta.tif", "A 29859-2023")</f>
        <v/>
      </c>
      <c r="AA37">
        <f>HYPERLINK("https://klasma.github.io/Logging_0862/klagomål/A 29859-2023 FSC-klagomål.docx", "A 29859-2023")</f>
        <v/>
      </c>
      <c r="AB37">
        <f>HYPERLINK("https://klasma.github.io/Logging_0862/klagomålsmail/A 29859-2023 FSC-klagomål mail.docx", "A 29859-2023")</f>
        <v/>
      </c>
      <c r="AC37">
        <f>HYPERLINK("https://klasma.github.io/Logging_0862/tillsyn/A 29859-2023 tillsynsbegäran.docx", "A 29859-2023")</f>
        <v/>
      </c>
      <c r="AD37">
        <f>HYPERLINK("https://klasma.github.io/Logging_0862/tillsynsmail/A 29859-2023 tillsynsbegäran mail.docx", "A 29859-2023")</f>
        <v/>
      </c>
      <c r="AE37">
        <f>HYPERLINK("https://klasma.github.io/Logging_0862/fåglar/A 29859-2023 prioriterade fågelarter.docx", "A 29859-2023")</f>
        <v/>
      </c>
    </row>
    <row r="38" ht="15" customHeight="1">
      <c r="A38" t="inlineStr">
        <is>
          <t>A 19763-2026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46284</v>
      </c>
      <c r="F38" t="inlineStr">
        <is>
          <t>KALMAR LÄN</t>
        </is>
      </c>
      <c r="G38" t="inlineStr">
        <is>
          <t>EMMABODA</t>
        </is>
      </c>
      <c r="H38" t="inlineStr">
        <is>
          <t>Sveaskog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HYPERLINK("https://klasma.github.io/Logging_0862/artfynd/A 19763-2026 artfynd.xlsx", "A 19763-2026")</f>
        <v/>
      </c>
      <c r="X38">
        <f>HYPERLINK("https://klasma.github.io/Logging_0862/kartor/A 19763-2026 karta.png", "A 19763-2026")</f>
        <v/>
      </c>
      <c r="Y38">
        <f>HYPERLINK("https://klasma.github.io/Logging_0862/kartor_geotiff/A 19763-2026 georefererad karta.tif", "A 19763-2026")</f>
        <v/>
      </c>
      <c r="AA38">
        <f>HYPERLINK("https://klasma.github.io/Logging_0862/klagomål/A 19763-2026 FSC-klagomål.docx", "A 19763-2026")</f>
        <v/>
      </c>
      <c r="AB38">
        <f>HYPERLINK("https://klasma.github.io/Logging_0862/klagomålsmail/A 19763-2026 FSC-klagomål mail.docx", "A 19763-2026")</f>
        <v/>
      </c>
      <c r="AC38">
        <f>HYPERLINK("https://klasma.github.io/Logging_0862/tillsyn/A 19763-2026 tillsynsbegäran.docx", "A 19763-2026")</f>
        <v/>
      </c>
      <c r="AD38">
        <f>HYPERLINK("https://klasma.github.io/Logging_0862/tillsynsmail/A 19763-2026 tillsynsbegäran mail.docx", "A 19763-2026")</f>
        <v/>
      </c>
    </row>
    <row r="39" ht="15" customHeight="1">
      <c r="A39" t="inlineStr">
        <is>
          <t>A 54981-2025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45967</v>
      </c>
      <c r="E39" s="1" t="n">
        <v>46284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HYPERLINK("https://klasma.github.io/Logging_0862/artfynd/A 54981-2025 artfynd.xlsx", "A 54981-2025")</f>
        <v/>
      </c>
      <c r="X39">
        <f>HYPERLINK("https://klasma.github.io/Logging_0862/kartor/A 54981-2025 karta.png", "A 54981-2025")</f>
        <v/>
      </c>
      <c r="Y39">
        <f>HYPERLINK("https://klasma.github.io/Logging_0862/kartor_geotiff/A 54981-2025 georefererad karta.tif", "A 54981-2025")</f>
        <v/>
      </c>
      <c r="AA39">
        <f>HYPERLINK("https://klasma.github.io/Logging_0862/klagomål/A 54981-2025 FSC-klagomål.docx", "A 54981-2025")</f>
        <v/>
      </c>
      <c r="AB39">
        <f>HYPERLINK("https://klasma.github.io/Logging_0862/klagomålsmail/A 54981-2025 FSC-klagomål mail.docx", "A 54981-2025")</f>
        <v/>
      </c>
      <c r="AC39">
        <f>HYPERLINK("https://klasma.github.io/Logging_0862/tillsyn/A 54981-2025 tillsynsbegäran.docx", "A 54981-2025")</f>
        <v/>
      </c>
      <c r="AD39">
        <f>HYPERLINK("https://klasma.github.io/Logging_0862/tillsynsmail/A 54981-2025 tillsynsbegäran mail.docx", "A 54981-2025")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46284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46284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46284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46284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46284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31261-2026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46284</v>
      </c>
      <c r="F45" t="inlineStr">
        <is>
          <t>KALMAR LÄN</t>
        </is>
      </c>
      <c r="G45" t="inlineStr">
        <is>
          <t>EMMABODA</t>
        </is>
      </c>
      <c r="I45" t="n">
        <v>5.7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Stubbspretmossa</t>
        </is>
      </c>
      <c r="W45">
        <f>HYPERLINK("https://klasma.github.io/Logging_0862/artfynd/A 31261-2026 artfynd.xlsx", "A 31261-2026")</f>
        <v/>
      </c>
      <c r="X45">
        <f>HYPERLINK("https://klasma.github.io/Logging_0862/kartor/A 31261-2026 karta.png", "A 31261-2026")</f>
        <v/>
      </c>
      <c r="Y45">
        <f>HYPERLINK("https://klasma.github.io/Logging_0862/kartor_geotiff/A 31261-2026 georefererad karta.tif", "A 31261-2026")</f>
        <v/>
      </c>
      <c r="AA45">
        <f>HYPERLINK("https://klasma.github.io/Logging_0862/klagomål/A 31261-2026 FSC-klagomål.docx", "A 31261-2026")</f>
        <v/>
      </c>
      <c r="AB45">
        <f>HYPERLINK("https://klasma.github.io/Logging_0862/klagomålsmail/A 31261-2026 FSC-klagomål mail.docx", "A 31261-2026")</f>
        <v/>
      </c>
      <c r="AC45">
        <f>HYPERLINK("https://klasma.github.io/Logging_0862/tillsyn/A 31261-2026 tillsynsbegäran.docx", "A 31261-2026")</f>
        <v/>
      </c>
      <c r="AD45">
        <f>HYPERLINK("https://klasma.github.io/Logging_0862/tillsynsmail/A 31261-2026 tillsynsbegäran mail.docx", "A 31261-2026")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46284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46284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A 38379-2026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46282</v>
      </c>
      <c r="E48" s="1" t="n">
        <v>46284</v>
      </c>
      <c r="F48" t="inlineStr">
        <is>
          <t>KALMAR LÄN</t>
        </is>
      </c>
      <c r="G48" t="inlineStr">
        <is>
          <t>EMMABODA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HYPERLINK("https://klasma.github.io/Logging_0862/artfynd/A 38379-2026 artfynd.xlsx", "A 38379-2026")</f>
        <v/>
      </c>
      <c r="X48">
        <f>HYPERLINK("https://klasma.github.io/Logging_0862/kartor/A 38379-2026 karta.png", "A 38379-2026")</f>
        <v/>
      </c>
      <c r="Y48">
        <f>HYPERLINK("https://klasma.github.io/Logging_0862/kartor_geotiff/A 38379-2026 georefererad karta.tif", "A 38379-2026")</f>
        <v/>
      </c>
      <c r="AA48">
        <f>HYPERLINK("https://klasma.github.io/Logging_0862/klagomål/A 38379-2026 FSC-klagomål.docx", "A 38379-2026")</f>
        <v/>
      </c>
      <c r="AB48">
        <f>HYPERLINK("https://klasma.github.io/Logging_0862/klagomålsmail/A 38379-2026 FSC-klagomål mail.docx", "A 38379-2026")</f>
        <v/>
      </c>
      <c r="AC48">
        <f>HYPERLINK("https://klasma.github.io/Logging_0862/tillsyn/A 38379-2026 tillsynsbegäran.docx", "A 38379-2026")</f>
        <v/>
      </c>
      <c r="AD48">
        <f>HYPERLINK("https://klasma.github.io/Logging_0862/tillsynsmail/A 38379-2026 tillsynsbegäran mail.docx", "A 38379-2026")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46284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46284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46284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46284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46284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46284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46284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46284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46284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46284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46284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46284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46284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46284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46284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46284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46284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46284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46284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44490</v>
      </c>
      <c r="E68" s="1" t="n">
        <v>46284</v>
      </c>
      <c r="F68" t="inlineStr">
        <is>
          <t>KALMAR LÄN</t>
        </is>
      </c>
      <c r="G68" t="inlineStr">
        <is>
          <t>EMMABODA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46284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46284</v>
      </c>
      <c r="F70" t="inlineStr">
        <is>
          <t>KALMAR LÄN</t>
        </is>
      </c>
      <c r="G70" t="inlineStr">
        <is>
          <t>EMMABODA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46284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46284</v>
      </c>
      <c r="F72" t="inlineStr">
        <is>
          <t>KALMAR LÄN</t>
        </is>
      </c>
      <c r="G72" t="inlineStr">
        <is>
          <t>EMMABODA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46284</v>
      </c>
      <c r="F73" t="inlineStr">
        <is>
          <t>KALMAR LÄN</t>
        </is>
      </c>
      <c r="G73" t="inlineStr">
        <is>
          <t>EMMABODA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46284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46284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46284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46284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46284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46284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46284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46284</v>
      </c>
      <c r="F81" t="inlineStr">
        <is>
          <t>KALMAR LÄN</t>
        </is>
      </c>
      <c r="G81" t="inlineStr">
        <is>
          <t>EMMABODA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46284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46284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67184-2021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46284</v>
      </c>
      <c r="F84" t="inlineStr">
        <is>
          <t>KALMAR LÄN</t>
        </is>
      </c>
      <c r="G84" t="inlineStr">
        <is>
          <t>EMMABODA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46284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44788</v>
      </c>
      <c r="E86" s="1" t="n">
        <v>46284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46284</v>
      </c>
      <c r="F87" t="inlineStr">
        <is>
          <t>KALMAR LÄN</t>
        </is>
      </c>
      <c r="G87" t="inlineStr">
        <is>
          <t>EMMABODA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46284</v>
      </c>
      <c r="F88" t="inlineStr">
        <is>
          <t>KALMAR LÄN</t>
        </is>
      </c>
      <c r="G88" t="inlineStr">
        <is>
          <t>EMMABODA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46284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44768</v>
      </c>
      <c r="E90" s="1" t="n">
        <v>46284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46284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46284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46284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46284</v>
      </c>
      <c r="F94" t="inlineStr">
        <is>
          <t>KALMAR LÄN</t>
        </is>
      </c>
      <c r="G94" t="inlineStr">
        <is>
          <t>EMMABODA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46284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46284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46284</v>
      </c>
      <c r="F97" t="inlineStr">
        <is>
          <t>KALMAR LÄN</t>
        </is>
      </c>
      <c r="G97" t="inlineStr">
        <is>
          <t>EMMABODA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46284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46284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46284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46284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46284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46284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46284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46284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46284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46284</v>
      </c>
      <c r="F107" t="inlineStr">
        <is>
          <t>KALMAR LÄN</t>
        </is>
      </c>
      <c r="G107" t="inlineStr">
        <is>
          <t>EMMABODA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46284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46284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46284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46284</v>
      </c>
      <c r="F111" t="inlineStr">
        <is>
          <t>KALMAR LÄN</t>
        </is>
      </c>
      <c r="G111" t="inlineStr">
        <is>
          <t>EMMABODA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46284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46284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46284</v>
      </c>
      <c r="F114" t="inlineStr">
        <is>
          <t>KALMAR LÄN</t>
        </is>
      </c>
      <c r="G114" t="inlineStr">
        <is>
          <t>EMMABODA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46284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44470</v>
      </c>
      <c r="E116" s="1" t="n">
        <v>46284</v>
      </c>
      <c r="F116" t="inlineStr">
        <is>
          <t>KALMAR LÄN</t>
        </is>
      </c>
      <c r="G116" t="inlineStr">
        <is>
          <t>EMMABODA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46284</v>
      </c>
      <c r="F117" t="inlineStr">
        <is>
          <t>KALMAR LÄN</t>
        </is>
      </c>
      <c r="G117" t="inlineStr">
        <is>
          <t>EMMABODA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46284</v>
      </c>
      <c r="F118" t="inlineStr">
        <is>
          <t>KALMAR LÄN</t>
        </is>
      </c>
      <c r="G118" t="inlineStr">
        <is>
          <t>EMMABODA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46284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46284</v>
      </c>
      <c r="F120" t="inlineStr">
        <is>
          <t>KALMAR LÄN</t>
        </is>
      </c>
      <c r="G120" t="inlineStr">
        <is>
          <t>EMMABODA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46284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46284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46284</v>
      </c>
      <c r="F123" t="inlineStr">
        <is>
          <t>KALMAR LÄN</t>
        </is>
      </c>
      <c r="G123" t="inlineStr">
        <is>
          <t>EMMABODA</t>
        </is>
      </c>
      <c r="H123" t="inlineStr">
        <is>
          <t>Kommuner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44589</v>
      </c>
      <c r="E124" s="1" t="n">
        <v>46284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46284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46284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46284</v>
      </c>
      <c r="F127" t="inlineStr">
        <is>
          <t>KALMAR LÄN</t>
        </is>
      </c>
      <c r="G127" t="inlineStr">
        <is>
          <t>EMMABODA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46284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46284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44530</v>
      </c>
      <c r="E130" s="1" t="n">
        <v>46284</v>
      </c>
      <c r="F130" t="inlineStr">
        <is>
          <t>KALMAR LÄN</t>
        </is>
      </c>
      <c r="G130" t="inlineStr">
        <is>
          <t>EMMABODA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46284</v>
      </c>
      <c r="F131" t="inlineStr">
        <is>
          <t>KALMAR LÄN</t>
        </is>
      </c>
      <c r="G131" t="inlineStr">
        <is>
          <t>EMMABODA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44788</v>
      </c>
      <c r="E132" s="1" t="n">
        <v>46284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45397</v>
      </c>
      <c r="E133" s="1" t="n">
        <v>46284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46284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46284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46284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45089</v>
      </c>
      <c r="E137" s="1" t="n">
        <v>46284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46284</v>
      </c>
      <c r="F138" t="inlineStr">
        <is>
          <t>KALMAR LÄN</t>
        </is>
      </c>
      <c r="G138" t="inlineStr">
        <is>
          <t>EMMABODA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46284</v>
      </c>
      <c r="F139" t="inlineStr">
        <is>
          <t>KALMAR LÄN</t>
        </is>
      </c>
      <c r="G139" t="inlineStr">
        <is>
          <t>EMMABODA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46284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46284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46284</v>
      </c>
      <c r="F142" t="inlineStr">
        <is>
          <t>KALMAR LÄN</t>
        </is>
      </c>
      <c r="G142" t="inlineStr">
        <is>
          <t>EMMABODA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46284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45606</v>
      </c>
      <c r="E144" s="1" t="n">
        <v>46284</v>
      </c>
      <c r="F144" t="inlineStr">
        <is>
          <t>KALMAR LÄN</t>
        </is>
      </c>
      <c r="G144" t="inlineStr">
        <is>
          <t>EMMABODA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46284</v>
      </c>
      <c r="F145" t="inlineStr">
        <is>
          <t>KALMAR LÄN</t>
        </is>
      </c>
      <c r="G145" t="inlineStr">
        <is>
          <t>EMMABODA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46284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46284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46284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46284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46284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46284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46284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45219</v>
      </c>
      <c r="E153" s="1" t="n">
        <v>46284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46284</v>
      </c>
      <c r="F154" t="inlineStr">
        <is>
          <t>KALMAR LÄN</t>
        </is>
      </c>
      <c r="G154" t="inlineStr">
        <is>
          <t>EMMABODA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45445</v>
      </c>
      <c r="E155" s="1" t="n">
        <v>46284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46284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46284</v>
      </c>
      <c r="F157" t="inlineStr">
        <is>
          <t>KALMAR LÄN</t>
        </is>
      </c>
      <c r="G157" t="inlineStr">
        <is>
          <t>EMMABODA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46284</v>
      </c>
      <c r="F158" t="inlineStr">
        <is>
          <t>KALMAR LÄN</t>
        </is>
      </c>
      <c r="G158" t="inlineStr">
        <is>
          <t>EMMABODA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46284</v>
      </c>
      <c r="F159" t="inlineStr">
        <is>
          <t>KALMAR LÄN</t>
        </is>
      </c>
      <c r="G159" t="inlineStr">
        <is>
          <t>EMMABODA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46284</v>
      </c>
      <c r="F160" t="inlineStr">
        <is>
          <t>KALMAR LÄN</t>
        </is>
      </c>
      <c r="G160" t="inlineStr">
        <is>
          <t>EMMABODA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46284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46284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66658-2021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46284</v>
      </c>
      <c r="F163" t="inlineStr">
        <is>
          <t>KALMAR LÄN</t>
        </is>
      </c>
      <c r="G163" t="inlineStr">
        <is>
          <t>EMMABODA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46284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46284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46284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46284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46284</v>
      </c>
      <c r="F168" t="inlineStr">
        <is>
          <t>KALMAR LÄN</t>
        </is>
      </c>
      <c r="G168" t="inlineStr">
        <is>
          <t>EMMABODA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44683</v>
      </c>
      <c r="E169" s="1" t="n">
        <v>46284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46284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46284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45665</v>
      </c>
      <c r="E172" s="1" t="n">
        <v>46284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46284</v>
      </c>
      <c r="F173" t="inlineStr">
        <is>
          <t>KALMAR LÄN</t>
        </is>
      </c>
      <c r="G173" t="inlineStr">
        <is>
          <t>EMMABODA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46284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46284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46284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46284</v>
      </c>
      <c r="F177" t="inlineStr">
        <is>
          <t>KALMAR LÄN</t>
        </is>
      </c>
      <c r="G177" t="inlineStr">
        <is>
          <t>EMMABODA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46284</v>
      </c>
      <c r="F178" t="inlineStr">
        <is>
          <t>KALMAR LÄN</t>
        </is>
      </c>
      <c r="G178" t="inlineStr">
        <is>
          <t>EMMABODA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46284</v>
      </c>
      <c r="F179" t="inlineStr">
        <is>
          <t>KALMAR LÄN</t>
        </is>
      </c>
      <c r="G179" t="inlineStr">
        <is>
          <t>EMMABODA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46284</v>
      </c>
      <c r="F180" t="inlineStr">
        <is>
          <t>KALMAR LÄN</t>
        </is>
      </c>
      <c r="G180" t="inlineStr">
        <is>
          <t>EMMABODA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45606</v>
      </c>
      <c r="E181" s="1" t="n">
        <v>46284</v>
      </c>
      <c r="F181" t="inlineStr">
        <is>
          <t>KALMAR LÄN</t>
        </is>
      </c>
      <c r="G181" t="inlineStr">
        <is>
          <t>EMMABODA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46284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46284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46284</v>
      </c>
      <c r="F184" t="inlineStr">
        <is>
          <t>KALMAR LÄN</t>
        </is>
      </c>
      <c r="G184" t="inlineStr">
        <is>
          <t>EMMABODA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46284</v>
      </c>
      <c r="F185" t="inlineStr">
        <is>
          <t>KALMAR LÄN</t>
        </is>
      </c>
      <c r="G185" t="inlineStr">
        <is>
          <t>EMMABODA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46284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44834</v>
      </c>
      <c r="E187" s="1" t="n">
        <v>46284</v>
      </c>
      <c r="F187" t="inlineStr">
        <is>
          <t>KALMAR LÄN</t>
        </is>
      </c>
      <c r="G187" t="inlineStr">
        <is>
          <t>EMMABODA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44791</v>
      </c>
      <c r="E188" s="1" t="n">
        <v>46284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45369</v>
      </c>
      <c r="E189" s="1" t="n">
        <v>46284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44982</v>
      </c>
      <c r="E190" s="1" t="n">
        <v>46284</v>
      </c>
      <c r="F190" t="inlineStr">
        <is>
          <t>KALMAR LÄN</t>
        </is>
      </c>
      <c r="G190" t="inlineStr">
        <is>
          <t>EMMABODA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44783</v>
      </c>
      <c r="E191" s="1" t="n">
        <v>46284</v>
      </c>
      <c r="F191" t="inlineStr">
        <is>
          <t>KALMAR LÄN</t>
        </is>
      </c>
      <c r="G191" t="inlineStr">
        <is>
          <t>EMMABODA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46284</v>
      </c>
      <c r="F192" t="inlineStr">
        <is>
          <t>KALMAR LÄN</t>
        </is>
      </c>
      <c r="G192" t="inlineStr">
        <is>
          <t>EMMABODA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46284</v>
      </c>
      <c r="F193" t="inlineStr">
        <is>
          <t>KALMAR LÄN</t>
        </is>
      </c>
      <c r="G193" t="inlineStr">
        <is>
          <t>EMMABODA</t>
        </is>
      </c>
      <c r="H193" t="inlineStr">
        <is>
          <t>Kommuner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46284</v>
      </c>
      <c r="F194" t="inlineStr">
        <is>
          <t>KALMAR LÄN</t>
        </is>
      </c>
      <c r="G194" t="inlineStr">
        <is>
          <t>EMMABODA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46284</v>
      </c>
      <c r="F195" t="inlineStr">
        <is>
          <t>KALMAR LÄN</t>
        </is>
      </c>
      <c r="G195" t="inlineStr">
        <is>
          <t>EMMABODA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45415</v>
      </c>
      <c r="E196" s="1" t="n">
        <v>46284</v>
      </c>
      <c r="F196" t="inlineStr">
        <is>
          <t>KALMAR LÄN</t>
        </is>
      </c>
      <c r="G196" t="inlineStr">
        <is>
          <t>EMMABODA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46284</v>
      </c>
      <c r="F197" t="inlineStr">
        <is>
          <t>KALMAR LÄN</t>
        </is>
      </c>
      <c r="G197" t="inlineStr">
        <is>
          <t>EMMABODA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46284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46284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46284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45475</v>
      </c>
      <c r="E201" s="1" t="n">
        <v>46284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46284</v>
      </c>
      <c r="F202" t="inlineStr">
        <is>
          <t>KALMAR LÄN</t>
        </is>
      </c>
      <c r="G202" t="inlineStr">
        <is>
          <t>EMMABODA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45037</v>
      </c>
      <c r="E203" s="1" t="n">
        <v>46284</v>
      </c>
      <c r="F203" t="inlineStr">
        <is>
          <t>KALMAR LÄN</t>
        </is>
      </c>
      <c r="G203" t="inlineStr">
        <is>
          <t>EMMABODA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44690</v>
      </c>
      <c r="E204" s="1" t="n">
        <v>46284</v>
      </c>
      <c r="F204" t="inlineStr">
        <is>
          <t>KALMAR LÄN</t>
        </is>
      </c>
      <c r="G204" t="inlineStr">
        <is>
          <t>EMMABODA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46284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45641</v>
      </c>
      <c r="E206" s="1" t="n">
        <v>46284</v>
      </c>
      <c r="F206" t="inlineStr">
        <is>
          <t>KALMAR LÄN</t>
        </is>
      </c>
      <c r="G206" t="inlineStr">
        <is>
          <t>EMMABODA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46284</v>
      </c>
      <c r="F207" t="inlineStr">
        <is>
          <t>KALMAR LÄN</t>
        </is>
      </c>
      <c r="G207" t="inlineStr">
        <is>
          <t>EMMABODA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62733-2021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44504</v>
      </c>
      <c r="E208" s="1" t="n">
        <v>46284</v>
      </c>
      <c r="F208" t="inlineStr">
        <is>
          <t>KALMAR LÄN</t>
        </is>
      </c>
      <c r="G208" t="inlineStr">
        <is>
          <t>EMMABODA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45126</v>
      </c>
      <c r="E209" s="1" t="n">
        <v>46284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45126</v>
      </c>
      <c r="E210" s="1" t="n">
        <v>46284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35522-2022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44799</v>
      </c>
      <c r="E211" s="1" t="n">
        <v>46284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37060-2023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45155</v>
      </c>
      <c r="E212" s="1" t="n">
        <v>46284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46284</v>
      </c>
      <c r="F213" t="inlineStr">
        <is>
          <t>KALMAR LÄN</t>
        </is>
      </c>
      <c r="G213" t="inlineStr">
        <is>
          <t>EMMABODA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44852</v>
      </c>
      <c r="E214" s="1" t="n">
        <v>46284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46284</v>
      </c>
      <c r="F215" t="inlineStr">
        <is>
          <t>KALMAR LÄN</t>
        </is>
      </c>
      <c r="G215" t="inlineStr">
        <is>
          <t>EMMABODA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46284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45067</v>
      </c>
      <c r="E217" s="1" t="n">
        <v>46284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46284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46284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44729</v>
      </c>
      <c r="E220" s="1" t="n">
        <v>46284</v>
      </c>
      <c r="F220" t="inlineStr">
        <is>
          <t>KALMAR LÄN</t>
        </is>
      </c>
      <c r="G220" t="inlineStr">
        <is>
          <t>EMMABODA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46284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63180-2021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44507</v>
      </c>
      <c r="E222" s="1" t="n">
        <v>46284</v>
      </c>
      <c r="F222" t="inlineStr">
        <is>
          <t>KALMAR LÄN</t>
        </is>
      </c>
      <c r="G222" t="inlineStr">
        <is>
          <t>EMMABODA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46284</v>
      </c>
      <c r="F223" t="inlineStr">
        <is>
          <t>KALMAR LÄN</t>
        </is>
      </c>
      <c r="G223" t="inlineStr">
        <is>
          <t>EMMABODA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45434</v>
      </c>
      <c r="E224" s="1" t="n">
        <v>46284</v>
      </c>
      <c r="F224" t="inlineStr">
        <is>
          <t>KALMAR LÄN</t>
        </is>
      </c>
      <c r="G224" t="inlineStr">
        <is>
          <t>EMMABODA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46284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46284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46284</v>
      </c>
      <c r="F227" t="inlineStr">
        <is>
          <t>KALMAR LÄN</t>
        </is>
      </c>
      <c r="G227" t="inlineStr">
        <is>
          <t>EMMABODA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44619</v>
      </c>
      <c r="E228" s="1" t="n">
        <v>46284</v>
      </c>
      <c r="F228" t="inlineStr">
        <is>
          <t>KALMAR LÄN</t>
        </is>
      </c>
      <c r="G228" t="inlineStr">
        <is>
          <t>EMMABODA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45036</v>
      </c>
      <c r="E229" s="1" t="n">
        <v>46284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46284</v>
      </c>
      <c r="F230" t="inlineStr">
        <is>
          <t>KALMAR LÄN</t>
        </is>
      </c>
      <c r="G230" t="inlineStr">
        <is>
          <t>EMMABODA</t>
        </is>
      </c>
      <c r="H230" t="inlineStr">
        <is>
          <t>Kommuner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53252-2023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46284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46284</v>
      </c>
      <c r="F232" t="inlineStr">
        <is>
          <t>KALMAR LÄN</t>
        </is>
      </c>
      <c r="G232" t="inlineStr">
        <is>
          <t>EMMABODA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46284</v>
      </c>
      <c r="F233" t="inlineStr">
        <is>
          <t>KALMAR LÄN</t>
        </is>
      </c>
      <c r="G233" t="inlineStr">
        <is>
          <t>EMMABODA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46284</v>
      </c>
      <c r="F234" t="inlineStr">
        <is>
          <t>KALMAR LÄN</t>
        </is>
      </c>
      <c r="G234" t="inlineStr">
        <is>
          <t>EMMABODA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46284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66662-2021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44519</v>
      </c>
      <c r="E236" s="1" t="n">
        <v>46284</v>
      </c>
      <c r="F236" t="inlineStr">
        <is>
          <t>KALMAR LÄN</t>
        </is>
      </c>
      <c r="G236" t="inlineStr">
        <is>
          <t>EMMABODA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44839</v>
      </c>
      <c r="E237" s="1" t="n">
        <v>46284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46284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45102</v>
      </c>
      <c r="E239" s="1" t="n">
        <v>46284</v>
      </c>
      <c r="F239" t="inlineStr">
        <is>
          <t>KALMAR LÄN</t>
        </is>
      </c>
      <c r="G239" t="inlineStr">
        <is>
          <t>EMMABODA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45102</v>
      </c>
      <c r="E240" s="1" t="n">
        <v>46284</v>
      </c>
      <c r="F240" t="inlineStr">
        <is>
          <t>KALMAR LÄN</t>
        </is>
      </c>
      <c r="G240" t="inlineStr">
        <is>
          <t>EMMABODA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46284</v>
      </c>
      <c r="F241" t="inlineStr">
        <is>
          <t>KALMAR LÄN</t>
        </is>
      </c>
      <c r="G241" t="inlineStr">
        <is>
          <t>EMMABODA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44979</v>
      </c>
      <c r="E242" s="1" t="n">
        <v>46284</v>
      </c>
      <c r="F242" t="inlineStr">
        <is>
          <t>KALMAR LÄN</t>
        </is>
      </c>
      <c r="G242" t="inlineStr">
        <is>
          <t>EMMABODA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45716</v>
      </c>
      <c r="E243" s="1" t="n">
        <v>46284</v>
      </c>
      <c r="F243" t="inlineStr">
        <is>
          <t>KALMAR LÄN</t>
        </is>
      </c>
      <c r="G243" t="inlineStr">
        <is>
          <t>EMMABODA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46284</v>
      </c>
      <c r="F244" t="inlineStr">
        <is>
          <t>KALMAR LÄN</t>
        </is>
      </c>
      <c r="G244" t="inlineStr">
        <is>
          <t>EMMABODA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46284</v>
      </c>
      <c r="F245" t="inlineStr">
        <is>
          <t>KALMAR LÄN</t>
        </is>
      </c>
      <c r="G245" t="inlineStr">
        <is>
          <t>EMMABODA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45401</v>
      </c>
      <c r="E246" s="1" t="n">
        <v>46284</v>
      </c>
      <c r="F246" t="inlineStr">
        <is>
          <t>KALMAR LÄN</t>
        </is>
      </c>
      <c r="G246" t="inlineStr">
        <is>
          <t>EMMABODA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46284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46284</v>
      </c>
      <c r="F248" t="inlineStr">
        <is>
          <t>KALMAR LÄN</t>
        </is>
      </c>
      <c r="G248" t="inlineStr">
        <is>
          <t>EMMABODA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46284</v>
      </c>
      <c r="F249" t="inlineStr">
        <is>
          <t>KALMAR LÄN</t>
        </is>
      </c>
      <c r="G249" t="inlineStr">
        <is>
          <t>EMMABODA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46284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46284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46284</v>
      </c>
      <c r="F252" t="inlineStr">
        <is>
          <t>KALMAR LÄN</t>
        </is>
      </c>
      <c r="G252" t="inlineStr">
        <is>
          <t>EMMABODA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54085-2024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46284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46284</v>
      </c>
      <c r="F254" t="inlineStr">
        <is>
          <t>KALMAR LÄN</t>
        </is>
      </c>
      <c r="G254" t="inlineStr">
        <is>
          <t>EMMABODA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46284</v>
      </c>
      <c r="F255" t="inlineStr">
        <is>
          <t>KALMAR LÄN</t>
        </is>
      </c>
      <c r="G255" t="inlineStr">
        <is>
          <t>EMMABODA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46284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46284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46284</v>
      </c>
      <c r="F258" t="inlineStr">
        <is>
          <t>KALMAR LÄN</t>
        </is>
      </c>
      <c r="G258" t="inlineStr">
        <is>
          <t>EMMABODA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46284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46284</v>
      </c>
      <c r="F260" t="inlineStr">
        <is>
          <t>KALMAR LÄN</t>
        </is>
      </c>
      <c r="G260" t="inlineStr">
        <is>
          <t>EMMABODA</t>
        </is>
      </c>
      <c r="H260" t="inlineStr">
        <is>
          <t>Övriga Aktiebolag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38873-2025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46284</v>
      </c>
      <c r="F261" t="inlineStr">
        <is>
          <t>KALMAR LÄN</t>
        </is>
      </c>
      <c r="G261" t="inlineStr">
        <is>
          <t>EMMABODA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46284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46284</v>
      </c>
      <c r="F263" t="inlineStr">
        <is>
          <t>KALMAR LÄN</t>
        </is>
      </c>
      <c r="G263" t="inlineStr">
        <is>
          <t>EMMABODA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45401</v>
      </c>
      <c r="E264" s="1" t="n">
        <v>46284</v>
      </c>
      <c r="F264" t="inlineStr">
        <is>
          <t>KALMAR LÄN</t>
        </is>
      </c>
      <c r="G264" t="inlineStr">
        <is>
          <t>EMMABODA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46284</v>
      </c>
      <c r="F265" t="inlineStr">
        <is>
          <t>KALMAR LÄN</t>
        </is>
      </c>
      <c r="G265" t="inlineStr">
        <is>
          <t>EMMABODA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46284</v>
      </c>
      <c r="F266" t="inlineStr">
        <is>
          <t>KALMAR LÄN</t>
        </is>
      </c>
      <c r="G266" t="inlineStr">
        <is>
          <t>EMMABODA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46284</v>
      </c>
      <c r="F267" t="inlineStr">
        <is>
          <t>KALMAR LÄN</t>
        </is>
      </c>
      <c r="G267" t="inlineStr">
        <is>
          <t>EMMABODA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46284</v>
      </c>
      <c r="F268" t="inlineStr">
        <is>
          <t>KALMAR LÄN</t>
        </is>
      </c>
      <c r="G268" t="inlineStr">
        <is>
          <t>EMMABODA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46284</v>
      </c>
      <c r="F269" t="inlineStr">
        <is>
          <t>KALMAR LÄN</t>
        </is>
      </c>
      <c r="G269" t="inlineStr">
        <is>
          <t>EMMABODA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46284</v>
      </c>
      <c r="F270" t="inlineStr">
        <is>
          <t>KALMAR LÄN</t>
        </is>
      </c>
      <c r="G270" t="inlineStr">
        <is>
          <t>EMMABODA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44683</v>
      </c>
      <c r="E271" s="1" t="n">
        <v>46284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46284</v>
      </c>
      <c r="F272" t="inlineStr">
        <is>
          <t>KALMAR LÄN</t>
        </is>
      </c>
      <c r="G272" t="inlineStr">
        <is>
          <t>EMMABODA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46284</v>
      </c>
      <c r="F273" t="inlineStr">
        <is>
          <t>KALMAR LÄN</t>
        </is>
      </c>
      <c r="G273" t="inlineStr">
        <is>
          <t>EMMABODA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46284</v>
      </c>
      <c r="F274" t="inlineStr">
        <is>
          <t>KALMAR LÄN</t>
        </is>
      </c>
      <c r="G274" t="inlineStr">
        <is>
          <t>EMMABODA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46284</v>
      </c>
      <c r="F275" t="inlineStr">
        <is>
          <t>KALMAR LÄN</t>
        </is>
      </c>
      <c r="G275" t="inlineStr">
        <is>
          <t>EMMABODA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45349</v>
      </c>
      <c r="E276" s="1" t="n">
        <v>46284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46284</v>
      </c>
      <c r="F277" t="inlineStr">
        <is>
          <t>KALMAR LÄN</t>
        </is>
      </c>
      <c r="G277" t="inlineStr">
        <is>
          <t>EMMABODA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46284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46284</v>
      </c>
      <c r="F279" t="inlineStr">
        <is>
          <t>KALMAR LÄN</t>
        </is>
      </c>
      <c r="G279" t="inlineStr">
        <is>
          <t>EMMABODA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67543-2021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46284</v>
      </c>
      <c r="F280" t="inlineStr">
        <is>
          <t>KALMAR LÄN</t>
        </is>
      </c>
      <c r="G280" t="inlineStr">
        <is>
          <t>EMMABODA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46284</v>
      </c>
      <c r="F281" t="inlineStr">
        <is>
          <t>KALMAR LÄN</t>
        </is>
      </c>
      <c r="G281" t="inlineStr">
        <is>
          <t>EMMABODA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46284</v>
      </c>
      <c r="F282" t="inlineStr">
        <is>
          <t>KALMAR LÄN</t>
        </is>
      </c>
      <c r="G282" t="inlineStr">
        <is>
          <t>EMMABODA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46284</v>
      </c>
      <c r="F283" t="inlineStr">
        <is>
          <t>KALMAR LÄN</t>
        </is>
      </c>
      <c r="G283" t="inlineStr">
        <is>
          <t>EMMABODA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46284</v>
      </c>
      <c r="F284" t="inlineStr">
        <is>
          <t>KALMAR LÄN</t>
        </is>
      </c>
      <c r="G284" t="inlineStr">
        <is>
          <t>EMMABODA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46284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46284</v>
      </c>
      <c r="F286" t="inlineStr">
        <is>
          <t>KALMAR LÄN</t>
        </is>
      </c>
      <c r="G286" t="inlineStr">
        <is>
          <t>EMMABODA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46284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46284</v>
      </c>
      <c r="F288" t="inlineStr">
        <is>
          <t>KALMAR LÄN</t>
        </is>
      </c>
      <c r="G288" t="inlineStr">
        <is>
          <t>EMMABODA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46284</v>
      </c>
      <c r="F289" t="inlineStr">
        <is>
          <t>KALMAR LÄN</t>
        </is>
      </c>
      <c r="G289" t="inlineStr">
        <is>
          <t>EMMABODA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46284</v>
      </c>
      <c r="F290" t="inlineStr">
        <is>
          <t>KALMAR LÄN</t>
        </is>
      </c>
      <c r="G290" t="inlineStr">
        <is>
          <t>EMMABODA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46284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45976</v>
      </c>
      <c r="E292" s="1" t="n">
        <v>46284</v>
      </c>
      <c r="F292" t="inlineStr">
        <is>
          <t>KALMAR LÄN</t>
        </is>
      </c>
      <c r="G292" t="inlineStr">
        <is>
          <t>EMMABODA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46284</v>
      </c>
      <c r="F293" t="inlineStr">
        <is>
          <t>KALMAR LÄN</t>
        </is>
      </c>
      <c r="G293" t="inlineStr">
        <is>
          <t>EMMABODA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46284</v>
      </c>
      <c r="F294" t="inlineStr">
        <is>
          <t>KALMAR LÄN</t>
        </is>
      </c>
      <c r="G294" t="inlineStr">
        <is>
          <t>EMMABODA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46284</v>
      </c>
      <c r="F295" t="inlineStr">
        <is>
          <t>KALMAR LÄN</t>
        </is>
      </c>
      <c r="G295" t="inlineStr">
        <is>
          <t>EMMABODA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46284</v>
      </c>
      <c r="F296" t="inlineStr">
        <is>
          <t>KALMAR LÄN</t>
        </is>
      </c>
      <c r="G296" t="inlineStr">
        <is>
          <t>EMMABODA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45335</v>
      </c>
      <c r="E297" s="1" t="n">
        <v>46284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45335</v>
      </c>
      <c r="E298" s="1" t="n">
        <v>46284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45200</v>
      </c>
      <c r="E299" s="1" t="n">
        <v>46284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45976</v>
      </c>
      <c r="E300" s="1" t="n">
        <v>46284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46284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46284</v>
      </c>
      <c r="F302" t="inlineStr">
        <is>
          <t>KALMAR LÄN</t>
        </is>
      </c>
      <c r="G302" t="inlineStr">
        <is>
          <t>EMMABODA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46284</v>
      </c>
      <c r="F303" t="inlineStr">
        <is>
          <t>KALMAR LÄN</t>
        </is>
      </c>
      <c r="G303" t="inlineStr">
        <is>
          <t>EMMABODA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44944</v>
      </c>
      <c r="E304" s="1" t="n">
        <v>46284</v>
      </c>
      <c r="F304" t="inlineStr">
        <is>
          <t>KALMAR LÄN</t>
        </is>
      </c>
      <c r="G304" t="inlineStr">
        <is>
          <t>EMMABODA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45921</v>
      </c>
      <c r="E305" s="1" t="n">
        <v>46284</v>
      </c>
      <c r="F305" t="inlineStr">
        <is>
          <t>KALMAR LÄN</t>
        </is>
      </c>
      <c r="G305" t="inlineStr">
        <is>
          <t>EMMABODA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45370</v>
      </c>
      <c r="E306" s="1" t="n">
        <v>46284</v>
      </c>
      <c r="F306" t="inlineStr">
        <is>
          <t>KALMAR LÄN</t>
        </is>
      </c>
      <c r="G306" t="inlineStr">
        <is>
          <t>EMMABODA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46284</v>
      </c>
      <c r="F307" t="inlineStr">
        <is>
          <t>KALMAR LÄN</t>
        </is>
      </c>
      <c r="G307" t="inlineStr">
        <is>
          <t>EMMABODA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46284</v>
      </c>
      <c r="F308" t="inlineStr">
        <is>
          <t>KALMAR LÄN</t>
        </is>
      </c>
      <c r="G308" t="inlineStr">
        <is>
          <t>EMMABODA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46284</v>
      </c>
      <c r="F309" t="inlineStr">
        <is>
          <t>KALMAR LÄN</t>
        </is>
      </c>
      <c r="G309" t="inlineStr">
        <is>
          <t>EMMABODA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46284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46284</v>
      </c>
      <c r="F311" t="inlineStr">
        <is>
          <t>KALMAR LÄN</t>
        </is>
      </c>
      <c r="G311" t="inlineStr">
        <is>
          <t>EMMABODA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46284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44781</v>
      </c>
      <c r="E313" s="1" t="n">
        <v>46284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45466</v>
      </c>
      <c r="E314" s="1" t="n">
        <v>46284</v>
      </c>
      <c r="F314" t="inlineStr">
        <is>
          <t>KALMAR LÄN</t>
        </is>
      </c>
      <c r="G314" t="inlineStr">
        <is>
          <t>EMMABODA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46284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46284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46284</v>
      </c>
      <c r="F317" t="inlineStr">
        <is>
          <t>KALMAR LÄN</t>
        </is>
      </c>
      <c r="G317" t="inlineStr">
        <is>
          <t>EMMABODA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46284</v>
      </c>
      <c r="F318" t="inlineStr">
        <is>
          <t>KALMAR LÄN</t>
        </is>
      </c>
      <c r="G318" t="inlineStr">
        <is>
          <t>EMMABODA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46284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46284</v>
      </c>
      <c r="F320" t="inlineStr">
        <is>
          <t>KALMAR LÄN</t>
        </is>
      </c>
      <c r="G320" t="inlineStr">
        <is>
          <t>EMMABODA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46284</v>
      </c>
      <c r="F321" t="inlineStr">
        <is>
          <t>KALMAR LÄN</t>
        </is>
      </c>
      <c r="G321" t="inlineStr">
        <is>
          <t>EMMABODA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46284</v>
      </c>
      <c r="F322" t="inlineStr">
        <is>
          <t>KALMAR LÄN</t>
        </is>
      </c>
      <c r="G322" t="inlineStr">
        <is>
          <t>EMMABODA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46284</v>
      </c>
      <c r="F323" t="inlineStr">
        <is>
          <t>KALMAR LÄN</t>
        </is>
      </c>
      <c r="G323" t="inlineStr">
        <is>
          <t>EMMABODA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46284</v>
      </c>
      <c r="F324" t="inlineStr">
        <is>
          <t>KALMAR LÄN</t>
        </is>
      </c>
      <c r="G324" t="inlineStr">
        <is>
          <t>EMMABODA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45204</v>
      </c>
      <c r="E325" s="1" t="n">
        <v>46284</v>
      </c>
      <c r="F325" t="inlineStr">
        <is>
          <t>KALMAR LÄN</t>
        </is>
      </c>
      <c r="G325" t="inlineStr">
        <is>
          <t>EMMABODA</t>
        </is>
      </c>
      <c r="H325" t="inlineStr">
        <is>
          <t>Övriga Aktiebolag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45561</v>
      </c>
      <c r="E326" s="1" t="n">
        <v>46284</v>
      </c>
      <c r="F326" t="inlineStr">
        <is>
          <t>KALMAR LÄN</t>
        </is>
      </c>
      <c r="G326" t="inlineStr">
        <is>
          <t>EMMABODA</t>
        </is>
      </c>
      <c r="H326" t="inlineStr">
        <is>
          <t>Övriga Aktiebolag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46284</v>
      </c>
      <c r="F327" t="inlineStr">
        <is>
          <t>KALMAR LÄN</t>
        </is>
      </c>
      <c r="G327" t="inlineStr">
        <is>
          <t>EMMABODA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46284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46284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46284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45349</v>
      </c>
      <c r="E331" s="1" t="n">
        <v>46284</v>
      </c>
      <c r="F331" t="inlineStr">
        <is>
          <t>KALMAR LÄN</t>
        </is>
      </c>
      <c r="G331" t="inlineStr">
        <is>
          <t>EMMABODA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45789</v>
      </c>
      <c r="E332" s="1" t="n">
        <v>46284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46284</v>
      </c>
      <c r="F333" t="inlineStr">
        <is>
          <t>KALMAR LÄN</t>
        </is>
      </c>
      <c r="G333" t="inlineStr">
        <is>
          <t>EMMABODA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46284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45573</v>
      </c>
      <c r="E335" s="1" t="n">
        <v>46284</v>
      </c>
      <c r="F335" t="inlineStr">
        <is>
          <t>KALMAR LÄN</t>
        </is>
      </c>
      <c r="G335" t="inlineStr">
        <is>
          <t>EMMABODA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46284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46284</v>
      </c>
      <c r="F337" t="inlineStr">
        <is>
          <t>KALMAR LÄN</t>
        </is>
      </c>
      <c r="G337" t="inlineStr">
        <is>
          <t>EMMABODA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46284</v>
      </c>
      <c r="F338" t="inlineStr">
        <is>
          <t>KALMAR LÄN</t>
        </is>
      </c>
      <c r="G338" t="inlineStr">
        <is>
          <t>EMMABODA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46284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46284</v>
      </c>
      <c r="F340" t="inlineStr">
        <is>
          <t>KALMAR LÄN</t>
        </is>
      </c>
      <c r="G340" t="inlineStr">
        <is>
          <t>EMMABODA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46284</v>
      </c>
      <c r="F341" t="inlineStr">
        <is>
          <t>KALMAR LÄN</t>
        </is>
      </c>
      <c r="G341" t="inlineStr">
        <is>
          <t>EMMABODA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44930</v>
      </c>
      <c r="E342" s="1" t="n">
        <v>46284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46284</v>
      </c>
      <c r="F343" t="inlineStr">
        <is>
          <t>KALMAR LÄN</t>
        </is>
      </c>
      <c r="G343" t="inlineStr">
        <is>
          <t>EMMABODA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46284</v>
      </c>
      <c r="F344" t="inlineStr">
        <is>
          <t>KALMAR LÄN</t>
        </is>
      </c>
      <c r="G344" t="inlineStr">
        <is>
          <t>EMMABODA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46284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16236-2023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45028</v>
      </c>
      <c r="E346" s="1" t="n">
        <v>46284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45392</v>
      </c>
      <c r="E347" s="1" t="n">
        <v>46284</v>
      </c>
      <c r="F347" t="inlineStr">
        <is>
          <t>KALMAR LÄN</t>
        </is>
      </c>
      <c r="G347" t="inlineStr">
        <is>
          <t>EMMABODA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54982-2025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46284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54983-2025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45967</v>
      </c>
      <c r="E349" s="1" t="n">
        <v>46284</v>
      </c>
      <c r="F349" t="inlineStr">
        <is>
          <t>KALMAR LÄN</t>
        </is>
      </c>
      <c r="G349" t="inlineStr">
        <is>
          <t>EMMABODA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46284</v>
      </c>
      <c r="F350" t="inlineStr">
        <is>
          <t>KALMAR LÄN</t>
        </is>
      </c>
      <c r="G350" t="inlineStr">
        <is>
          <t>EMMABODA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45531</v>
      </c>
      <c r="E351" s="1" t="n">
        <v>46284</v>
      </c>
      <c r="F351" t="inlineStr">
        <is>
          <t>KALMAR LÄN</t>
        </is>
      </c>
      <c r="G351" t="inlineStr">
        <is>
          <t>EMMABODA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46284</v>
      </c>
      <c r="F352" t="inlineStr">
        <is>
          <t>KALMAR LÄN</t>
        </is>
      </c>
      <c r="G352" t="inlineStr">
        <is>
          <t>EMMABODA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45196</v>
      </c>
      <c r="E353" s="1" t="n">
        <v>46284</v>
      </c>
      <c r="F353" t="inlineStr">
        <is>
          <t>KALMAR LÄN</t>
        </is>
      </c>
      <c r="G353" t="inlineStr">
        <is>
          <t>EMMABODA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46284</v>
      </c>
      <c r="F354" t="inlineStr">
        <is>
          <t>KALMAR LÄN</t>
        </is>
      </c>
      <c r="G354" t="inlineStr">
        <is>
          <t>EMMABODA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46284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46284</v>
      </c>
      <c r="F356" t="inlineStr">
        <is>
          <t>KALMAR LÄN</t>
        </is>
      </c>
      <c r="G356" t="inlineStr">
        <is>
          <t>EMMABODA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46284</v>
      </c>
      <c r="F357" t="inlineStr">
        <is>
          <t>KALMAR LÄN</t>
        </is>
      </c>
      <c r="G357" t="inlineStr">
        <is>
          <t>EMMABODA</t>
        </is>
      </c>
      <c r="H357" t="inlineStr">
        <is>
          <t>Kommuner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45180</v>
      </c>
      <c r="E358" s="1" t="n">
        <v>46284</v>
      </c>
      <c r="F358" t="inlineStr">
        <is>
          <t>KALMAR LÄN</t>
        </is>
      </c>
      <c r="G358" t="inlineStr">
        <is>
          <t>EMMABODA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46284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46284</v>
      </c>
      <c r="F360" t="inlineStr">
        <is>
          <t>KALMAR LÄN</t>
        </is>
      </c>
      <c r="G360" t="inlineStr">
        <is>
          <t>EMMABODA</t>
        </is>
      </c>
      <c r="H360" t="inlineStr">
        <is>
          <t>Kyrkan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45716</v>
      </c>
      <c r="E361" s="1" t="n">
        <v>46284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45048</v>
      </c>
      <c r="E362" s="1" t="n">
        <v>46284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46284</v>
      </c>
      <c r="F363" t="inlineStr">
        <is>
          <t>KALMAR LÄN</t>
        </is>
      </c>
      <c r="G363" t="inlineStr">
        <is>
          <t>EMMABODA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46284</v>
      </c>
      <c r="F364" t="inlineStr">
        <is>
          <t>KALMAR LÄN</t>
        </is>
      </c>
      <c r="G364" t="inlineStr">
        <is>
          <t>EMMABODA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46284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44897</v>
      </c>
      <c r="E366" s="1" t="n">
        <v>46284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46284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46284</v>
      </c>
      <c r="F368" t="inlineStr">
        <is>
          <t>KALMAR LÄN</t>
        </is>
      </c>
      <c r="G368" t="inlineStr">
        <is>
          <t>EMMABODA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46284</v>
      </c>
      <c r="F369" t="inlineStr">
        <is>
          <t>KALMAR LÄN</t>
        </is>
      </c>
      <c r="G369" t="inlineStr">
        <is>
          <t>EMMABODA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46284</v>
      </c>
      <c r="F370" t="inlineStr">
        <is>
          <t>KALMAR LÄN</t>
        </is>
      </c>
      <c r="G370" t="inlineStr">
        <is>
          <t>EMMABODA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46284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46284</v>
      </c>
      <c r="F372" t="inlineStr">
        <is>
          <t>KALMAR LÄN</t>
        </is>
      </c>
      <c r="G372" t="inlineStr">
        <is>
          <t>EMMABODA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46284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45587</v>
      </c>
      <c r="E374" s="1" t="n">
        <v>46284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46284</v>
      </c>
      <c r="F375" t="inlineStr">
        <is>
          <t>KALMAR LÄN</t>
        </is>
      </c>
      <c r="G375" t="inlineStr">
        <is>
          <t>EMMABODA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46284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45902</v>
      </c>
      <c r="E377" s="1" t="n">
        <v>46284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46284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46284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46284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46284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46284</v>
      </c>
      <c r="F382" t="inlineStr">
        <is>
          <t>KALMAR LÄN</t>
        </is>
      </c>
      <c r="G382" t="inlineStr">
        <is>
          <t>EMMABODA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46284</v>
      </c>
      <c r="F383" t="inlineStr">
        <is>
          <t>KALMAR LÄN</t>
        </is>
      </c>
      <c r="G383" t="inlineStr">
        <is>
          <t>EMMABODA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46284</v>
      </c>
      <c r="F384" t="inlineStr">
        <is>
          <t>KALMAR LÄN</t>
        </is>
      </c>
      <c r="G384" t="inlineStr">
        <is>
          <t>EMMABODA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27676-2022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44743</v>
      </c>
      <c r="E385" s="1" t="n">
        <v>46284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46284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46284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45327</v>
      </c>
      <c r="E388" s="1" t="n">
        <v>46284</v>
      </c>
      <c r="F388" t="inlineStr">
        <is>
          <t>KALMAR LÄN</t>
        </is>
      </c>
      <c r="G388" t="inlineStr">
        <is>
          <t>EMMABODA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45559</v>
      </c>
      <c r="E389" s="1" t="n">
        <v>46284</v>
      </c>
      <c r="F389" t="inlineStr">
        <is>
          <t>KALMAR LÄN</t>
        </is>
      </c>
      <c r="G389" t="inlineStr">
        <is>
          <t>EMMABODA</t>
        </is>
      </c>
      <c r="H389" t="inlineStr">
        <is>
          <t>Övriga Aktiebolag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46284</v>
      </c>
      <c r="F390" t="inlineStr">
        <is>
          <t>KALMAR LÄN</t>
        </is>
      </c>
      <c r="G390" t="inlineStr">
        <is>
          <t>EMMABODA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19881-2024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45433</v>
      </c>
      <c r="E391" s="1" t="n">
        <v>46284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45107</v>
      </c>
      <c r="E392" s="1" t="n">
        <v>46284</v>
      </c>
      <c r="F392" t="inlineStr">
        <is>
          <t>KALMAR LÄN</t>
        </is>
      </c>
      <c r="G392" t="inlineStr">
        <is>
          <t>EMMABODA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45007</v>
      </c>
      <c r="E393" s="1" t="n">
        <v>46284</v>
      </c>
      <c r="F393" t="inlineStr">
        <is>
          <t>KALMAR LÄN</t>
        </is>
      </c>
      <c r="G393" t="inlineStr">
        <is>
          <t>EMMABODA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45007</v>
      </c>
      <c r="E394" s="1" t="n">
        <v>46284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46284</v>
      </c>
      <c r="F395" t="inlineStr">
        <is>
          <t>KALMAR LÄN</t>
        </is>
      </c>
      <c r="G395" t="inlineStr">
        <is>
          <t>EMMABODA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46284</v>
      </c>
      <c r="F396" t="inlineStr">
        <is>
          <t>KALMAR LÄN</t>
        </is>
      </c>
      <c r="G396" t="inlineStr">
        <is>
          <t>EMMABODA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46284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45084</v>
      </c>
      <c r="E398" s="1" t="n">
        <v>46284</v>
      </c>
      <c r="F398" t="inlineStr">
        <is>
          <t>KALMAR LÄN</t>
        </is>
      </c>
      <c r="G398" t="inlineStr">
        <is>
          <t>EMMABODA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45537</v>
      </c>
      <c r="E399" s="1" t="n">
        <v>46284</v>
      </c>
      <c r="F399" t="inlineStr">
        <is>
          <t>KALMAR LÄN</t>
        </is>
      </c>
      <c r="G399" t="inlineStr">
        <is>
          <t>EMMABODA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46284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46284</v>
      </c>
      <c r="F401" t="inlineStr">
        <is>
          <t>KALMAR LÄN</t>
        </is>
      </c>
      <c r="G401" t="inlineStr">
        <is>
          <t>EMMABODA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46284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68940-2021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44530</v>
      </c>
      <c r="E403" s="1" t="n">
        <v>46284</v>
      </c>
      <c r="F403" t="inlineStr">
        <is>
          <t>KALMAR LÄN</t>
        </is>
      </c>
      <c r="G403" t="inlineStr">
        <is>
          <t>EMMABODA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46284</v>
      </c>
      <c r="F404" t="inlineStr">
        <is>
          <t>KALMAR LÄN</t>
        </is>
      </c>
      <c r="G404" t="inlineStr">
        <is>
          <t>EMMABODA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46284</v>
      </c>
      <c r="F405" t="inlineStr">
        <is>
          <t>KALMAR LÄN</t>
        </is>
      </c>
      <c r="G405" t="inlineStr">
        <is>
          <t>EMMABODA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46284</v>
      </c>
      <c r="F406" t="inlineStr">
        <is>
          <t>KALMAR LÄN</t>
        </is>
      </c>
      <c r="G406" t="inlineStr">
        <is>
          <t>EMMABODA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46775-2022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44851</v>
      </c>
      <c r="E407" s="1" t="n">
        <v>46284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46284</v>
      </c>
      <c r="F408" t="inlineStr">
        <is>
          <t>KALMAR LÄN</t>
        </is>
      </c>
      <c r="G408" t="inlineStr">
        <is>
          <t>EMMABODA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59737-2021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44494</v>
      </c>
      <c r="E409" s="1" t="n">
        <v>46284</v>
      </c>
      <c r="F409" t="inlineStr">
        <is>
          <t>KALMAR LÄN</t>
        </is>
      </c>
      <c r="G409" t="inlineStr">
        <is>
          <t>EMMABODA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46284</v>
      </c>
      <c r="F410" t="inlineStr">
        <is>
          <t>KALMAR LÄN</t>
        </is>
      </c>
      <c r="G410" t="inlineStr">
        <is>
          <t>EMMABODA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44893</v>
      </c>
      <c r="E411" s="1" t="n">
        <v>46284</v>
      </c>
      <c r="F411" t="inlineStr">
        <is>
          <t>KALMAR LÄN</t>
        </is>
      </c>
      <c r="G411" t="inlineStr">
        <is>
          <t>EMMABODA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44518</v>
      </c>
      <c r="E412" s="1" t="n">
        <v>46284</v>
      </c>
      <c r="F412" t="inlineStr">
        <is>
          <t>KALMAR LÄN</t>
        </is>
      </c>
      <c r="G412" t="inlineStr">
        <is>
          <t>EMMABODA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24776-2022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44728</v>
      </c>
      <c r="E413" s="1" t="n">
        <v>46284</v>
      </c>
      <c r="F413" t="inlineStr">
        <is>
          <t>KALMAR LÄN</t>
        </is>
      </c>
      <c r="G413" t="inlineStr">
        <is>
          <t>EMMABODA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46284</v>
      </c>
      <c r="F414" t="inlineStr">
        <is>
          <t>KALMAR LÄN</t>
        </is>
      </c>
      <c r="G414" t="inlineStr">
        <is>
          <t>EMMABODA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46284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45009</v>
      </c>
      <c r="E416" s="1" t="n">
        <v>46284</v>
      </c>
      <c r="F416" t="inlineStr">
        <is>
          <t>KALMAR LÄN</t>
        </is>
      </c>
      <c r="G416" t="inlineStr">
        <is>
          <t>EMMABODA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45009</v>
      </c>
      <c r="E417" s="1" t="n">
        <v>46284</v>
      </c>
      <c r="F417" t="inlineStr">
        <is>
          <t>KALMAR LÄN</t>
        </is>
      </c>
      <c r="G417" t="inlineStr">
        <is>
          <t>EMMABODA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46284</v>
      </c>
      <c r="F418" t="inlineStr">
        <is>
          <t>KALMAR LÄN</t>
        </is>
      </c>
      <c r="G418" t="inlineStr">
        <is>
          <t>EMMABODA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46284</v>
      </c>
      <c r="F419" t="inlineStr">
        <is>
          <t>KALMAR LÄN</t>
        </is>
      </c>
      <c r="G419" t="inlineStr">
        <is>
          <t>EMMABODA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61791-2022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44911</v>
      </c>
      <c r="E420" s="1" t="n">
        <v>46284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45159</v>
      </c>
      <c r="E421" s="1" t="n">
        <v>46284</v>
      </c>
      <c r="F421" t="inlineStr">
        <is>
          <t>KALMAR LÄN</t>
        </is>
      </c>
      <c r="G421" t="inlineStr">
        <is>
          <t>EMMABODA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45514</v>
      </c>
      <c r="E422" s="1" t="n">
        <v>46284</v>
      </c>
      <c r="F422" t="inlineStr">
        <is>
          <t>KALMAR LÄN</t>
        </is>
      </c>
      <c r="G422" t="inlineStr">
        <is>
          <t>EMMABODA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45514</v>
      </c>
      <c r="E423" s="1" t="n">
        <v>46284</v>
      </c>
      <c r="F423" t="inlineStr">
        <is>
          <t>KALMAR LÄN</t>
        </is>
      </c>
      <c r="G423" t="inlineStr">
        <is>
          <t>EMMABODA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46284</v>
      </c>
      <c r="F424" t="inlineStr">
        <is>
          <t>KALMAR LÄN</t>
        </is>
      </c>
      <c r="G424" t="inlineStr">
        <is>
          <t>EMMABODA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46284</v>
      </c>
      <c r="F425" t="inlineStr">
        <is>
          <t>KALMAR LÄN</t>
        </is>
      </c>
      <c r="G425" t="inlineStr">
        <is>
          <t>EMMABODA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53350-2022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44879</v>
      </c>
      <c r="E426" s="1" t="n">
        <v>46284</v>
      </c>
      <c r="F426" t="inlineStr">
        <is>
          <t>KALMAR LÄN</t>
        </is>
      </c>
      <c r="G426" t="inlineStr">
        <is>
          <t>EMMABODA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46284</v>
      </c>
      <c r="F427" t="inlineStr">
        <is>
          <t>KALMAR LÄN</t>
        </is>
      </c>
      <c r="G427" t="inlineStr">
        <is>
          <t>EMMABODA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46284</v>
      </c>
      <c r="F428" t="inlineStr">
        <is>
          <t>KALMAR LÄN</t>
        </is>
      </c>
      <c r="G428" t="inlineStr">
        <is>
          <t>EMMABODA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46284</v>
      </c>
      <c r="F429" t="inlineStr">
        <is>
          <t>KALMAR LÄN</t>
        </is>
      </c>
      <c r="G429" t="inlineStr">
        <is>
          <t>EMMABODA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46284</v>
      </c>
      <c r="F430" t="inlineStr">
        <is>
          <t>KALMAR LÄN</t>
        </is>
      </c>
      <c r="G430" t="inlineStr">
        <is>
          <t>EMMABODA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46284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45155</v>
      </c>
      <c r="E432" s="1" t="n">
        <v>46284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46284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46284</v>
      </c>
      <c r="F434" t="inlineStr">
        <is>
          <t>KALMAR LÄN</t>
        </is>
      </c>
      <c r="G434" t="inlineStr">
        <is>
          <t>EMMABODA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46284</v>
      </c>
      <c r="F435" t="inlineStr">
        <is>
          <t>KALMAR LÄN</t>
        </is>
      </c>
      <c r="G435" t="inlineStr">
        <is>
          <t>EMMABODA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45362</v>
      </c>
      <c r="E436" s="1" t="n">
        <v>46284</v>
      </c>
      <c r="F436" t="inlineStr">
        <is>
          <t>KALMAR LÄN</t>
        </is>
      </c>
      <c r="G436" t="inlineStr">
        <is>
          <t>EMMABODA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46284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46284</v>
      </c>
      <c r="F438" t="inlineStr">
        <is>
          <t>KALMAR LÄN</t>
        </is>
      </c>
      <c r="G438" t="inlineStr">
        <is>
          <t>EMMABODA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46284</v>
      </c>
      <c r="F439" t="inlineStr">
        <is>
          <t>KALMAR LÄN</t>
        </is>
      </c>
      <c r="G439" t="inlineStr">
        <is>
          <t>EMMABODA</t>
        </is>
      </c>
      <c r="H439" t="inlineStr">
        <is>
          <t>Kyrkan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46284</v>
      </c>
      <c r="F440" t="inlineStr">
        <is>
          <t>KALMAR LÄN</t>
        </is>
      </c>
      <c r="G440" t="inlineStr">
        <is>
          <t>EMMABODA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46284</v>
      </c>
      <c r="F441" t="inlineStr">
        <is>
          <t>KALMAR LÄN</t>
        </is>
      </c>
      <c r="G441" t="inlineStr">
        <is>
          <t>EMMABODA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44700</v>
      </c>
      <c r="E442" s="1" t="n">
        <v>46284</v>
      </c>
      <c r="F442" t="inlineStr">
        <is>
          <t>KALMAR LÄN</t>
        </is>
      </c>
      <c r="G442" t="inlineStr">
        <is>
          <t>EMMABODA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46284</v>
      </c>
      <c r="F443" t="inlineStr">
        <is>
          <t>KALMAR LÄN</t>
        </is>
      </c>
      <c r="G443" t="inlineStr">
        <is>
          <t>EMMABODA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46284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46284</v>
      </c>
      <c r="F445" t="inlineStr">
        <is>
          <t>KALMAR LÄN</t>
        </is>
      </c>
      <c r="G445" t="inlineStr">
        <is>
          <t>EMMABODA</t>
        </is>
      </c>
      <c r="H445" t="inlineStr">
        <is>
          <t>Kyrkan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46078</v>
      </c>
      <c r="E446" s="1" t="n">
        <v>46284</v>
      </c>
      <c r="F446" t="inlineStr">
        <is>
          <t>KALMAR LÄN</t>
        </is>
      </c>
      <c r="G446" t="inlineStr">
        <is>
          <t>EMMABODA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26502-2026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46284</v>
      </c>
      <c r="F447" t="inlineStr">
        <is>
          <t>KALMAR LÄN</t>
        </is>
      </c>
      <c r="G447" t="inlineStr">
        <is>
          <t>EMMABODA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46284</v>
      </c>
      <c r="F448" t="inlineStr">
        <is>
          <t>KALMAR LÄN</t>
        </is>
      </c>
      <c r="G448" t="inlineStr">
        <is>
          <t>EMMABODA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45743</v>
      </c>
      <c r="E449" s="1" t="n">
        <v>46284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45296</v>
      </c>
      <c r="E450" s="1" t="n">
        <v>46284</v>
      </c>
      <c r="F450" t="inlineStr">
        <is>
          <t>KALMAR LÄN</t>
        </is>
      </c>
      <c r="G450" t="inlineStr">
        <is>
          <t>EMMABODA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68947-2021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44530</v>
      </c>
      <c r="E451" s="1" t="n">
        <v>46284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46284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44777</v>
      </c>
      <c r="E453" s="1" t="n">
        <v>46284</v>
      </c>
      <c r="F453" t="inlineStr">
        <is>
          <t>KALMAR LÄN</t>
        </is>
      </c>
      <c r="G453" t="inlineStr">
        <is>
          <t>EMMABODA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46284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46284</v>
      </c>
      <c r="F455" t="inlineStr">
        <is>
          <t>KALMAR LÄN</t>
        </is>
      </c>
      <c r="G455" t="inlineStr">
        <is>
          <t>EMMABODA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46284</v>
      </c>
      <c r="F456" t="inlineStr">
        <is>
          <t>KALMAR LÄN</t>
        </is>
      </c>
      <c r="G456" t="inlineStr">
        <is>
          <t>EMMABODA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46284</v>
      </c>
      <c r="F457" t="inlineStr">
        <is>
          <t>KALMAR LÄN</t>
        </is>
      </c>
      <c r="G457" t="inlineStr">
        <is>
          <t>EMMABODA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49624-2023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46284</v>
      </c>
      <c r="F458" t="inlineStr">
        <is>
          <t>KALMAR LÄN</t>
        </is>
      </c>
      <c r="G458" t="inlineStr">
        <is>
          <t>EMMABODA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46284</v>
      </c>
      <c r="F459" t="inlineStr">
        <is>
          <t>KALMAR LÄN</t>
        </is>
      </c>
      <c r="G459" t="inlineStr">
        <is>
          <t>EMMABODA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46284</v>
      </c>
      <c r="F460" t="inlineStr">
        <is>
          <t>KALMAR LÄN</t>
        </is>
      </c>
      <c r="G460" t="inlineStr">
        <is>
          <t>EMMABODA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46085</v>
      </c>
      <c r="E461" s="1" t="n">
        <v>46284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46284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46284</v>
      </c>
      <c r="F463" t="inlineStr">
        <is>
          <t>KALMAR LÄN</t>
        </is>
      </c>
      <c r="G463" t="inlineStr">
        <is>
          <t>EMMABODA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46284</v>
      </c>
      <c r="F464" t="inlineStr">
        <is>
          <t>KALMAR LÄN</t>
        </is>
      </c>
      <c r="G464" t="inlineStr">
        <is>
          <t>EMMABODA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45164</v>
      </c>
      <c r="E465" s="1" t="n">
        <v>46284</v>
      </c>
      <c r="F465" t="inlineStr">
        <is>
          <t>KALMAR LÄN</t>
        </is>
      </c>
      <c r="G465" t="inlineStr">
        <is>
          <t>EMMABODA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46284</v>
      </c>
      <c r="F466" t="inlineStr">
        <is>
          <t>KALMAR LÄN</t>
        </is>
      </c>
      <c r="G466" t="inlineStr">
        <is>
          <t>EMMABODA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45190</v>
      </c>
      <c r="E467" s="1" t="n">
        <v>46284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46284</v>
      </c>
      <c r="F468" t="inlineStr">
        <is>
          <t>KALMAR LÄN</t>
        </is>
      </c>
      <c r="G468" t="inlineStr">
        <is>
          <t>EMMABODA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46284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46284</v>
      </c>
      <c r="F470" t="inlineStr">
        <is>
          <t>KALMAR LÄN</t>
        </is>
      </c>
      <c r="G470" t="inlineStr">
        <is>
          <t>EMMABODA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46284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7808-2024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46284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46284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46284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46284</v>
      </c>
      <c r="F475" t="inlineStr">
        <is>
          <t>KALMAR LÄN</t>
        </is>
      </c>
      <c r="G475" t="inlineStr">
        <is>
          <t>EMMABODA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46284</v>
      </c>
      <c r="F476" t="inlineStr">
        <is>
          <t>KALMAR LÄN</t>
        </is>
      </c>
      <c r="G476" t="inlineStr">
        <is>
          <t>EMMABODA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50500-2022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44861</v>
      </c>
      <c r="E477" s="1" t="n">
        <v>46284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46284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45205</v>
      </c>
      <c r="E479" s="1" t="n">
        <v>46284</v>
      </c>
      <c r="F479" t="inlineStr">
        <is>
          <t>KALMAR LÄN</t>
        </is>
      </c>
      <c r="G479" t="inlineStr">
        <is>
          <t>EMMABODA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46284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46284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46284</v>
      </c>
      <c r="F482" t="inlineStr">
        <is>
          <t>KALMAR LÄN</t>
        </is>
      </c>
      <c r="G482" t="inlineStr">
        <is>
          <t>EMMABODA</t>
        </is>
      </c>
      <c r="H482" t="inlineStr">
        <is>
          <t>Sveaskog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45126</v>
      </c>
      <c r="E483" s="1" t="n">
        <v>46284</v>
      </c>
      <c r="F483" t="inlineStr">
        <is>
          <t>KALMAR LÄN</t>
        </is>
      </c>
      <c r="G483" t="inlineStr">
        <is>
          <t>EMMABODA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46120</v>
      </c>
      <c r="E484" s="1" t="n">
        <v>46284</v>
      </c>
      <c r="F484" t="inlineStr">
        <is>
          <t>KALMAR LÄN</t>
        </is>
      </c>
      <c r="G484" t="inlineStr">
        <is>
          <t>EMMABODA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46284</v>
      </c>
      <c r="F485" t="inlineStr">
        <is>
          <t>KALMAR LÄN</t>
        </is>
      </c>
      <c r="G485" t="inlineStr">
        <is>
          <t>EMMABODA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45574</v>
      </c>
      <c r="E486" s="1" t="n">
        <v>46284</v>
      </c>
      <c r="F486" t="inlineStr">
        <is>
          <t>KALMAR LÄN</t>
        </is>
      </c>
      <c r="G486" t="inlineStr">
        <is>
          <t>EMMABODA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46284</v>
      </c>
      <c r="F487" t="inlineStr">
        <is>
          <t>KALMAR LÄN</t>
        </is>
      </c>
      <c r="G487" t="inlineStr">
        <is>
          <t>EMMABODA</t>
        </is>
      </c>
      <c r="H487" t="inlineStr">
        <is>
          <t>Kyrkan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46284</v>
      </c>
      <c r="F488" t="inlineStr">
        <is>
          <t>KALMAR LÄN</t>
        </is>
      </c>
      <c r="G488" t="inlineStr">
        <is>
          <t>EMMABODA</t>
        </is>
      </c>
      <c r="H488" t="inlineStr">
        <is>
          <t>Kyrkan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46284</v>
      </c>
      <c r="F489" t="inlineStr">
        <is>
          <t>KALMAR LÄN</t>
        </is>
      </c>
      <c r="G489" t="inlineStr">
        <is>
          <t>EMMABODA</t>
        </is>
      </c>
      <c r="H489" t="inlineStr">
        <is>
          <t>Övriga Aktiebolag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46284</v>
      </c>
      <c r="F490" t="inlineStr">
        <is>
          <t>KALMAR LÄN</t>
        </is>
      </c>
      <c r="G490" t="inlineStr">
        <is>
          <t>EMMABODA</t>
        </is>
      </c>
      <c r="H490" t="inlineStr">
        <is>
          <t>Kyrkan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45232</v>
      </c>
      <c r="E491" s="1" t="n">
        <v>46284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46284</v>
      </c>
      <c r="F492" t="inlineStr">
        <is>
          <t>KALMAR LÄN</t>
        </is>
      </c>
      <c r="G492" t="inlineStr">
        <is>
          <t>EMMABODA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46284</v>
      </c>
      <c r="F493" t="inlineStr">
        <is>
          <t>KALMAR LÄN</t>
        </is>
      </c>
      <c r="G493" t="inlineStr">
        <is>
          <t>EMMABODA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63254-2025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46284</v>
      </c>
      <c r="F494" t="inlineStr">
        <is>
          <t>KALMAR LÄN</t>
        </is>
      </c>
      <c r="G494" t="inlineStr">
        <is>
          <t>EMMABODA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46284</v>
      </c>
      <c r="F495" t="inlineStr">
        <is>
          <t>KALMAR LÄN</t>
        </is>
      </c>
      <c r="G495" t="inlineStr">
        <is>
          <t>EMMABODA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46284</v>
      </c>
      <c r="F496" t="inlineStr">
        <is>
          <t>KALMAR LÄN</t>
        </is>
      </c>
      <c r="G496" t="inlineStr">
        <is>
          <t>EMMABODA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46284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46284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46284</v>
      </c>
      <c r="F499" t="inlineStr">
        <is>
          <t>KALMAR LÄN</t>
        </is>
      </c>
      <c r="G499" t="inlineStr">
        <is>
          <t>EMMABODA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46284</v>
      </c>
      <c r="F500" t="inlineStr">
        <is>
          <t>KALMAR LÄN</t>
        </is>
      </c>
      <c r="G500" t="inlineStr">
        <is>
          <t>EMMABODA</t>
        </is>
      </c>
      <c r="H500" t="inlineStr">
        <is>
          <t>Sveaskog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46284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14163-2025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45740</v>
      </c>
      <c r="E502" s="1" t="n">
        <v>46284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45341</v>
      </c>
      <c r="E503" s="1" t="n">
        <v>46284</v>
      </c>
      <c r="F503" t="inlineStr">
        <is>
          <t>KALMAR LÄN</t>
        </is>
      </c>
      <c r="G503" t="inlineStr">
        <is>
          <t>EMMABODA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44995</v>
      </c>
      <c r="E504" s="1" t="n">
        <v>46284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45003</v>
      </c>
      <c r="E505" s="1" t="n">
        <v>46284</v>
      </c>
      <c r="F505" t="inlineStr">
        <is>
          <t>KALMAR LÄN</t>
        </is>
      </c>
      <c r="G505" t="inlineStr">
        <is>
          <t>EMMABODA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45477</v>
      </c>
      <c r="E506" s="1" t="n">
        <v>46284</v>
      </c>
      <c r="F506" t="inlineStr">
        <is>
          <t>KALMAR LÄN</t>
        </is>
      </c>
      <c r="G506" t="inlineStr">
        <is>
          <t>EMMABODA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12014-2023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44995</v>
      </c>
      <c r="E507" s="1" t="n">
        <v>46284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46284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46284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46284</v>
      </c>
      <c r="F510" t="inlineStr">
        <is>
          <t>KALMAR LÄN</t>
        </is>
      </c>
      <c r="G510" t="inlineStr">
        <is>
          <t>EMMABODA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33050-2023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45126</v>
      </c>
      <c r="E511" s="1" t="n">
        <v>46284</v>
      </c>
      <c r="F511" t="inlineStr">
        <is>
          <t>KALMAR LÄN</t>
        </is>
      </c>
      <c r="G511" t="inlineStr">
        <is>
          <t>EMMABODA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46284</v>
      </c>
      <c r="F512" t="inlineStr">
        <is>
          <t>KALMAR LÄN</t>
        </is>
      </c>
      <c r="G512" t="inlineStr">
        <is>
          <t>EMMABODA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46284</v>
      </c>
      <c r="F513" t="inlineStr">
        <is>
          <t>KALMAR LÄN</t>
        </is>
      </c>
      <c r="G513" t="inlineStr">
        <is>
          <t>EMMABODA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5345-2023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44959</v>
      </c>
      <c r="E514" s="1" t="n">
        <v>46284</v>
      </c>
      <c r="F514" t="inlineStr">
        <is>
          <t>KALMAR LÄN</t>
        </is>
      </c>
      <c r="G514" t="inlineStr">
        <is>
          <t>EMMABODA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45068</v>
      </c>
      <c r="E515" s="1" t="n">
        <v>46284</v>
      </c>
      <c r="F515" t="inlineStr">
        <is>
          <t>KALMAR LÄN</t>
        </is>
      </c>
      <c r="G515" t="inlineStr">
        <is>
          <t>EMMABODA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45707</v>
      </c>
      <c r="E516" s="1" t="n">
        <v>46284</v>
      </c>
      <c r="F516" t="inlineStr">
        <is>
          <t>KALMAR LÄN</t>
        </is>
      </c>
      <c r="G516" t="inlineStr">
        <is>
          <t>EMMABODA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46728-2022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46284</v>
      </c>
      <c r="F517" t="inlineStr">
        <is>
          <t>KALMAR LÄN</t>
        </is>
      </c>
      <c r="G517" t="inlineStr">
        <is>
          <t>EMMABODA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44608</v>
      </c>
      <c r="E518" s="1" t="n">
        <v>46284</v>
      </c>
      <c r="F518" t="inlineStr">
        <is>
          <t>KALMAR LÄN</t>
        </is>
      </c>
      <c r="G518" t="inlineStr">
        <is>
          <t>EMMABODA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45095</v>
      </c>
      <c r="E519" s="1" t="n">
        <v>46284</v>
      </c>
      <c r="F519" t="inlineStr">
        <is>
          <t>KALMAR LÄN</t>
        </is>
      </c>
      <c r="G519" t="inlineStr">
        <is>
          <t>EMMABODA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44580</v>
      </c>
      <c r="E520" s="1" t="n">
        <v>46284</v>
      </c>
      <c r="F520" t="inlineStr">
        <is>
          <t>KALMAR LÄN</t>
        </is>
      </c>
      <c r="G520" t="inlineStr">
        <is>
          <t>EMMABODA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46284</v>
      </c>
      <c r="F521" t="inlineStr">
        <is>
          <t>KALMAR LÄN</t>
        </is>
      </c>
      <c r="G521" t="inlineStr">
        <is>
          <t>EMMABODA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46284</v>
      </c>
      <c r="F522" t="inlineStr">
        <is>
          <t>KALMAR LÄN</t>
        </is>
      </c>
      <c r="G522" t="inlineStr">
        <is>
          <t>EMMABODA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18444-2026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46127</v>
      </c>
      <c r="E523" s="1" t="n">
        <v>46284</v>
      </c>
      <c r="F523" t="inlineStr">
        <is>
          <t>KALMAR LÄN</t>
        </is>
      </c>
      <c r="G523" t="inlineStr">
        <is>
          <t>EMMABODA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18437-2026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46127</v>
      </c>
      <c r="E524" s="1" t="n">
        <v>46284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46284</v>
      </c>
      <c r="F525" t="inlineStr">
        <is>
          <t>KALMAR LÄN</t>
        </is>
      </c>
      <c r="G525" t="inlineStr">
        <is>
          <t>EMMABODA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46284</v>
      </c>
      <c r="F526" t="inlineStr">
        <is>
          <t>KALMAR LÄN</t>
        </is>
      </c>
      <c r="G526" t="inlineStr">
        <is>
          <t>EMMABODA</t>
        </is>
      </c>
      <c r="H526" t="inlineStr">
        <is>
          <t>Kommuner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9755-2023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44984</v>
      </c>
      <c r="E527" s="1" t="n">
        <v>46284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45252</v>
      </c>
      <c r="E528" s="1" t="n">
        <v>46284</v>
      </c>
      <c r="F528" t="inlineStr">
        <is>
          <t>KALMAR LÄN</t>
        </is>
      </c>
      <c r="G528" t="inlineStr">
        <is>
          <t>EMMABODA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46284</v>
      </c>
      <c r="F529" t="inlineStr">
        <is>
          <t>KALMAR LÄN</t>
        </is>
      </c>
      <c r="G529" t="inlineStr">
        <is>
          <t>EMMABODA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30460-2022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44761</v>
      </c>
      <c r="E530" s="1" t="n">
        <v>46284</v>
      </c>
      <c r="F530" t="inlineStr">
        <is>
          <t>KALMAR LÄN</t>
        </is>
      </c>
      <c r="G530" t="inlineStr">
        <is>
          <t>EMMABODA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36043-2022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44802</v>
      </c>
      <c r="E531" s="1" t="n">
        <v>46284</v>
      </c>
      <c r="F531" t="inlineStr">
        <is>
          <t>KALMAR LÄN</t>
        </is>
      </c>
      <c r="G531" t="inlineStr">
        <is>
          <t>EMMABODA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45422</v>
      </c>
      <c r="E532" s="1" t="n">
        <v>46284</v>
      </c>
      <c r="F532" t="inlineStr">
        <is>
          <t>KALMAR LÄN</t>
        </is>
      </c>
      <c r="G532" t="inlineStr">
        <is>
          <t>EMMABODA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44808</v>
      </c>
      <c r="E533" s="1" t="n">
        <v>46284</v>
      </c>
      <c r="F533" t="inlineStr">
        <is>
          <t>KALMAR LÄN</t>
        </is>
      </c>
      <c r="G533" t="inlineStr">
        <is>
          <t>EMMABODA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46284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46284</v>
      </c>
      <c r="F535" t="inlineStr">
        <is>
          <t>KALMAR LÄN</t>
        </is>
      </c>
      <c r="G535" t="inlineStr">
        <is>
          <t>EMMABODA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44542-2023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46284</v>
      </c>
      <c r="F536" t="inlineStr">
        <is>
          <t>KALMAR LÄN</t>
        </is>
      </c>
      <c r="G536" t="inlineStr">
        <is>
          <t>EMMABODA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46284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46284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46284</v>
      </c>
      <c r="F539" t="inlineStr">
        <is>
          <t>KALMAR LÄN</t>
        </is>
      </c>
      <c r="G539" t="inlineStr">
        <is>
          <t>EMMABODA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45392</v>
      </c>
      <c r="E540" s="1" t="n">
        <v>46284</v>
      </c>
      <c r="F540" t="inlineStr">
        <is>
          <t>KALMAR LÄN</t>
        </is>
      </c>
      <c r="G540" t="inlineStr">
        <is>
          <t>EMMABODA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46284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45905</v>
      </c>
      <c r="E542" s="1" t="n">
        <v>46284</v>
      </c>
      <c r="F542" t="inlineStr">
        <is>
          <t>KALMAR LÄN</t>
        </is>
      </c>
      <c r="G542" t="inlineStr">
        <is>
          <t>EMMABODA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69464-2021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44531</v>
      </c>
      <c r="E543" s="1" t="n">
        <v>46284</v>
      </c>
      <c r="F543" t="inlineStr">
        <is>
          <t>KALMAR LÄN</t>
        </is>
      </c>
      <c r="G543" t="inlineStr">
        <is>
          <t>EMMABODA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45051</v>
      </c>
      <c r="E544" s="1" t="n">
        <v>46284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45051</v>
      </c>
      <c r="E545" s="1" t="n">
        <v>46284</v>
      </c>
      <c r="F545" t="inlineStr">
        <is>
          <t>KALMAR LÄN</t>
        </is>
      </c>
      <c r="G545" t="inlineStr">
        <is>
          <t>EMMABODA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45901</v>
      </c>
      <c r="E546" s="1" t="n">
        <v>46284</v>
      </c>
      <c r="F546" t="inlineStr">
        <is>
          <t>KALMAR LÄN</t>
        </is>
      </c>
      <c r="G546" t="inlineStr">
        <is>
          <t>EMMABODA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45126</v>
      </c>
      <c r="E547" s="1" t="n">
        <v>46284</v>
      </c>
      <c r="F547" t="inlineStr">
        <is>
          <t>KALMAR LÄN</t>
        </is>
      </c>
      <c r="G547" t="inlineStr">
        <is>
          <t>EMMABODA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46284</v>
      </c>
      <c r="F548" t="inlineStr">
        <is>
          <t>KALMAR LÄN</t>
        </is>
      </c>
      <c r="G548" t="inlineStr">
        <is>
          <t>EMMABODA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46284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45323</v>
      </c>
      <c r="E550" s="1" t="n">
        <v>46284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16703-2022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44673</v>
      </c>
      <c r="E551" s="1" t="n">
        <v>46284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49726-2024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46284</v>
      </c>
      <c r="F552" t="inlineStr">
        <is>
          <t>KALMAR LÄN</t>
        </is>
      </c>
      <c r="G552" t="inlineStr">
        <is>
          <t>EMMABODA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56606-2022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44893</v>
      </c>
      <c r="E553" s="1" t="n">
        <v>46284</v>
      </c>
      <c r="F553" t="inlineStr">
        <is>
          <t>KALMAR LÄN</t>
        </is>
      </c>
      <c r="G553" t="inlineStr">
        <is>
          <t>EMMABODA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45668</v>
      </c>
      <c r="E554" s="1" t="n">
        <v>46284</v>
      </c>
      <c r="F554" t="inlineStr">
        <is>
          <t>KALMAR LÄN</t>
        </is>
      </c>
      <c r="G554" t="inlineStr">
        <is>
          <t>EMMABODA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30262-2022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44759</v>
      </c>
      <c r="E555" s="1" t="n">
        <v>46284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46284</v>
      </c>
      <c r="F556" t="inlineStr">
        <is>
          <t>KALMAR LÄN</t>
        </is>
      </c>
      <c r="G556" t="inlineStr">
        <is>
          <t>EMMABODA</t>
        </is>
      </c>
      <c r="H556" t="inlineStr">
        <is>
          <t>Sveaskog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5182-2022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44594</v>
      </c>
      <c r="E557" s="1" t="n">
        <v>46284</v>
      </c>
      <c r="F557" t="inlineStr">
        <is>
          <t>KALMAR LÄN</t>
        </is>
      </c>
      <c r="G557" t="inlineStr">
        <is>
          <t>EMMABODA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46284</v>
      </c>
      <c r="F558" t="inlineStr">
        <is>
          <t>KALMAR LÄN</t>
        </is>
      </c>
      <c r="G558" t="inlineStr">
        <is>
          <t>EMMABODA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45323</v>
      </c>
      <c r="E559" s="1" t="n">
        <v>46284</v>
      </c>
      <c r="F559" t="inlineStr">
        <is>
          <t>KALMAR LÄN</t>
        </is>
      </c>
      <c r="G559" t="inlineStr">
        <is>
          <t>EMMABODA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47149-2022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44852</v>
      </c>
      <c r="E560" s="1" t="n">
        <v>46284</v>
      </c>
      <c r="F560" t="inlineStr">
        <is>
          <t>KALMAR LÄN</t>
        </is>
      </c>
      <c r="G560" t="inlineStr">
        <is>
          <t>EMMABODA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46284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45111</v>
      </c>
      <c r="E562" s="1" t="n">
        <v>46284</v>
      </c>
      <c r="F562" t="inlineStr">
        <is>
          <t>KALMAR LÄN</t>
        </is>
      </c>
      <c r="G562" t="inlineStr">
        <is>
          <t>EMMABODA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45310</v>
      </c>
      <c r="E563" s="1" t="n">
        <v>46284</v>
      </c>
      <c r="F563" t="inlineStr">
        <is>
          <t>KALMAR LÄN</t>
        </is>
      </c>
      <c r="G563" t="inlineStr">
        <is>
          <t>EMMABODA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46253</v>
      </c>
      <c r="E564" s="1" t="n">
        <v>46284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46284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46127</v>
      </c>
      <c r="E566" s="1" t="n">
        <v>46284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46284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46284</v>
      </c>
      <c r="F568" t="inlineStr">
        <is>
          <t>KALMAR LÄN</t>
        </is>
      </c>
      <c r="G568" t="inlineStr">
        <is>
          <t>EMMABODA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46284</v>
      </c>
      <c r="F569" t="inlineStr">
        <is>
          <t>KALMAR LÄN</t>
        </is>
      </c>
      <c r="G569" t="inlineStr">
        <is>
          <t>EMMABODA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46284</v>
      </c>
      <c r="F570" t="inlineStr">
        <is>
          <t>KALMAR LÄN</t>
        </is>
      </c>
      <c r="G570" t="inlineStr">
        <is>
          <t>EMMABODA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46284</v>
      </c>
      <c r="F571" t="inlineStr">
        <is>
          <t>KALMAR LÄN</t>
        </is>
      </c>
      <c r="G571" t="inlineStr">
        <is>
          <t>EMMABODA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46284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44589</v>
      </c>
      <c r="E573" s="1" t="n">
        <v>46284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46284</v>
      </c>
      <c r="F574" t="inlineStr">
        <is>
          <t>KALMAR LÄN</t>
        </is>
      </c>
      <c r="G574" t="inlineStr">
        <is>
          <t>EMMABODA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46284</v>
      </c>
      <c r="F575" t="inlineStr">
        <is>
          <t>KALMAR LÄN</t>
        </is>
      </c>
      <c r="G575" t="inlineStr">
        <is>
          <t>EMMABODA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44726</v>
      </c>
      <c r="E576" s="1" t="n">
        <v>46284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46284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67538-2021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44524</v>
      </c>
      <c r="E578" s="1" t="n">
        <v>46284</v>
      </c>
      <c r="F578" t="inlineStr">
        <is>
          <t>KALMAR LÄN</t>
        </is>
      </c>
      <c r="G578" t="inlineStr">
        <is>
          <t>EMMABODA</t>
        </is>
      </c>
      <c r="I578" t="n">
        <v>11.6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44728</v>
      </c>
      <c r="E579" s="1" t="n">
        <v>46284</v>
      </c>
      <c r="F579" t="inlineStr">
        <is>
          <t>KALMAR LÄN</t>
        </is>
      </c>
      <c r="G579" t="inlineStr">
        <is>
          <t>EMMABODA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45182</v>
      </c>
      <c r="E580" s="1" t="n">
        <v>46284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44816</v>
      </c>
      <c r="E581" s="1" t="n">
        <v>46284</v>
      </c>
      <c r="F581" t="inlineStr">
        <is>
          <t>KALMAR LÄN</t>
        </is>
      </c>
      <c r="G581" t="inlineStr">
        <is>
          <t>EMMABODA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44924-2022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44840</v>
      </c>
      <c r="E582" s="1" t="n">
        <v>46284</v>
      </c>
      <c r="F582" t="inlineStr">
        <is>
          <t>KALMAR LÄN</t>
        </is>
      </c>
      <c r="G582" t="inlineStr">
        <is>
          <t>EMMABODA</t>
        </is>
      </c>
      <c r="H582" t="inlineStr">
        <is>
          <t>Övriga Aktiebolag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49284-2024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46284</v>
      </c>
      <c r="F583" t="inlineStr">
        <is>
          <t>KALMAR LÄN</t>
        </is>
      </c>
      <c r="G583" t="inlineStr">
        <is>
          <t>EMMABODA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46284</v>
      </c>
      <c r="F584" t="inlineStr">
        <is>
          <t>KALMAR LÄN</t>
        </is>
      </c>
      <c r="G584" t="inlineStr">
        <is>
          <t>EMMABODA</t>
        </is>
      </c>
      <c r="H584" t="inlineStr">
        <is>
          <t>Kyrkan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46284</v>
      </c>
      <c r="F585" t="inlineStr">
        <is>
          <t>KALMAR LÄN</t>
        </is>
      </c>
      <c r="G585" t="inlineStr">
        <is>
          <t>EMMABODA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46213</v>
      </c>
      <c r="E586" s="1" t="n">
        <v>46284</v>
      </c>
      <c r="F586" t="inlineStr">
        <is>
          <t>KALMAR LÄN</t>
        </is>
      </c>
      <c r="G586" t="inlineStr">
        <is>
          <t>EMMABODA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46284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57794-2022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44897</v>
      </c>
      <c r="E588" s="1" t="n">
        <v>46284</v>
      </c>
      <c r="F588" t="inlineStr">
        <is>
          <t>KALMAR LÄN</t>
        </is>
      </c>
      <c r="G588" t="inlineStr">
        <is>
          <t>EMMABODA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46284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34926-2026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46259</v>
      </c>
      <c r="E590" s="1" t="n">
        <v>46284</v>
      </c>
      <c r="F590" t="inlineStr">
        <is>
          <t>KALMAR LÄN</t>
        </is>
      </c>
      <c r="G590" t="inlineStr">
        <is>
          <t>EMMABODA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34905-2026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46284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46284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46284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44827</v>
      </c>
      <c r="E594" s="1" t="n">
        <v>46284</v>
      </c>
      <c r="F594" t="inlineStr">
        <is>
          <t>KALMAR LÄN</t>
        </is>
      </c>
      <c r="G594" t="inlineStr">
        <is>
          <t>EMMABODA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46284</v>
      </c>
      <c r="F595" t="inlineStr">
        <is>
          <t>KALMAR LÄN</t>
        </is>
      </c>
      <c r="G595" t="inlineStr">
        <is>
          <t>EMMABODA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46284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46255</v>
      </c>
      <c r="E597" s="1" t="n">
        <v>46284</v>
      </c>
      <c r="F597" t="inlineStr">
        <is>
          <t>KALMAR LÄN</t>
        </is>
      </c>
      <c r="G597" t="inlineStr">
        <is>
          <t>EMMABODA</t>
        </is>
      </c>
      <c r="H597" t="inlineStr">
        <is>
          <t>Kyrkan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46284</v>
      </c>
      <c r="F598" t="inlineStr">
        <is>
          <t>KALMAR LÄN</t>
        </is>
      </c>
      <c r="G598" t="inlineStr">
        <is>
          <t>EMMABODA</t>
        </is>
      </c>
      <c r="H598" t="inlineStr">
        <is>
          <t>Kyrkan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73058-2021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44550</v>
      </c>
      <c r="E599" s="1" t="n">
        <v>46284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23437-2023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45076</v>
      </c>
      <c r="E600" s="1" t="n">
        <v>46284</v>
      </c>
      <c r="F600" t="inlineStr">
        <is>
          <t>KALMAR LÄN</t>
        </is>
      </c>
      <c r="G600" t="inlineStr">
        <is>
          <t>EMMABODA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46284</v>
      </c>
      <c r="F601" t="inlineStr">
        <is>
          <t>KALMAR LÄN</t>
        </is>
      </c>
      <c r="G601" t="inlineStr">
        <is>
          <t>EMMABODA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45515</v>
      </c>
      <c r="E602" s="1" t="n">
        <v>46284</v>
      </c>
      <c r="F602" t="inlineStr">
        <is>
          <t>KALMAR LÄN</t>
        </is>
      </c>
      <c r="G602" t="inlineStr">
        <is>
          <t>EMMABODA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45307</v>
      </c>
      <c r="E603" s="1" t="n">
        <v>46284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45317</v>
      </c>
      <c r="E604" s="1" t="n">
        <v>46284</v>
      </c>
      <c r="F604" t="inlineStr">
        <is>
          <t>KALMAR LÄN</t>
        </is>
      </c>
      <c r="G604" t="inlineStr">
        <is>
          <t>EMMABODA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43719-2023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45187</v>
      </c>
      <c r="E605" s="1" t="n">
        <v>46284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28600-2022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44748</v>
      </c>
      <c r="E606" s="1" t="n">
        <v>46284</v>
      </c>
      <c r="F606" t="inlineStr">
        <is>
          <t>KALMAR LÄN</t>
        </is>
      </c>
      <c r="G606" t="inlineStr">
        <is>
          <t>EMMABODA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46284</v>
      </c>
      <c r="F607" t="inlineStr">
        <is>
          <t>KALMAR LÄN</t>
        </is>
      </c>
      <c r="G607" t="inlineStr">
        <is>
          <t>EMMABODA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20505-2022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44699</v>
      </c>
      <c r="E608" s="1" t="n">
        <v>46284</v>
      </c>
      <c r="F608" t="inlineStr">
        <is>
          <t>KALMAR LÄN</t>
        </is>
      </c>
      <c r="G608" t="inlineStr">
        <is>
          <t>EMMABODA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45400</v>
      </c>
      <c r="E609" s="1" t="n">
        <v>46284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45229</v>
      </c>
      <c r="E610" s="1" t="n">
        <v>46284</v>
      </c>
      <c r="F610" t="inlineStr">
        <is>
          <t>KALMAR LÄN</t>
        </is>
      </c>
      <c r="G610" t="inlineStr">
        <is>
          <t>EMMABODA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46284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46284</v>
      </c>
      <c r="F612" t="inlineStr">
        <is>
          <t>KALMAR LÄN</t>
        </is>
      </c>
      <c r="G612" t="inlineStr">
        <is>
          <t>EMMABODA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31070-2022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46284</v>
      </c>
      <c r="F613" t="inlineStr">
        <is>
          <t>KALMAR LÄN</t>
        </is>
      </c>
      <c r="G613" t="inlineStr">
        <is>
          <t>EMMABODA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58592-2021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44488</v>
      </c>
      <c r="E614" s="1" t="n">
        <v>46284</v>
      </c>
      <c r="F614" t="inlineStr">
        <is>
          <t>KALMAR LÄN</t>
        </is>
      </c>
      <c r="G614" t="inlineStr">
        <is>
          <t>EMMABODA</t>
        </is>
      </c>
      <c r="H614" t="inlineStr">
        <is>
          <t>Kommuner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45769</v>
      </c>
      <c r="E615" s="1" t="n">
        <v>46284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45394</v>
      </c>
      <c r="E616" s="1" t="n">
        <v>46284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44955</v>
      </c>
      <c r="E617" s="1" t="n">
        <v>46284</v>
      </c>
      <c r="F617" t="inlineStr">
        <is>
          <t>KALMAR LÄN</t>
        </is>
      </c>
      <c r="G617" t="inlineStr">
        <is>
          <t>EMMABODA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45048</v>
      </c>
      <c r="E618" s="1" t="n">
        <v>46284</v>
      </c>
      <c r="F618" t="inlineStr">
        <is>
          <t>KALMAR LÄN</t>
        </is>
      </c>
      <c r="G618" t="inlineStr">
        <is>
          <t>EMMABODA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46284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8151-2024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46284</v>
      </c>
      <c r="F620" t="inlineStr">
        <is>
          <t>KALMAR LÄN</t>
        </is>
      </c>
      <c r="G620" t="inlineStr">
        <is>
          <t>EMMABODA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46284</v>
      </c>
      <c r="F621" t="inlineStr">
        <is>
          <t>KALMAR LÄN</t>
        </is>
      </c>
      <c r="G621" t="inlineStr">
        <is>
          <t>EMMABODA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49953-2023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46284</v>
      </c>
      <c r="F622" t="inlineStr">
        <is>
          <t>KALMAR LÄN</t>
        </is>
      </c>
      <c r="G622" t="inlineStr">
        <is>
          <t>EMMABODA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39521-2024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45551</v>
      </c>
      <c r="E623" s="1" t="n">
        <v>46284</v>
      </c>
      <c r="F623" t="inlineStr">
        <is>
          <t>KALMAR LÄN</t>
        </is>
      </c>
      <c r="G623" t="inlineStr">
        <is>
          <t>EMMABODA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33980-2024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46284</v>
      </c>
      <c r="F624" t="inlineStr">
        <is>
          <t>KALMAR LÄN</t>
        </is>
      </c>
      <c r="G624" t="inlineStr">
        <is>
          <t>EMMABODA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46284</v>
      </c>
      <c r="F625" t="inlineStr">
        <is>
          <t>KALMAR LÄN</t>
        </is>
      </c>
      <c r="G625" t="inlineStr">
        <is>
          <t>EMMABODA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45684</v>
      </c>
      <c r="E626" s="1" t="n">
        <v>46284</v>
      </c>
      <c r="F626" t="inlineStr">
        <is>
          <t>KALMAR LÄN</t>
        </is>
      </c>
      <c r="G626" t="inlineStr">
        <is>
          <t>EMMABODA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46284</v>
      </c>
      <c r="F627" t="inlineStr">
        <is>
          <t>KALMAR LÄN</t>
        </is>
      </c>
      <c r="G627" t="inlineStr">
        <is>
          <t>EMMABODA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29539-2024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45484</v>
      </c>
      <c r="E628" s="1" t="n">
        <v>46284</v>
      </c>
      <c r="F628" t="inlineStr">
        <is>
          <t>KALMAR LÄN</t>
        </is>
      </c>
      <c r="G628" t="inlineStr">
        <is>
          <t>EMMABODA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46271</v>
      </c>
      <c r="E629" s="1" t="n">
        <v>46284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46284</v>
      </c>
      <c r="F630" t="inlineStr">
        <is>
          <t>KALMAR LÄN</t>
        </is>
      </c>
      <c r="G630" t="inlineStr">
        <is>
          <t>EMMABODA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46284</v>
      </c>
      <c r="F631" t="inlineStr">
        <is>
          <t>KALMAR LÄN</t>
        </is>
      </c>
      <c r="G631" t="inlineStr">
        <is>
          <t>EMMABODA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27155-2026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46188</v>
      </c>
      <c r="E632" s="1" t="n">
        <v>46284</v>
      </c>
      <c r="F632" t="inlineStr">
        <is>
          <t>KALMAR LÄN</t>
        </is>
      </c>
      <c r="G632" t="inlineStr">
        <is>
          <t>EMMABODA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46275</v>
      </c>
      <c r="E633" s="1" t="n">
        <v>46284</v>
      </c>
      <c r="F633" t="inlineStr">
        <is>
          <t>KALMAR LÄN</t>
        </is>
      </c>
      <c r="G633" t="inlineStr">
        <is>
          <t>EMMABODA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29782-2023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46284</v>
      </c>
      <c r="F634" t="inlineStr">
        <is>
          <t>KALMAR LÄN</t>
        </is>
      </c>
      <c r="G634" t="inlineStr">
        <is>
          <t>EMMABODA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45445</v>
      </c>
      <c r="E635" s="1" t="n">
        <v>46284</v>
      </c>
      <c r="F635" t="inlineStr">
        <is>
          <t>KALMAR LÄN</t>
        </is>
      </c>
      <c r="G635" t="inlineStr">
        <is>
          <t>EMMABODA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46284</v>
      </c>
      <c r="F636" t="inlineStr">
        <is>
          <t>KALMAR LÄN</t>
        </is>
      </c>
      <c r="G636" t="inlineStr">
        <is>
          <t>EMMABODA</t>
        </is>
      </c>
      <c r="H636" t="inlineStr">
        <is>
          <t>Sveaskog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46284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46284</v>
      </c>
      <c r="F638" t="inlineStr">
        <is>
          <t>KALMAR LÄN</t>
        </is>
      </c>
      <c r="G638" t="inlineStr">
        <is>
          <t>EMMABODA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46279</v>
      </c>
      <c r="E639" s="1" t="n">
        <v>46284</v>
      </c>
      <c r="F639" t="inlineStr">
        <is>
          <t>KALMAR LÄN</t>
        </is>
      </c>
      <c r="G639" t="inlineStr">
        <is>
          <t>EMMABODA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46279</v>
      </c>
      <c r="E640" s="1" t="n">
        <v>46284</v>
      </c>
      <c r="F640" t="inlineStr">
        <is>
          <t>KALMAR LÄN</t>
        </is>
      </c>
      <c r="G640" t="inlineStr">
        <is>
          <t>EMMABODA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45548</v>
      </c>
      <c r="E641" s="1" t="n">
        <v>46284</v>
      </c>
      <c r="F641" t="inlineStr">
        <is>
          <t>KALMAR LÄN</t>
        </is>
      </c>
      <c r="G641" t="inlineStr">
        <is>
          <t>EMMABODA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46284</v>
      </c>
      <c r="F642" t="inlineStr">
        <is>
          <t>KALMAR LÄN</t>
        </is>
      </c>
      <c r="G642" t="inlineStr">
        <is>
          <t>EMMABODA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17527-2024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45415</v>
      </c>
      <c r="E643" s="1" t="n">
        <v>46284</v>
      </c>
      <c r="F643" t="inlineStr">
        <is>
          <t>KALMAR LÄN</t>
        </is>
      </c>
      <c r="G643" t="inlineStr">
        <is>
          <t>EMMABODA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46284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59413-2024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45638</v>
      </c>
      <c r="E645" s="1" t="n">
        <v>46284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46284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46284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42448-2024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46284</v>
      </c>
      <c r="F648" t="inlineStr">
        <is>
          <t>KALMAR LÄN</t>
        </is>
      </c>
      <c r="G648" t="inlineStr">
        <is>
          <t>EMMABODA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45386</v>
      </c>
      <c r="E649" s="1" t="n">
        <v>46284</v>
      </c>
      <c r="F649" t="inlineStr">
        <is>
          <t>KALMAR LÄN</t>
        </is>
      </c>
      <c r="G649" t="inlineStr">
        <is>
          <t>EMMABODA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45775</v>
      </c>
      <c r="E650" s="1" t="n">
        <v>46284</v>
      </c>
      <c r="F650" t="inlineStr">
        <is>
          <t>KALMAR LÄN</t>
        </is>
      </c>
      <c r="G650" t="inlineStr">
        <is>
          <t>EMMABODA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19551-2026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46134</v>
      </c>
      <c r="E651" s="1" t="n">
        <v>46284</v>
      </c>
      <c r="F651" t="inlineStr">
        <is>
          <t>KALMAR LÄN</t>
        </is>
      </c>
      <c r="G651" t="inlineStr">
        <is>
          <t>EMMABODA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45481</v>
      </c>
      <c r="E652" s="1" t="n">
        <v>46284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46284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46284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46284</v>
      </c>
      <c r="F655" t="inlineStr">
        <is>
          <t>KALMAR LÄN</t>
        </is>
      </c>
      <c r="G655" t="inlineStr">
        <is>
          <t>EMMABODA</t>
        </is>
      </c>
      <c r="H655" t="inlineStr">
        <is>
          <t>Sveaskog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45566</v>
      </c>
      <c r="E656" s="1" t="n">
        <v>46284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46284</v>
      </c>
      <c r="F657" t="inlineStr">
        <is>
          <t>KALMAR LÄN</t>
        </is>
      </c>
      <c r="G657" t="inlineStr">
        <is>
          <t>EMMABODA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46284</v>
      </c>
      <c r="F658" t="inlineStr">
        <is>
          <t>KALMAR LÄN</t>
        </is>
      </c>
      <c r="G658" t="inlineStr">
        <is>
          <t>EMMABODA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45484</v>
      </c>
      <c r="E659" s="1" t="n">
        <v>46284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46284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52913-2024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45610</v>
      </c>
      <c r="E661" s="1" t="n">
        <v>46284</v>
      </c>
      <c r="F661" t="inlineStr">
        <is>
          <t>KALMAR LÄN</t>
        </is>
      </c>
      <c r="G661" t="inlineStr">
        <is>
          <t>EMMABODA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33160-2026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46245</v>
      </c>
      <c r="E662" s="1" t="n">
        <v>46284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15281-2024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45400</v>
      </c>
      <c r="E663" s="1" t="n">
        <v>46284</v>
      </c>
      <c r="F663" t="inlineStr">
        <is>
          <t>KALMAR LÄN</t>
        </is>
      </c>
      <c r="G663" t="inlineStr">
        <is>
          <t>EMMABODA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23776-2024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45455</v>
      </c>
      <c r="E664" s="1" t="n">
        <v>46284</v>
      </c>
      <c r="F664" t="inlineStr">
        <is>
          <t>KALMAR LÄN</t>
        </is>
      </c>
      <c r="G664" t="inlineStr">
        <is>
          <t>EMMABODA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38377-2026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46282</v>
      </c>
      <c r="E665" s="1" t="n">
        <v>46284</v>
      </c>
      <c r="F665" t="inlineStr">
        <is>
          <t>KALMAR LÄN</t>
        </is>
      </c>
      <c r="G665" t="inlineStr">
        <is>
          <t>EMMABODA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45665</v>
      </c>
      <c r="E666" s="1" t="n">
        <v>46284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8397-2023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44977</v>
      </c>
      <c r="E667" s="1" t="n">
        <v>46284</v>
      </c>
      <c r="F667" t="inlineStr">
        <is>
          <t>KALMAR LÄN</t>
        </is>
      </c>
      <c r="G667" t="inlineStr">
        <is>
          <t>EMMABODA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46284</v>
      </c>
      <c r="F668" t="inlineStr">
        <is>
          <t>KALMAR LÄN</t>
        </is>
      </c>
      <c r="G668" t="inlineStr">
        <is>
          <t>EMMABODA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44958</v>
      </c>
      <c r="E669" s="1" t="n">
        <v>46284</v>
      </c>
      <c r="F669" t="inlineStr">
        <is>
          <t>KALMAR LÄN</t>
        </is>
      </c>
      <c r="G669" t="inlineStr">
        <is>
          <t>EMMABODA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25316-2025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46284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45804</v>
      </c>
      <c r="E671" s="1" t="n">
        <v>46284</v>
      </c>
      <c r="F671" t="inlineStr">
        <is>
          <t>KALMAR LÄN</t>
        </is>
      </c>
      <c r="G671" t="inlineStr">
        <is>
          <t>EMMABODA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46284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46284</v>
      </c>
      <c r="F673" t="inlineStr">
        <is>
          <t>KALMAR LÄN</t>
        </is>
      </c>
      <c r="G673" t="inlineStr">
        <is>
          <t>EMMABODA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46284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46284</v>
      </c>
      <c r="F675" t="inlineStr">
        <is>
          <t>KALMAR LÄN</t>
        </is>
      </c>
      <c r="G675" t="inlineStr">
        <is>
          <t>EMMABODA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46284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46284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46284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46284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46284</v>
      </c>
      <c r="F680" t="inlineStr">
        <is>
          <t>KALMAR LÄN</t>
        </is>
      </c>
      <c r="G680" t="inlineStr">
        <is>
          <t>EMMABODA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46284</v>
      </c>
      <c r="F681" t="inlineStr">
        <is>
          <t>KALMAR LÄN</t>
        </is>
      </c>
      <c r="G681" t="inlineStr">
        <is>
          <t>EMMABODA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46284</v>
      </c>
      <c r="F682" t="inlineStr">
        <is>
          <t>KALMAR LÄN</t>
        </is>
      </c>
      <c r="G682" t="inlineStr">
        <is>
          <t>EMMABODA</t>
        </is>
      </c>
      <c r="I682" t="n">
        <v>12.5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34055-2025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45845</v>
      </c>
      <c r="E683" s="1" t="n">
        <v>46284</v>
      </c>
      <c r="F683" t="inlineStr">
        <is>
          <t>KALMAR LÄN</t>
        </is>
      </c>
      <c r="G683" t="inlineStr">
        <is>
          <t>EMMABODA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55604-2024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45621</v>
      </c>
      <c r="E684" s="1" t="n">
        <v>46284</v>
      </c>
      <c r="F684" t="inlineStr">
        <is>
          <t>KALMAR LÄN</t>
        </is>
      </c>
      <c r="G684" t="inlineStr">
        <is>
          <t>EMMABODA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46284</v>
      </c>
      <c r="F685" t="inlineStr">
        <is>
          <t>KALMAR LÄN</t>
        </is>
      </c>
      <c r="G685" t="inlineStr">
        <is>
          <t>EMMABODA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46284</v>
      </c>
      <c r="F686" t="inlineStr">
        <is>
          <t>KALMAR LÄN</t>
        </is>
      </c>
      <c r="G686" t="inlineStr">
        <is>
          <t>EMMABODA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46284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9715-2025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46284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35020-2025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45851</v>
      </c>
      <c r="E689" s="1" t="n">
        <v>46284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45851</v>
      </c>
      <c r="E690" s="1" t="n">
        <v>46284</v>
      </c>
      <c r="F690" t="inlineStr">
        <is>
          <t>KALMAR LÄN</t>
        </is>
      </c>
      <c r="G690" t="inlineStr">
        <is>
          <t>EMMABODA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45772</v>
      </c>
      <c r="E691" s="1" t="n">
        <v>46284</v>
      </c>
      <c r="F691" t="inlineStr">
        <is>
          <t>KALMAR LÄN</t>
        </is>
      </c>
      <c r="G691" t="inlineStr">
        <is>
          <t>EMMABODA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45857</v>
      </c>
      <c r="E692" s="1" t="n">
        <v>46284</v>
      </c>
      <c r="F692" t="inlineStr">
        <is>
          <t>KALMAR LÄN</t>
        </is>
      </c>
      <c r="G692" t="inlineStr">
        <is>
          <t>EMMABODA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46284</v>
      </c>
      <c r="F693" t="inlineStr">
        <is>
          <t>KALMAR LÄN</t>
        </is>
      </c>
      <c r="G693" t="inlineStr">
        <is>
          <t>EMMABODA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45750</v>
      </c>
      <c r="E694" s="1" t="n">
        <v>46284</v>
      </c>
      <c r="F694" t="inlineStr">
        <is>
          <t>KALMAR LÄN</t>
        </is>
      </c>
      <c r="G694" t="inlineStr">
        <is>
          <t>EMMABODA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46284</v>
      </c>
      <c r="F695" t="inlineStr">
        <is>
          <t>KALMAR LÄN</t>
        </is>
      </c>
      <c r="G695" t="inlineStr">
        <is>
          <t>EMMABODA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45881</v>
      </c>
      <c r="E696" s="1" t="n">
        <v>46284</v>
      </c>
      <c r="F696" t="inlineStr">
        <is>
          <t>KALMAR LÄN</t>
        </is>
      </c>
      <c r="G696" t="inlineStr">
        <is>
          <t>EMMABODA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7596-2021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44476</v>
      </c>
      <c r="E697" s="1" t="n">
        <v>46284</v>
      </c>
      <c r="F697" t="inlineStr">
        <is>
          <t>KALMAR LÄN</t>
        </is>
      </c>
      <c r="G697" t="inlineStr">
        <is>
          <t>EMMABODA</t>
        </is>
      </c>
      <c r="I697" t="n">
        <v>35.3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3248-2023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46284</v>
      </c>
      <c r="F698" t="inlineStr">
        <is>
          <t>KALMAR LÄN</t>
        </is>
      </c>
      <c r="G698" t="inlineStr">
        <is>
          <t>EMMABODA</t>
        </is>
      </c>
      <c r="I698" t="n">
        <v>30.4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7095-2021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44462</v>
      </c>
      <c r="E699" s="1" t="n">
        <v>46284</v>
      </c>
      <c r="F699" t="inlineStr">
        <is>
          <t>KALMAR LÄN</t>
        </is>
      </c>
      <c r="G699" t="inlineStr">
        <is>
          <t>EMMABODA</t>
        </is>
      </c>
      <c r="I699" t="n">
        <v>129.3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46284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46284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46284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46284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46284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46284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46284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46284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46284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46284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46284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46284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46284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46284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46284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6935-2021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44460</v>
      </c>
      <c r="E715" s="1" t="n">
        <v>46284</v>
      </c>
      <c r="F715" t="inlineStr">
        <is>
          <t>KALMAR LÄN</t>
        </is>
      </c>
      <c r="G715" t="inlineStr">
        <is>
          <t>EMMABODA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1028-2024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45387</v>
      </c>
      <c r="E716" s="1" t="n">
        <v>46284</v>
      </c>
      <c r="F716" t="inlineStr">
        <is>
          <t>KALMAR LÄN</t>
        </is>
      </c>
      <c r="G716" t="inlineStr">
        <is>
          <t>EMMABODA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9363-2021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44519</v>
      </c>
      <c r="E717" s="1" t="n">
        <v>46284</v>
      </c>
      <c r="F717" t="inlineStr">
        <is>
          <t>KALMAR LÄN</t>
        </is>
      </c>
      <c r="G717" t="inlineStr">
        <is>
          <t>EMMABODA</t>
        </is>
      </c>
      <c r="I717" t="n">
        <v>9.199999999999999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3393-2024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45534</v>
      </c>
      <c r="E718" s="1" t="n">
        <v>46284</v>
      </c>
      <c r="F718" t="inlineStr">
        <is>
          <t>KALMAR LÄN</t>
        </is>
      </c>
      <c r="G718" t="inlineStr">
        <is>
          <t>EMMABODA</t>
        </is>
      </c>
      <c r="I718" t="n">
        <v>48.6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918-2024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45377</v>
      </c>
      <c r="E719" s="1" t="n">
        <v>46284</v>
      </c>
      <c r="F719" t="inlineStr">
        <is>
          <t>KALMAR LÄN</t>
        </is>
      </c>
      <c r="G719" t="inlineStr">
        <is>
          <t>EMMABODA</t>
        </is>
      </c>
      <c r="I719" t="n">
        <v>30.6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66-2023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44928</v>
      </c>
      <c r="E720" s="1" t="n">
        <v>46284</v>
      </c>
      <c r="F720" t="inlineStr">
        <is>
          <t>KALMAR LÄN</t>
        </is>
      </c>
      <c r="G720" t="inlineStr">
        <is>
          <t>EMMABODA</t>
        </is>
      </c>
      <c r="I720" t="n">
        <v>29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921-2024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45377</v>
      </c>
      <c r="E721" s="1" t="n">
        <v>46284</v>
      </c>
      <c r="F721" t="inlineStr">
        <is>
          <t>KALMAR LÄN</t>
        </is>
      </c>
      <c r="G721" t="inlineStr">
        <is>
          <t>EMMABODA</t>
        </is>
      </c>
      <c r="I721" t="n">
        <v>15.6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9386-2021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44519</v>
      </c>
      <c r="E722" s="1" t="n">
        <v>46284</v>
      </c>
      <c r="F722" t="inlineStr">
        <is>
          <t>KALMAR LÄN</t>
        </is>
      </c>
      <c r="G722" t="inlineStr">
        <is>
          <t>EMMABODA</t>
        </is>
      </c>
      <c r="I722" t="n">
        <v>18.7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3325-2023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45200</v>
      </c>
      <c r="E723" s="1" t="n">
        <v>46284</v>
      </c>
      <c r="F723" t="inlineStr">
        <is>
          <t>KALMAR LÄN</t>
        </is>
      </c>
      <c r="G723" t="inlineStr">
        <is>
          <t>EMMABODA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6949-2022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44900</v>
      </c>
      <c r="E724" s="1" t="n">
        <v>46284</v>
      </c>
      <c r="F724" t="inlineStr">
        <is>
          <t>KALMAR LÄN</t>
        </is>
      </c>
      <c r="G724" t="inlineStr">
        <is>
          <t>EMMABODA</t>
        </is>
      </c>
      <c r="I724" t="n">
        <v>11.9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45330</v>
      </c>
      <c r="E725" s="1" t="n">
        <v>46284</v>
      </c>
      <c r="F725" t="inlineStr">
        <is>
          <t>KALMAR LÄN</t>
        </is>
      </c>
      <c r="G725" t="inlineStr">
        <is>
          <t>EMMABODA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388-2023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44959</v>
      </c>
      <c r="E726" s="1" t="n">
        <v>46284</v>
      </c>
      <c r="F726" t="inlineStr">
        <is>
          <t>KALMAR LÄN</t>
        </is>
      </c>
      <c r="G726" t="inlineStr">
        <is>
          <t>EMMABODA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919-2024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45348</v>
      </c>
      <c r="E727" s="1" t="n">
        <v>46284</v>
      </c>
      <c r="F727" t="inlineStr">
        <is>
          <t>KALMAR LÄN</t>
        </is>
      </c>
      <c r="G727" t="inlineStr">
        <is>
          <t>EMMABODA</t>
        </is>
      </c>
      <c r="I727" t="n">
        <v>12.3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1775-2025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46284</v>
      </c>
      <c r="F728" t="inlineStr">
        <is>
          <t>KALMAR LÄN</t>
        </is>
      </c>
      <c r="G728" t="inlineStr">
        <is>
          <t>EMMABODA</t>
        </is>
      </c>
      <c r="I728" t="n">
        <v>8.300000000000001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1774-2025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45813</v>
      </c>
      <c r="E729" s="1" t="n">
        <v>46284</v>
      </c>
      <c r="F729" t="inlineStr">
        <is>
          <t>KALMAR LÄN</t>
        </is>
      </c>
      <c r="G729" t="inlineStr">
        <is>
          <t>EMMABODA</t>
        </is>
      </c>
      <c r="I729" t="n">
        <v>21.5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2164-2025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45849</v>
      </c>
      <c r="E730" s="1" t="n">
        <v>46284</v>
      </c>
      <c r="F730" t="inlineStr">
        <is>
          <t>KALMAR LÄN</t>
        </is>
      </c>
      <c r="G730" t="inlineStr">
        <is>
          <t>EMMABODA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2433-2025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45898</v>
      </c>
      <c r="E731" s="1" t="n">
        <v>46284</v>
      </c>
      <c r="F731" t="inlineStr">
        <is>
          <t>KALMAR LÄN</t>
        </is>
      </c>
      <c r="G731" t="inlineStr">
        <is>
          <t>EMMABODA</t>
        </is>
      </c>
      <c r="I731" t="n">
        <v>16.5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2757-2025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45935</v>
      </c>
      <c r="E732" s="1" t="n">
        <v>46284</v>
      </c>
      <c r="F732" t="inlineStr">
        <is>
          <t>KALMAR LÄN</t>
        </is>
      </c>
      <c r="G732" t="inlineStr">
        <is>
          <t>EMMABODA</t>
        </is>
      </c>
      <c r="I732" t="n">
        <v>17.8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3189-2025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45978</v>
      </c>
      <c r="E733" s="1" t="n">
        <v>46284</v>
      </c>
      <c r="F733" t="inlineStr">
        <is>
          <t>KALMAR LÄN</t>
        </is>
      </c>
      <c r="G733" t="inlineStr">
        <is>
          <t>EMMABODA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82-2026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46034</v>
      </c>
      <c r="E734" s="1" t="n">
        <v>46284</v>
      </c>
      <c r="F734" t="inlineStr">
        <is>
          <t>KALMAR LÄN</t>
        </is>
      </c>
      <c r="G734" t="inlineStr">
        <is>
          <t>EMMABODA</t>
        </is>
      </c>
      <c r="I734" t="n">
        <v>47.8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193-2026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46284</v>
      </c>
      <c r="F735" t="inlineStr">
        <is>
          <t>KALMAR LÄN</t>
        </is>
      </c>
      <c r="G735" t="inlineStr">
        <is>
          <t>EMMABODA</t>
        </is>
      </c>
      <c r="I735" t="n">
        <v>12.9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194-2026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46049</v>
      </c>
      <c r="E736" s="1" t="n">
        <v>46284</v>
      </c>
      <c r="F736" t="inlineStr">
        <is>
          <t>KALMAR LÄN</t>
        </is>
      </c>
      <c r="G736" t="inlineStr">
        <is>
          <t>EMMABODA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374-2026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46065</v>
      </c>
      <c r="E737" s="1" t="n">
        <v>46284</v>
      </c>
      <c r="F737" t="inlineStr">
        <is>
          <t>KALMAR LÄN</t>
        </is>
      </c>
      <c r="G737" t="inlineStr">
        <is>
          <t>EMMABODA</t>
        </is>
      </c>
      <c r="I737" t="n">
        <v>22.4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700-2026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46092</v>
      </c>
      <c r="E738" s="1" t="n">
        <v>46284</v>
      </c>
      <c r="F738" t="inlineStr">
        <is>
          <t>KALMAR LÄN</t>
        </is>
      </c>
      <c r="G738" t="inlineStr">
        <is>
          <t>EMMABODA</t>
        </is>
      </c>
      <c r="I738" t="n">
        <v>22.1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337-2026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46062</v>
      </c>
      <c r="E739" s="1" t="n">
        <v>46284</v>
      </c>
      <c r="F739" t="inlineStr">
        <is>
          <t>KALMAR LÄN</t>
        </is>
      </c>
      <c r="G739" t="inlineStr">
        <is>
          <t>EMMABODA</t>
        </is>
      </c>
      <c r="I739" t="n">
        <v>38.4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978-2026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46284</v>
      </c>
      <c r="F740" t="inlineStr">
        <is>
          <t>KALMAR LÄN</t>
        </is>
      </c>
      <c r="G740" t="inlineStr">
        <is>
          <t>EMMABODA</t>
        </is>
      </c>
      <c r="I740" t="n">
        <v>14.1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988-2026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46119</v>
      </c>
      <c r="E741" s="1" t="n">
        <v>46284</v>
      </c>
      <c r="F741" t="inlineStr">
        <is>
          <t>KALMAR LÄN</t>
        </is>
      </c>
      <c r="G741" t="inlineStr">
        <is>
          <t>EMMABODA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1058-2026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46127</v>
      </c>
      <c r="E742" s="1" t="n">
        <v>46284</v>
      </c>
      <c r="F742" t="inlineStr">
        <is>
          <t>KALMAR LÄN</t>
        </is>
      </c>
      <c r="G742" t="inlineStr">
        <is>
          <t>EMMABODA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46167</v>
      </c>
      <c r="E743" s="1" t="n">
        <v>46284</v>
      </c>
      <c r="F743" t="inlineStr">
        <is>
          <t>KALMAR LÄN</t>
        </is>
      </c>
      <c r="G743" t="inlineStr">
        <is>
          <t>EMMABODA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1430-2026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46156</v>
      </c>
      <c r="E744" s="1" t="n">
        <v>46284</v>
      </c>
      <c r="F744" t="inlineStr">
        <is>
          <t>KALMAR LÄN</t>
        </is>
      </c>
      <c r="G744" t="inlineStr">
        <is>
          <t>EMMABODA</t>
        </is>
      </c>
      <c r="I744" t="n">
        <v>17.1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1688-2026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46183</v>
      </c>
      <c r="E745" s="1" t="n">
        <v>46284</v>
      </c>
      <c r="F745" t="inlineStr">
        <is>
          <t>KALMAR LÄN</t>
        </is>
      </c>
      <c r="G745" t="inlineStr">
        <is>
          <t>EMMABODA</t>
        </is>
      </c>
      <c r="I745" t="n">
        <v>40.2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1771-2026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46191</v>
      </c>
      <c r="E746" s="1" t="n">
        <v>46284</v>
      </c>
      <c r="F746" t="inlineStr">
        <is>
          <t>KALMAR LÄN</t>
        </is>
      </c>
      <c r="G746" t="inlineStr">
        <is>
          <t>EMMABODA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>
      <c r="A747" t="inlineStr">
        <is>
          <t>S 2395-2026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46276</v>
      </c>
      <c r="E747" s="1" t="n">
        <v>46284</v>
      </c>
      <c r="F747" t="inlineStr">
        <is>
          <t>KALMAR LÄN</t>
        </is>
      </c>
      <c r="G747" t="inlineStr">
        <is>
          <t>EMMABODA</t>
        </is>
      </c>
      <c r="H747" t="inlineStr">
        <is>
          <t>Kyrkan</t>
        </is>
      </c>
      <c r="I747" t="n">
        <v>113.3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2026-09-19T02:02:40Z</dcterms:created>
  <dcterms:modified xmlns:dcterms="http://purl.org/dc/terms/" xmlns:xsi="http://www.w3.org/2001/XMLSchema-instance" xsi:type="dcterms:W3CDTF">2026-09-19T02:02:41Z</dcterms:modified>
</cp:coreProperties>
</file>