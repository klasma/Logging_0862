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46260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46260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46260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46260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46260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46260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46260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46260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46260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46260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46260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46260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46260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46260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46260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46260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46260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46260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46260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6247-2026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46260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HYPERLINK("https://klasma.github.io/Logging_0862/artfynd/A 6247-2026 artfynd.xlsx", "A 6247-2026")</f>
        <v/>
      </c>
      <c r="X26">
        <f>HYPERLINK("https://klasma.github.io/Logging_0862/kartor/A 6247-2026 karta.png", "A 6247-2026")</f>
        <v/>
      </c>
      <c r="Y26">
        <f>HYPERLINK("https://klasma.github.io/Logging_0862/kartor_geotiff/A 6247-2026 georefererad karta.tif", "A 6247-2026")</f>
        <v/>
      </c>
      <c r="AA26">
        <f>HYPERLINK("https://klasma.github.io/Logging_0862/klagomål/A 6247-2026 FSC-klagomål.docx", "A 6247-2026")</f>
        <v/>
      </c>
      <c r="AB26">
        <f>HYPERLINK("https://klasma.github.io/Logging_0862/klagomålsmail/A 6247-2026 FSC-klagomål mail.docx", "A 6247-2026")</f>
        <v/>
      </c>
      <c r="AC26">
        <f>HYPERLINK("https://klasma.github.io/Logging_0862/tillsyn/A 6247-2026 tillsynsbegäran.docx", "A 6247-2026")</f>
        <v/>
      </c>
      <c r="AD26">
        <f>HYPERLINK("https://klasma.github.io/Logging_0862/tillsynsmail/A 6247-2026 tillsynsbegäran mail.docx", "A 6247-2026")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46260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46260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HYPERLINK("https://klasma.github.io/Logging_0862/artfynd/A 24282-2025 artfynd.xlsx", "A 24282-2025")</f>
        <v/>
      </c>
      <c r="X28">
        <f>HYPERLINK("https://klasma.github.io/Logging_0862/kartor/A 24282-2025 karta.png", "A 24282-2025")</f>
        <v/>
      </c>
      <c r="Y28">
        <f>HYPERLINK("https://klasma.github.io/Logging_0862/kartor_geotiff/A 24282-2025 georefererad karta.tif", "A 24282-2025")</f>
        <v/>
      </c>
      <c r="AA28">
        <f>HYPERLINK("https://klasma.github.io/Logging_0862/klagomål/A 24282-2025 FSC-klagomål.docx", "A 24282-2025")</f>
        <v/>
      </c>
      <c r="AB28">
        <f>HYPERLINK("https://klasma.github.io/Logging_0862/klagomålsmail/A 24282-2025 FSC-klagomål mail.docx", "A 24282-2025")</f>
        <v/>
      </c>
      <c r="AC28">
        <f>HYPERLINK("https://klasma.github.io/Logging_0862/tillsyn/A 24282-2025 tillsynsbegäran.docx", "A 24282-2025")</f>
        <v/>
      </c>
      <c r="AD28">
        <f>HYPERLINK("https://klasma.github.io/Logging_0862/tillsynsmail/A 24282-2025 tillsynsbegäran mail.docx", "A 24282-2025")</f>
        <v/>
      </c>
      <c r="AE28">
        <f>HYPERLINK("https://klasma.github.io/Logging_0862/fåglar/A 24282-2025 prioriterade fågelarter.docx", "A 24282-2025")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46260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52182-2025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45953</v>
      </c>
      <c r="E30" s="1" t="n">
        <v>46260</v>
      </c>
      <c r="F30" t="inlineStr">
        <is>
          <t>KALMAR LÄN</t>
        </is>
      </c>
      <c r="G30" t="inlineStr">
        <is>
          <t>EMMABODA</t>
        </is>
      </c>
      <c r="I30" t="n">
        <v>7.6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Göktyta</t>
        </is>
      </c>
      <c r="W30">
        <f>HYPERLINK("https://klasma.github.io/Logging_0862/artfynd/A 52182-2025 artfynd.xlsx", "A 52182-2025")</f>
        <v/>
      </c>
      <c r="X30">
        <f>HYPERLINK("https://klasma.github.io/Logging_0862/kartor/A 52182-2025 karta.png", "A 52182-2025")</f>
        <v/>
      </c>
      <c r="Y30">
        <f>HYPERLINK("https://klasma.github.io/Logging_0862/kartor_geotiff/A 52182-2025 georefererad karta.tif", "A 52182-2025")</f>
        <v/>
      </c>
      <c r="AA30">
        <f>HYPERLINK("https://klasma.github.io/Logging_0862/klagomål/A 52182-2025 FSC-klagomål.docx", "A 52182-2025")</f>
        <v/>
      </c>
      <c r="AB30">
        <f>HYPERLINK("https://klasma.github.io/Logging_0862/klagomålsmail/A 52182-2025 FSC-klagomål mail.docx", "A 52182-2025")</f>
        <v/>
      </c>
      <c r="AC30">
        <f>HYPERLINK("https://klasma.github.io/Logging_0862/tillsyn/A 52182-2025 tillsynsbegäran.docx", "A 52182-2025")</f>
        <v/>
      </c>
      <c r="AD30">
        <f>HYPERLINK("https://klasma.github.io/Logging_0862/tillsynsmail/A 52182-2025 tillsynsbegäran mail.docx", "A 52182-2025")</f>
        <v/>
      </c>
      <c r="AE30">
        <f>HYPERLINK("https://klasma.github.io/Logging_0862/fåglar/A 52182-2025 prioriterade fågelarter.docx", "A 52182-2025")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46260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46260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46260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46260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5884-2024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46260</v>
      </c>
      <c r="F35" t="inlineStr">
        <is>
          <t>KALMAR LÄN</t>
        </is>
      </c>
      <c r="G35" t="inlineStr">
        <is>
          <t>EMMABODA</t>
        </is>
      </c>
      <c r="I35" t="n">
        <v>4.7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HYPERLINK("https://klasma.github.io/Logging_0862/artfynd/A 5884-2024 artfynd.xlsx", "A 5884-2024")</f>
        <v/>
      </c>
      <c r="X35">
        <f>HYPERLINK("https://klasma.github.io/Logging_0862/kartor/A 5884-2024 karta.png", "A 5884-2024")</f>
        <v/>
      </c>
      <c r="Y35">
        <f>HYPERLINK("https://klasma.github.io/Logging_0862/kartor_geotiff/A 5884-2024 georefererad karta.tif", "A 5884-2024")</f>
        <v/>
      </c>
      <c r="AA35">
        <f>HYPERLINK("https://klasma.github.io/Logging_0862/klagomål/A 5884-2024 FSC-klagomål.docx", "A 5884-2024")</f>
        <v/>
      </c>
      <c r="AB35">
        <f>HYPERLINK("https://klasma.github.io/Logging_0862/klagomålsmail/A 5884-2024 FSC-klagomål mail.docx", "A 5884-2024")</f>
        <v/>
      </c>
      <c r="AC35">
        <f>HYPERLINK("https://klasma.github.io/Logging_0862/tillsyn/A 5884-2024 tillsynsbegäran.docx", "A 5884-2024")</f>
        <v/>
      </c>
      <c r="AD35">
        <f>HYPERLINK("https://klasma.github.io/Logging_0862/tillsynsmail/A 5884-2024 tillsynsbegäran mail.docx", "A 5884-2024")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46260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46260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46260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46260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Lappuggla</t>
        </is>
      </c>
      <c r="W39">
        <f>HYPERLINK("https://klasma.github.io/Logging_0862/artfynd/A 31226-2022 artfynd.xlsx", "A 31226-2022")</f>
        <v/>
      </c>
      <c r="X39">
        <f>HYPERLINK("https://klasma.github.io/Logging_0862/kartor/A 31226-2022 karta.png", "A 31226-2022")</f>
        <v/>
      </c>
      <c r="Y39">
        <f>HYPERLINK("https://klasma.github.io/Logging_0862/kartor_geotiff/A 31226-2022 georefererad karta.tif", "A 31226-2022")</f>
        <v/>
      </c>
      <c r="AA39">
        <f>HYPERLINK("https://klasma.github.io/Logging_0862/klagomål/A 31226-2022 FSC-klagomål.docx", "A 31226-2022")</f>
        <v/>
      </c>
      <c r="AB39">
        <f>HYPERLINK("https://klasma.github.io/Logging_0862/klagomålsmail/A 31226-2022 FSC-klagomål mail.docx", "A 31226-2022")</f>
        <v/>
      </c>
      <c r="AC39">
        <f>HYPERLINK("https://klasma.github.io/Logging_0862/tillsyn/A 31226-2022 tillsynsbegäran.docx", "A 31226-2022")</f>
        <v/>
      </c>
      <c r="AD39">
        <f>HYPERLINK("https://klasma.github.io/Logging_0862/tillsynsmail/A 31226-2022 tillsynsbegäran mail.docx", "A 31226-2022")</f>
        <v/>
      </c>
      <c r="AE39">
        <f>HYPERLINK("https://klasma.github.io/Logging_0862/fåglar/A 31226-2022 prioriterade fågelarter.docx", "A 31226-2022")</f>
        <v/>
      </c>
    </row>
    <row r="40" ht="15" customHeight="1">
      <c r="A40" t="inlineStr">
        <is>
          <t>A 34220-2026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46260</v>
      </c>
      <c r="F40" t="inlineStr">
        <is>
          <t>KALMAR LÄN</t>
        </is>
      </c>
      <c r="G40" t="inlineStr">
        <is>
          <t>EMMABODA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34220-2026 artfynd.xlsx", "A 34220-2026")</f>
        <v/>
      </c>
      <c r="X40">
        <f>HYPERLINK("https://klasma.github.io/Logging_0862/kartor/A 34220-2026 karta.png", "A 34220-2026")</f>
        <v/>
      </c>
      <c r="Y40">
        <f>HYPERLINK("https://klasma.github.io/Logging_0862/kartor_geotiff/A 34220-2026 georefererad karta.tif", "A 34220-2026")</f>
        <v/>
      </c>
      <c r="AA40">
        <f>HYPERLINK("https://klasma.github.io/Logging_0862/klagomål/A 34220-2026 FSC-klagomål.docx", "A 34220-2026")</f>
        <v/>
      </c>
      <c r="AB40">
        <f>HYPERLINK("https://klasma.github.io/Logging_0862/klagomålsmail/A 34220-2026 FSC-klagomål mail.docx", "A 34220-2026")</f>
        <v/>
      </c>
      <c r="AC40">
        <f>HYPERLINK("https://klasma.github.io/Logging_0862/tillsyn/A 34220-2026 tillsynsbegäran.docx", "A 34220-2026")</f>
        <v/>
      </c>
      <c r="AD40">
        <f>HYPERLINK("https://klasma.github.io/Logging_0862/tillsynsmail/A 34220-2026 tillsynsbegäran mail.docx", "A 34220-2026")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46260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53370-2023 artfynd.xlsx", "A 53370-2023")</f>
        <v/>
      </c>
      <c r="X41">
        <f>HYPERLINK("https://klasma.github.io/Logging_0862/kartor/A 53370-2023 karta.png", "A 53370-2023")</f>
        <v/>
      </c>
      <c r="Y41">
        <f>HYPERLINK("https://klasma.github.io/Logging_0862/kartor_geotiff/A 53370-2023 georefererad karta.tif", "A 53370-2023")</f>
        <v/>
      </c>
      <c r="Z41">
        <f>HYPERLINK("https://klasma.github.io/Logging_0862/knärot/A 53370-2023 karta knärot.png", "A 53370-2023")</f>
        <v/>
      </c>
      <c r="AA41">
        <f>HYPERLINK("https://klasma.github.io/Logging_0862/klagomål/A 53370-2023 FSC-klagomål.docx", "A 53370-2023")</f>
        <v/>
      </c>
      <c r="AB41">
        <f>HYPERLINK("https://klasma.github.io/Logging_0862/klagomålsmail/A 53370-2023 FSC-klagomål mail.docx", "A 53370-2023")</f>
        <v/>
      </c>
      <c r="AC41">
        <f>HYPERLINK("https://klasma.github.io/Logging_0862/tillsyn/A 53370-2023 tillsynsbegäran.docx", "A 53370-2023")</f>
        <v/>
      </c>
      <c r="AD41">
        <f>HYPERLINK("https://klasma.github.io/Logging_0862/tillsynsmail/A 53370-2023 tillsynsbegäran mail.docx", "A 53370-2023")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46260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30949-2026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46260</v>
      </c>
      <c r="F43" t="inlineStr">
        <is>
          <t>KALMAR LÄN</t>
        </is>
      </c>
      <c r="G43" t="inlineStr">
        <is>
          <t>EMMABODA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dunört</t>
        </is>
      </c>
      <c r="W43">
        <f>HYPERLINK("https://klasma.github.io/Logging_0862/artfynd/A 30949-2026 artfynd.xlsx", "A 30949-2026")</f>
        <v/>
      </c>
      <c r="X43">
        <f>HYPERLINK("https://klasma.github.io/Logging_0862/kartor/A 30949-2026 karta.png", "A 30949-2026")</f>
        <v/>
      </c>
      <c r="Y43">
        <f>HYPERLINK("https://klasma.github.io/Logging_0862/kartor_geotiff/A 30949-2026 georefererad karta.tif", "A 30949-2026")</f>
        <v/>
      </c>
      <c r="AA43">
        <f>HYPERLINK("https://klasma.github.io/Logging_0862/klagomål/A 30949-2026 FSC-klagomål.docx", "A 30949-2026")</f>
        <v/>
      </c>
      <c r="AB43">
        <f>HYPERLINK("https://klasma.github.io/Logging_0862/klagomålsmail/A 30949-2026 FSC-klagomål mail.docx", "A 30949-2026")</f>
        <v/>
      </c>
      <c r="AC43">
        <f>HYPERLINK("https://klasma.github.io/Logging_0862/tillsyn/A 30949-2026 tillsynsbegäran.docx", "A 30949-2026")</f>
        <v/>
      </c>
      <c r="AD43">
        <f>HYPERLINK("https://klasma.github.io/Logging_0862/tillsynsmail/A 30949-2026 tillsynsbegäran mail.docx", "A 30949-2026")</f>
        <v/>
      </c>
    </row>
    <row r="44" ht="15" customHeight="1">
      <c r="A44" t="inlineStr">
        <is>
          <t>A 29859-2023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46260</v>
      </c>
      <c r="F44" t="inlineStr">
        <is>
          <t>KALMAR LÄN</t>
        </is>
      </c>
      <c r="G44" t="inlineStr">
        <is>
          <t>EMMABODA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HYPERLINK("https://klasma.github.io/Logging_0862/artfynd/A 29859-2023 artfynd.xlsx", "A 29859-2023")</f>
        <v/>
      </c>
      <c r="X44">
        <f>HYPERLINK("https://klasma.github.io/Logging_0862/kartor/A 29859-2023 karta.png", "A 29859-2023")</f>
        <v/>
      </c>
      <c r="Y44">
        <f>HYPERLINK("https://klasma.github.io/Logging_0862/kartor_geotiff/A 29859-2023 georefererad karta.tif", "A 29859-2023")</f>
        <v/>
      </c>
      <c r="AA44">
        <f>HYPERLINK("https://klasma.github.io/Logging_0862/klagomål/A 29859-2023 FSC-klagomål.docx", "A 29859-2023")</f>
        <v/>
      </c>
      <c r="AB44">
        <f>HYPERLINK("https://klasma.github.io/Logging_0862/klagomålsmail/A 29859-2023 FSC-klagomål mail.docx", "A 29859-2023")</f>
        <v/>
      </c>
      <c r="AC44">
        <f>HYPERLINK("https://klasma.github.io/Logging_0862/tillsyn/A 29859-2023 tillsynsbegäran.docx", "A 29859-2023")</f>
        <v/>
      </c>
      <c r="AD44">
        <f>HYPERLINK("https://klasma.github.io/Logging_0862/tillsynsmail/A 29859-2023 tillsynsbegäran mail.docx", "A 29859-2023")</f>
        <v/>
      </c>
      <c r="AE44">
        <f>HYPERLINK("https://klasma.github.io/Logging_0862/fåglar/A 29859-2023 prioriterade fågelarter.docx", "A 29859-2023")</f>
        <v/>
      </c>
    </row>
    <row r="45" ht="15" customHeight="1">
      <c r="A45" t="inlineStr">
        <is>
          <t>A 60257-2021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44495</v>
      </c>
      <c r="E45" s="1" t="n">
        <v>46260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HYPERLINK("https://klasma.github.io/Logging_0862/artfynd/A 60257-2021 artfynd.xlsx", "A 60257-2021")</f>
        <v/>
      </c>
      <c r="X45">
        <f>HYPERLINK("https://klasma.github.io/Logging_0862/kartor/A 60257-2021 karta.png", "A 60257-2021")</f>
        <v/>
      </c>
      <c r="Y45">
        <f>HYPERLINK("https://klasma.github.io/Logging_0862/kartor_geotiff/A 60257-2021 georefererad karta.tif", "A 60257-2021")</f>
        <v/>
      </c>
      <c r="Z45">
        <f>HYPERLINK("https://klasma.github.io/Logging_0862/knärot/A 60257-2021 karta knärot.png", "A 60257-2021")</f>
        <v/>
      </c>
      <c r="AA45">
        <f>HYPERLINK("https://klasma.github.io/Logging_0862/klagomål/A 60257-2021 FSC-klagomål.docx", "A 60257-2021")</f>
        <v/>
      </c>
      <c r="AB45">
        <f>HYPERLINK("https://klasma.github.io/Logging_0862/klagomålsmail/A 60257-2021 FSC-klagomål mail.docx", "A 60257-2021")</f>
        <v/>
      </c>
      <c r="AC45">
        <f>HYPERLINK("https://klasma.github.io/Logging_0862/tillsyn/A 60257-2021 tillsynsbegäran.docx", "A 60257-2021")</f>
        <v/>
      </c>
      <c r="AD45">
        <f>HYPERLINK("https://klasma.github.io/Logging_0862/tillsynsmail/A 60257-2021 tillsynsbegäran mail.docx", "A 60257-2021")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46260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46260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46260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46260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46260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46260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46260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46260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46260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46260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46260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46260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46260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46260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46260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46260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46260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46260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46260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46260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44441</v>
      </c>
      <c r="E66" s="1" t="n">
        <v>46260</v>
      </c>
      <c r="F66" t="inlineStr">
        <is>
          <t>KALMAR LÄN</t>
        </is>
      </c>
      <c r="G66" t="inlineStr">
        <is>
          <t>EMMABODA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46260</v>
      </c>
      <c r="F67" t="inlineStr">
        <is>
          <t>KALMAR LÄN</t>
        </is>
      </c>
      <c r="G67" t="inlineStr">
        <is>
          <t>EMMABODA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46260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46260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46260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46260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46260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46260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46260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46260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46260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46260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46260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46260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46260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46260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46260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46260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46260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46260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46260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46260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46260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46260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46260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46260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46260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46260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46260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46260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46260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46260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46260</v>
      </c>
      <c r="F98" t="inlineStr">
        <is>
          <t>KALMAR LÄN</t>
        </is>
      </c>
      <c r="G98" t="inlineStr">
        <is>
          <t>EMMABODA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46260</v>
      </c>
      <c r="F99" t="inlineStr">
        <is>
          <t>KALMAR LÄN</t>
        </is>
      </c>
      <c r="G99" t="inlineStr">
        <is>
          <t>EMMABODA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46260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46260</v>
      </c>
      <c r="F101" t="inlineStr">
        <is>
          <t>KALMAR LÄN</t>
        </is>
      </c>
      <c r="G101" t="inlineStr">
        <is>
          <t>EMMABODA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46260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46260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46260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46260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46260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46260</v>
      </c>
      <c r="F107" t="inlineStr">
        <is>
          <t>KALMAR LÄN</t>
        </is>
      </c>
      <c r="G107" t="inlineStr">
        <is>
          <t>EMMABODA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44600</v>
      </c>
      <c r="E108" s="1" t="n">
        <v>46260</v>
      </c>
      <c r="F108" t="inlineStr">
        <is>
          <t>KALMAR LÄN</t>
        </is>
      </c>
      <c r="G108" t="inlineStr">
        <is>
          <t>EMMABODA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46260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46260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46260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46260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46260</v>
      </c>
      <c r="F113" t="inlineStr">
        <is>
          <t>KALMAR LÄN</t>
        </is>
      </c>
      <c r="G113" t="inlineStr">
        <is>
          <t>EMMABODA</t>
        </is>
      </c>
      <c r="H113" t="inlineStr">
        <is>
          <t>Kommuner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44622</v>
      </c>
      <c r="E114" s="1" t="n">
        <v>46260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46260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67653-2021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46260</v>
      </c>
      <c r="F116" t="inlineStr">
        <is>
          <t>KALMAR LÄN</t>
        </is>
      </c>
      <c r="G116" t="inlineStr">
        <is>
          <t>EMMABODA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46260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46260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46260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46260</v>
      </c>
      <c r="F120" t="inlineStr">
        <is>
          <t>KALMAR LÄN</t>
        </is>
      </c>
      <c r="G120" t="inlineStr">
        <is>
          <t>EMMABODA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46260</v>
      </c>
      <c r="F121" t="inlineStr">
        <is>
          <t>KALMAR LÄN</t>
        </is>
      </c>
      <c r="G121" t="inlineStr">
        <is>
          <t>EMMABODA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46260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46260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46260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46260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46260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46260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46260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46260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46260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46260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46260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46260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46260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46260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46260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46260</v>
      </c>
      <c r="F137" t="inlineStr">
        <is>
          <t>KALMAR LÄN</t>
        </is>
      </c>
      <c r="G137" t="inlineStr">
        <is>
          <t>EMMABODA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46260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45445</v>
      </c>
      <c r="E139" s="1" t="n">
        <v>46260</v>
      </c>
      <c r="F139" t="inlineStr">
        <is>
          <t>KALMAR LÄN</t>
        </is>
      </c>
      <c r="G139" t="inlineStr">
        <is>
          <t>EMMABODA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46260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46260</v>
      </c>
      <c r="F141" t="inlineStr">
        <is>
          <t>KALMAR LÄN</t>
        </is>
      </c>
      <c r="G141" t="inlineStr">
        <is>
          <t>EMMABODA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45397</v>
      </c>
      <c r="E142" s="1" t="n">
        <v>46260</v>
      </c>
      <c r="F142" t="inlineStr">
        <is>
          <t>KALMAR LÄN</t>
        </is>
      </c>
      <c r="G142" t="inlineStr">
        <is>
          <t>EMMABODA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46260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46260</v>
      </c>
      <c r="F144" t="inlineStr">
        <is>
          <t>KALMAR LÄN</t>
        </is>
      </c>
      <c r="G144" t="inlineStr">
        <is>
          <t>EMMABODA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46260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46260</v>
      </c>
      <c r="F146" t="inlineStr">
        <is>
          <t>KALMAR LÄN</t>
        </is>
      </c>
      <c r="G146" t="inlineStr">
        <is>
          <t>EMMABODA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46260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46260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45606</v>
      </c>
      <c r="E149" s="1" t="n">
        <v>46260</v>
      </c>
      <c r="F149" t="inlineStr">
        <is>
          <t>KALMAR LÄN</t>
        </is>
      </c>
      <c r="G149" t="inlineStr">
        <is>
          <t>EMMABODA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46260</v>
      </c>
      <c r="F150" t="inlineStr">
        <is>
          <t>KALMAR LÄN</t>
        </is>
      </c>
      <c r="G150" t="inlineStr">
        <is>
          <t>EMMABODA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45392</v>
      </c>
      <c r="E151" s="1" t="n">
        <v>46260</v>
      </c>
      <c r="F151" t="inlineStr">
        <is>
          <t>KALMAR LÄN</t>
        </is>
      </c>
      <c r="G151" t="inlineStr">
        <is>
          <t>EMMABODA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33052-2023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46260</v>
      </c>
      <c r="F152" t="inlineStr">
        <is>
          <t>KALMAR LÄN</t>
        </is>
      </c>
      <c r="G152" t="inlineStr">
        <is>
          <t>EMMABODA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46260</v>
      </c>
      <c r="F153" t="inlineStr">
        <is>
          <t>KALMAR LÄN</t>
        </is>
      </c>
      <c r="G153" t="inlineStr">
        <is>
          <t>EMMABODA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45022</v>
      </c>
      <c r="E154" s="1" t="n">
        <v>46260</v>
      </c>
      <c r="F154" t="inlineStr">
        <is>
          <t>KALMAR LÄN</t>
        </is>
      </c>
      <c r="G154" t="inlineStr">
        <is>
          <t>EMMABODA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58156-2021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46260</v>
      </c>
      <c r="F155" t="inlineStr">
        <is>
          <t>KALMAR LÄN</t>
        </is>
      </c>
      <c r="G155" t="inlineStr">
        <is>
          <t>EMMABODA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46260</v>
      </c>
      <c r="F156" t="inlineStr">
        <is>
          <t>KALMAR LÄN</t>
        </is>
      </c>
      <c r="G156" t="inlineStr">
        <is>
          <t>EMMABODA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46260</v>
      </c>
      <c r="F157" t="inlineStr">
        <is>
          <t>KALMAR LÄN</t>
        </is>
      </c>
      <c r="G157" t="inlineStr">
        <is>
          <t>EMMABODA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46260</v>
      </c>
      <c r="F158" t="inlineStr">
        <is>
          <t>KALMAR LÄN</t>
        </is>
      </c>
      <c r="G158" t="inlineStr">
        <is>
          <t>EMMABODA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46260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46260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46260</v>
      </c>
      <c r="F161" t="inlineStr">
        <is>
          <t>KALMAR LÄN</t>
        </is>
      </c>
      <c r="G161" t="inlineStr">
        <is>
          <t>EMMABODA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45237</v>
      </c>
      <c r="E162" s="1" t="n">
        <v>46260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46260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45230</v>
      </c>
      <c r="E164" s="1" t="n">
        <v>46260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46260</v>
      </c>
      <c r="F165" t="inlineStr">
        <is>
          <t>KALMAR LÄN</t>
        </is>
      </c>
      <c r="G165" t="inlineStr">
        <is>
          <t>EMMABODA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46260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44572</v>
      </c>
      <c r="E167" s="1" t="n">
        <v>46260</v>
      </c>
      <c r="F167" t="inlineStr">
        <is>
          <t>KALMAR LÄN</t>
        </is>
      </c>
      <c r="G167" t="inlineStr">
        <is>
          <t>EMMABODA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46260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46260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46260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46260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66658-2021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46260</v>
      </c>
      <c r="F172" t="inlineStr">
        <is>
          <t>KALMAR LÄN</t>
        </is>
      </c>
      <c r="G172" t="inlineStr">
        <is>
          <t>EMMABODA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46260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44683</v>
      </c>
      <c r="E174" s="1" t="n">
        <v>46260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45309</v>
      </c>
      <c r="E175" s="1" t="n">
        <v>46260</v>
      </c>
      <c r="F175" t="inlineStr">
        <is>
          <t>KALMAR LÄN</t>
        </is>
      </c>
      <c r="G175" t="inlineStr">
        <is>
          <t>EMMABODA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46260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46260</v>
      </c>
      <c r="F177" t="inlineStr">
        <is>
          <t>KALMAR LÄN</t>
        </is>
      </c>
      <c r="G177" t="inlineStr">
        <is>
          <t>EMMABODA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45665</v>
      </c>
      <c r="E178" s="1" t="n">
        <v>46260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45164</v>
      </c>
      <c r="E179" s="1" t="n">
        <v>46260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46260</v>
      </c>
      <c r="F180" t="inlineStr">
        <is>
          <t>KALMAR LÄN</t>
        </is>
      </c>
      <c r="G180" t="inlineStr">
        <is>
          <t>EMMABODA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46260</v>
      </c>
      <c r="F181" t="inlineStr">
        <is>
          <t>KALMAR LÄN</t>
        </is>
      </c>
      <c r="G181" t="inlineStr">
        <is>
          <t>EMMABODA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46260</v>
      </c>
      <c r="F182" t="inlineStr">
        <is>
          <t>KALMAR LÄN</t>
        </is>
      </c>
      <c r="G182" t="inlineStr">
        <is>
          <t>EMMABODA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46260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46260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57402-2022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46260</v>
      </c>
      <c r="F185" t="inlineStr">
        <is>
          <t>KALMAR LÄN</t>
        </is>
      </c>
      <c r="G185" t="inlineStr">
        <is>
          <t>EMMABODA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14415-2024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45394</v>
      </c>
      <c r="E186" s="1" t="n">
        <v>46260</v>
      </c>
      <c r="F186" t="inlineStr">
        <is>
          <t>KALMAR LÄN</t>
        </is>
      </c>
      <c r="G186" t="inlineStr">
        <is>
          <t>EMMABODA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46260</v>
      </c>
      <c r="F187" t="inlineStr">
        <is>
          <t>KALMAR LÄN</t>
        </is>
      </c>
      <c r="G187" t="inlineStr">
        <is>
          <t>EMMABODA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45606</v>
      </c>
      <c r="E188" s="1" t="n">
        <v>46260</v>
      </c>
      <c r="F188" t="inlineStr">
        <is>
          <t>KALMAR LÄN</t>
        </is>
      </c>
      <c r="G188" t="inlineStr">
        <is>
          <t>EMMABODA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45355</v>
      </c>
      <c r="E189" s="1" t="n">
        <v>46260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46260</v>
      </c>
      <c r="F190" t="inlineStr">
        <is>
          <t>KALMAR LÄN</t>
        </is>
      </c>
      <c r="G190" t="inlineStr">
        <is>
          <t>EMMABODA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46260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34032-2022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44791</v>
      </c>
      <c r="E192" s="1" t="n">
        <v>46260</v>
      </c>
      <c r="F192" t="inlineStr">
        <is>
          <t>KALMAR LÄN</t>
        </is>
      </c>
      <c r="G192" t="inlineStr">
        <is>
          <t>EMMABODA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46260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44834</v>
      </c>
      <c r="E194" s="1" t="n">
        <v>46260</v>
      </c>
      <c r="F194" t="inlineStr">
        <is>
          <t>KALMAR LÄN</t>
        </is>
      </c>
      <c r="G194" t="inlineStr">
        <is>
          <t>EMMABODA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45369</v>
      </c>
      <c r="E195" s="1" t="n">
        <v>46260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46260</v>
      </c>
      <c r="F196" t="inlineStr">
        <is>
          <t>KALMAR LÄN</t>
        </is>
      </c>
      <c r="G196" t="inlineStr">
        <is>
          <t>EMMABODA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44982</v>
      </c>
      <c r="E197" s="1" t="n">
        <v>46260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44783</v>
      </c>
      <c r="E198" s="1" t="n">
        <v>46260</v>
      </c>
      <c r="F198" t="inlineStr">
        <is>
          <t>KALMAR LÄN</t>
        </is>
      </c>
      <c r="G198" t="inlineStr">
        <is>
          <t>EMMABODA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46260</v>
      </c>
      <c r="F199" t="inlineStr">
        <is>
          <t>KALMAR LÄN</t>
        </is>
      </c>
      <c r="G199" t="inlineStr">
        <is>
          <t>EMMABODA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44487</v>
      </c>
      <c r="E200" s="1" t="n">
        <v>46260</v>
      </c>
      <c r="F200" t="inlineStr">
        <is>
          <t>KALMAR LÄN</t>
        </is>
      </c>
      <c r="G200" t="inlineStr">
        <is>
          <t>EMMABODA</t>
        </is>
      </c>
      <c r="H200" t="inlineStr">
        <is>
          <t>Kommuner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46260</v>
      </c>
      <c r="F201" t="inlineStr">
        <is>
          <t>KALMAR LÄN</t>
        </is>
      </c>
      <c r="G201" t="inlineStr">
        <is>
          <t>EMMABODA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46260</v>
      </c>
      <c r="F202" t="inlineStr">
        <is>
          <t>KALMAR LÄN</t>
        </is>
      </c>
      <c r="G202" t="inlineStr">
        <is>
          <t>EMMABODA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46260</v>
      </c>
      <c r="F203" t="inlineStr">
        <is>
          <t>KALMAR LÄN</t>
        </is>
      </c>
      <c r="G203" t="inlineStr">
        <is>
          <t>EMMABODA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46260</v>
      </c>
      <c r="F204" t="inlineStr">
        <is>
          <t>KALMAR LÄN</t>
        </is>
      </c>
      <c r="G204" t="inlineStr">
        <is>
          <t>EMMABODA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46260</v>
      </c>
      <c r="F205" t="inlineStr">
        <is>
          <t>KALMAR LÄN</t>
        </is>
      </c>
      <c r="G205" t="inlineStr">
        <is>
          <t>EMMABODA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45415</v>
      </c>
      <c r="E206" s="1" t="n">
        <v>46260</v>
      </c>
      <c r="F206" t="inlineStr">
        <is>
          <t>KALMAR LÄN</t>
        </is>
      </c>
      <c r="G206" t="inlineStr">
        <is>
          <t>EMMABODA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46260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45475</v>
      </c>
      <c r="E208" s="1" t="n">
        <v>46260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45323</v>
      </c>
      <c r="E209" s="1" t="n">
        <v>46260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45740</v>
      </c>
      <c r="E210" s="1" t="n">
        <v>46260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46260</v>
      </c>
      <c r="F211" t="inlineStr">
        <is>
          <t>KALMAR LÄN</t>
        </is>
      </c>
      <c r="G211" t="inlineStr">
        <is>
          <t>EMMABODA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46260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46260</v>
      </c>
      <c r="F213" t="inlineStr">
        <is>
          <t>KALMAR LÄN</t>
        </is>
      </c>
      <c r="G213" t="inlineStr">
        <is>
          <t>EMMABODA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45155</v>
      </c>
      <c r="E214" s="1" t="n">
        <v>46260</v>
      </c>
      <c r="F214" t="inlineStr">
        <is>
          <t>KALMAR LÄN</t>
        </is>
      </c>
      <c r="G214" t="inlineStr">
        <is>
          <t>EMMABODA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45037</v>
      </c>
      <c r="E215" s="1" t="n">
        <v>46260</v>
      </c>
      <c r="F215" t="inlineStr">
        <is>
          <t>KALMAR LÄN</t>
        </is>
      </c>
      <c r="G215" t="inlineStr">
        <is>
          <t>EMMABODA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46260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44690</v>
      </c>
      <c r="E217" s="1" t="n">
        <v>46260</v>
      </c>
      <c r="F217" t="inlineStr">
        <is>
          <t>KALMAR LÄN</t>
        </is>
      </c>
      <c r="G217" t="inlineStr">
        <is>
          <t>EMMABODA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46260</v>
      </c>
      <c r="F218" t="inlineStr">
        <is>
          <t>KALMAR LÄN</t>
        </is>
      </c>
      <c r="G218" t="inlineStr">
        <is>
          <t>EMMABODA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46260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45641</v>
      </c>
      <c r="E220" s="1" t="n">
        <v>46260</v>
      </c>
      <c r="F220" t="inlineStr">
        <is>
          <t>KALMAR LÄN</t>
        </is>
      </c>
      <c r="G220" t="inlineStr">
        <is>
          <t>EMMABODA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46260</v>
      </c>
      <c r="F221" t="inlineStr">
        <is>
          <t>KALMAR LÄN</t>
        </is>
      </c>
      <c r="G221" t="inlineStr">
        <is>
          <t>EMMABODA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62733-2021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44504</v>
      </c>
      <c r="E222" s="1" t="n">
        <v>46260</v>
      </c>
      <c r="F222" t="inlineStr">
        <is>
          <t>KALMAR LÄN</t>
        </is>
      </c>
      <c r="G222" t="inlineStr">
        <is>
          <t>EMMABODA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46260</v>
      </c>
      <c r="F223" t="inlineStr">
        <is>
          <t>KALMAR LÄN</t>
        </is>
      </c>
      <c r="G223" t="inlineStr">
        <is>
          <t>EMMABODA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46260</v>
      </c>
      <c r="F224" t="inlineStr">
        <is>
          <t>KALMAR LÄN</t>
        </is>
      </c>
      <c r="G224" t="inlineStr">
        <is>
          <t>EMMABODA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46260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45126</v>
      </c>
      <c r="E226" s="1" t="n">
        <v>46260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46260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44799</v>
      </c>
      <c r="E228" s="1" t="n">
        <v>46260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37060-2023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45155</v>
      </c>
      <c r="E229" s="1" t="n">
        <v>46260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46260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46260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46260</v>
      </c>
      <c r="F232" t="inlineStr">
        <is>
          <t>KALMAR LÄN</t>
        </is>
      </c>
      <c r="G232" t="inlineStr">
        <is>
          <t>EMMABODA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46260</v>
      </c>
      <c r="F233" t="inlineStr">
        <is>
          <t>KALMAR LÄN</t>
        </is>
      </c>
      <c r="G233" t="inlineStr">
        <is>
          <t>EMMABODA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44852</v>
      </c>
      <c r="E234" s="1" t="n">
        <v>46260</v>
      </c>
      <c r="F234" t="inlineStr">
        <is>
          <t>KALMAR LÄN</t>
        </is>
      </c>
      <c r="G234" t="inlineStr">
        <is>
          <t>EMMABODA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45190</v>
      </c>
      <c r="E235" s="1" t="n">
        <v>46260</v>
      </c>
      <c r="F235" t="inlineStr">
        <is>
          <t>KALMAR LÄN</t>
        </is>
      </c>
      <c r="G235" t="inlineStr">
        <is>
          <t>EMMABODA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45433</v>
      </c>
      <c r="E236" s="1" t="n">
        <v>46260</v>
      </c>
      <c r="F236" t="inlineStr">
        <is>
          <t>KALMAR LÄN</t>
        </is>
      </c>
      <c r="G236" t="inlineStr">
        <is>
          <t>EMMABODA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45067</v>
      </c>
      <c r="E237" s="1" t="n">
        <v>46260</v>
      </c>
      <c r="F237" t="inlineStr">
        <is>
          <t>KALMAR LÄN</t>
        </is>
      </c>
      <c r="G237" t="inlineStr">
        <is>
          <t>EMMABODA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46260</v>
      </c>
      <c r="F238" t="inlineStr">
        <is>
          <t>KALMAR LÄN</t>
        </is>
      </c>
      <c r="G238" t="inlineStr">
        <is>
          <t>EMMABODA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29755-2023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46260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46260</v>
      </c>
      <c r="F240" t="inlineStr">
        <is>
          <t>KALMAR LÄN</t>
        </is>
      </c>
      <c r="G240" t="inlineStr">
        <is>
          <t>EMMABODA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45681</v>
      </c>
      <c r="E241" s="1" t="n">
        <v>46260</v>
      </c>
      <c r="F241" t="inlineStr">
        <is>
          <t>KALMAR LÄN</t>
        </is>
      </c>
      <c r="G241" t="inlineStr">
        <is>
          <t>EMMABODA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46260</v>
      </c>
      <c r="F242" t="inlineStr">
        <is>
          <t>KALMAR LÄN</t>
        </is>
      </c>
      <c r="G242" t="inlineStr">
        <is>
          <t>EMMABODA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46260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44729</v>
      </c>
      <c r="E244" s="1" t="n">
        <v>46260</v>
      </c>
      <c r="F244" t="inlineStr">
        <is>
          <t>KALMAR LÄN</t>
        </is>
      </c>
      <c r="G244" t="inlineStr">
        <is>
          <t>EMMABODA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46260</v>
      </c>
      <c r="F245" t="inlineStr">
        <is>
          <t>KALMAR LÄN</t>
        </is>
      </c>
      <c r="G245" t="inlineStr">
        <is>
          <t>EMMABODA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46260</v>
      </c>
      <c r="F246" t="inlineStr">
        <is>
          <t>KALMAR LÄN</t>
        </is>
      </c>
      <c r="G246" t="inlineStr">
        <is>
          <t>EMMABODA</t>
        </is>
      </c>
      <c r="H246" t="inlineStr">
        <is>
          <t>Kyrkan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46260</v>
      </c>
      <c r="F247" t="inlineStr">
        <is>
          <t>KALMAR LÄN</t>
        </is>
      </c>
      <c r="G247" t="inlineStr">
        <is>
          <t>EMMABODA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46260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46072</v>
      </c>
      <c r="E249" s="1" t="n">
        <v>46260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46072</v>
      </c>
      <c r="E250" s="1" t="n">
        <v>46260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46260</v>
      </c>
      <c r="F251" t="inlineStr">
        <is>
          <t>KALMAR LÄN</t>
        </is>
      </c>
      <c r="G251" t="inlineStr">
        <is>
          <t>EMMABODA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46260</v>
      </c>
      <c r="F252" t="inlineStr">
        <is>
          <t>KALMAR LÄN</t>
        </is>
      </c>
      <c r="G252" t="inlineStr">
        <is>
          <t>EMMABODA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46260</v>
      </c>
      <c r="F253" t="inlineStr">
        <is>
          <t>KALMAR LÄN</t>
        </is>
      </c>
      <c r="G253" t="inlineStr">
        <is>
          <t>EMMABODA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10673-2026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46078</v>
      </c>
      <c r="E254" s="1" t="n">
        <v>46260</v>
      </c>
      <c r="F254" t="inlineStr">
        <is>
          <t>KALMAR LÄN</t>
        </is>
      </c>
      <c r="G254" t="inlineStr">
        <is>
          <t>EMMABODA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10927-2026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46079</v>
      </c>
      <c r="E255" s="1" t="n">
        <v>46260</v>
      </c>
      <c r="F255" t="inlineStr">
        <is>
          <t>KALMAR LÄN</t>
        </is>
      </c>
      <c r="G255" t="inlineStr">
        <is>
          <t>EMMABODA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63180-2021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44507</v>
      </c>
      <c r="E256" s="1" t="n">
        <v>46260</v>
      </c>
      <c r="F256" t="inlineStr">
        <is>
          <t>KALMAR LÄN</t>
        </is>
      </c>
      <c r="G256" t="inlineStr">
        <is>
          <t>EMMABODA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46260</v>
      </c>
      <c r="F257" t="inlineStr">
        <is>
          <t>KALMAR LÄN</t>
        </is>
      </c>
      <c r="G257" t="inlineStr">
        <is>
          <t>EMMABODA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54482-2021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44473</v>
      </c>
      <c r="E258" s="1" t="n">
        <v>46260</v>
      </c>
      <c r="F258" t="inlineStr">
        <is>
          <t>KALMAR LÄN</t>
        </is>
      </c>
      <c r="G258" t="inlineStr">
        <is>
          <t>EMMABODA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46260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45921</v>
      </c>
      <c r="E260" s="1" t="n">
        <v>46260</v>
      </c>
      <c r="F260" t="inlineStr">
        <is>
          <t>KALMAR LÄN</t>
        </is>
      </c>
      <c r="G260" t="inlineStr">
        <is>
          <t>EMMABODA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45048</v>
      </c>
      <c r="E261" s="1" t="n">
        <v>46260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46260</v>
      </c>
      <c r="F262" t="inlineStr">
        <is>
          <t>KALMAR LÄN</t>
        </is>
      </c>
      <c r="G262" t="inlineStr">
        <is>
          <t>EMMABODA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46260</v>
      </c>
      <c r="F263" t="inlineStr">
        <is>
          <t>KALMAR LÄN</t>
        </is>
      </c>
      <c r="G263" t="inlineStr">
        <is>
          <t>EMMABODA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46260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46260</v>
      </c>
      <c r="F265" t="inlineStr">
        <is>
          <t>KALMAR LÄN</t>
        </is>
      </c>
      <c r="G265" t="inlineStr">
        <is>
          <t>EMMABODA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44619</v>
      </c>
      <c r="E266" s="1" t="n">
        <v>46260</v>
      </c>
      <c r="F266" t="inlineStr">
        <is>
          <t>KALMAR LÄN</t>
        </is>
      </c>
      <c r="G266" t="inlineStr">
        <is>
          <t>EMMABODA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45434</v>
      </c>
      <c r="E267" s="1" t="n">
        <v>46260</v>
      </c>
      <c r="F267" t="inlineStr">
        <is>
          <t>KALMAR LÄN</t>
        </is>
      </c>
      <c r="G267" t="inlineStr">
        <is>
          <t>EMMABODA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46260</v>
      </c>
      <c r="F268" t="inlineStr">
        <is>
          <t>KALMAR LÄN</t>
        </is>
      </c>
      <c r="G268" t="inlineStr">
        <is>
          <t>EMMABODA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45036</v>
      </c>
      <c r="E269" s="1" t="n">
        <v>46260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46260</v>
      </c>
      <c r="F270" t="inlineStr">
        <is>
          <t>KALMAR LÄN</t>
        </is>
      </c>
      <c r="G270" t="inlineStr">
        <is>
          <t>EMMABODA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46260</v>
      </c>
      <c r="F271" t="inlineStr">
        <is>
          <t>KALMAR LÄN</t>
        </is>
      </c>
      <c r="G271" t="inlineStr">
        <is>
          <t>EMMABODA</t>
        </is>
      </c>
      <c r="H271" t="inlineStr">
        <is>
          <t>Kommuner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46260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46260</v>
      </c>
      <c r="F273" t="inlineStr">
        <is>
          <t>KALMAR LÄN</t>
        </is>
      </c>
      <c r="G273" t="inlineStr">
        <is>
          <t>EMMABODA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46260</v>
      </c>
      <c r="F274" t="inlineStr">
        <is>
          <t>KALMAR LÄN</t>
        </is>
      </c>
      <c r="G274" t="inlineStr">
        <is>
          <t>EMMABODA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45132</v>
      </c>
      <c r="E275" s="1" t="n">
        <v>46260</v>
      </c>
      <c r="F275" t="inlineStr">
        <is>
          <t>KALMAR LÄN</t>
        </is>
      </c>
      <c r="G275" t="inlineStr">
        <is>
          <t>EMMABODA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45084</v>
      </c>
      <c r="E276" s="1" t="n">
        <v>46260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46260</v>
      </c>
      <c r="F277" t="inlineStr">
        <is>
          <t>KALMAR LÄN</t>
        </is>
      </c>
      <c r="G277" t="inlineStr">
        <is>
          <t>EMMABODA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66662-2021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44519</v>
      </c>
      <c r="E278" s="1" t="n">
        <v>46260</v>
      </c>
      <c r="F278" t="inlineStr">
        <is>
          <t>KALMAR LÄN</t>
        </is>
      </c>
      <c r="G278" t="inlineStr">
        <is>
          <t>EMMABODA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46260</v>
      </c>
      <c r="F279" t="inlineStr">
        <is>
          <t>KALMAR LÄN</t>
        </is>
      </c>
      <c r="G279" t="inlineStr">
        <is>
          <t>EMMABODA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46260</v>
      </c>
      <c r="F280" t="inlineStr">
        <is>
          <t>KALMAR LÄN</t>
        </is>
      </c>
      <c r="G280" t="inlineStr">
        <is>
          <t>EMMABODA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46260</v>
      </c>
      <c r="F281" t="inlineStr">
        <is>
          <t>KALMAR LÄN</t>
        </is>
      </c>
      <c r="G281" t="inlineStr">
        <is>
          <t>EMMABODA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46260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45102</v>
      </c>
      <c r="E283" s="1" t="n">
        <v>46260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45102</v>
      </c>
      <c r="E284" s="1" t="n">
        <v>46260</v>
      </c>
      <c r="F284" t="inlineStr">
        <is>
          <t>KALMAR LÄN</t>
        </is>
      </c>
      <c r="G284" t="inlineStr">
        <is>
          <t>EMMABODA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46260</v>
      </c>
      <c r="F285" t="inlineStr">
        <is>
          <t>KALMAR LÄN</t>
        </is>
      </c>
      <c r="G285" t="inlineStr">
        <is>
          <t>EMMABODA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44839</v>
      </c>
      <c r="E286" s="1" t="n">
        <v>46260</v>
      </c>
      <c r="F286" t="inlineStr">
        <is>
          <t>KALMAR LÄN</t>
        </is>
      </c>
      <c r="G286" t="inlineStr">
        <is>
          <t>EMMABODA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46260</v>
      </c>
      <c r="F287" t="inlineStr">
        <is>
          <t>KALMAR LÄN</t>
        </is>
      </c>
      <c r="G287" t="inlineStr">
        <is>
          <t>EMMABODA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46260</v>
      </c>
      <c r="F288" t="inlineStr">
        <is>
          <t>KALMAR LÄN</t>
        </is>
      </c>
      <c r="G288" t="inlineStr">
        <is>
          <t>EMMABODA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46260</v>
      </c>
      <c r="F289" t="inlineStr">
        <is>
          <t>KALMAR LÄN</t>
        </is>
      </c>
      <c r="G289" t="inlineStr">
        <is>
          <t>EMMABODA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45317</v>
      </c>
      <c r="E290" s="1" t="n">
        <v>46260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46260</v>
      </c>
      <c r="F291" t="inlineStr">
        <is>
          <t>KALMAR LÄN</t>
        </is>
      </c>
      <c r="G291" t="inlineStr">
        <is>
          <t>EMMABODA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46260</v>
      </c>
      <c r="F292" t="inlineStr">
        <is>
          <t>KALMAR LÄN</t>
        </is>
      </c>
      <c r="G292" t="inlineStr">
        <is>
          <t>EMMABODA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46260</v>
      </c>
      <c r="F293" t="inlineStr">
        <is>
          <t>KALMAR LÄN</t>
        </is>
      </c>
      <c r="G293" t="inlineStr">
        <is>
          <t>EMMABODA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46260</v>
      </c>
      <c r="F294" t="inlineStr">
        <is>
          <t>KALMAR LÄN</t>
        </is>
      </c>
      <c r="G294" t="inlineStr">
        <is>
          <t>EMMABODA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46260</v>
      </c>
      <c r="F295" t="inlineStr">
        <is>
          <t>KALMAR LÄN</t>
        </is>
      </c>
      <c r="G295" t="inlineStr">
        <is>
          <t>EMMABODA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46260</v>
      </c>
      <c r="F296" t="inlineStr">
        <is>
          <t>KALMAR LÄN</t>
        </is>
      </c>
      <c r="G296" t="inlineStr">
        <is>
          <t>EMMABODA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46260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46260</v>
      </c>
      <c r="F298" t="inlineStr">
        <is>
          <t>KALMAR LÄN</t>
        </is>
      </c>
      <c r="G298" t="inlineStr">
        <is>
          <t>EMMABODA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46260</v>
      </c>
      <c r="F299" t="inlineStr">
        <is>
          <t>KALMAR LÄN</t>
        </is>
      </c>
      <c r="G299" t="inlineStr">
        <is>
          <t>EMMABODA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46260</v>
      </c>
      <c r="F300" t="inlineStr">
        <is>
          <t>KALMAR LÄN</t>
        </is>
      </c>
      <c r="G300" t="inlineStr">
        <is>
          <t>EMMABODA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46260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46260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46260</v>
      </c>
      <c r="F303" t="inlineStr">
        <is>
          <t>KALMAR LÄN</t>
        </is>
      </c>
      <c r="G303" t="inlineStr">
        <is>
          <t>EMMABODA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46260</v>
      </c>
      <c r="F304" t="inlineStr">
        <is>
          <t>KALMAR LÄN</t>
        </is>
      </c>
      <c r="G304" t="inlineStr">
        <is>
          <t>EMMABODA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46260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46260</v>
      </c>
      <c r="F306" t="inlineStr">
        <is>
          <t>KALMAR LÄN</t>
        </is>
      </c>
      <c r="G306" t="inlineStr">
        <is>
          <t>EMMABODA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46260</v>
      </c>
      <c r="F307" t="inlineStr">
        <is>
          <t>KALMAR LÄN</t>
        </is>
      </c>
      <c r="G307" t="inlineStr">
        <is>
          <t>EMMABODA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46260</v>
      </c>
      <c r="F308" t="inlineStr">
        <is>
          <t>KALMAR LÄN</t>
        </is>
      </c>
      <c r="G308" t="inlineStr">
        <is>
          <t>EMMABODA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46260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46260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46260</v>
      </c>
      <c r="F311" t="inlineStr">
        <is>
          <t>KALMAR LÄN</t>
        </is>
      </c>
      <c r="G311" t="inlineStr">
        <is>
          <t>EMMABODA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18444-2026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46127</v>
      </c>
      <c r="E312" s="1" t="n">
        <v>46260</v>
      </c>
      <c r="F312" t="inlineStr">
        <is>
          <t>KALMAR LÄN</t>
        </is>
      </c>
      <c r="G312" t="inlineStr">
        <is>
          <t>EMMABODA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18437-2026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46127</v>
      </c>
      <c r="E313" s="1" t="n">
        <v>46260</v>
      </c>
      <c r="F313" t="inlineStr">
        <is>
          <t>KALMAR LÄN</t>
        </is>
      </c>
      <c r="G313" t="inlineStr">
        <is>
          <t>EMMABODA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46260</v>
      </c>
      <c r="F314" t="inlineStr">
        <is>
          <t>KALMAR LÄN</t>
        </is>
      </c>
      <c r="G314" t="inlineStr">
        <is>
          <t>EMMABODA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45069</v>
      </c>
      <c r="E315" s="1" t="n">
        <v>46260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46260</v>
      </c>
      <c r="F316" t="inlineStr">
        <is>
          <t>KALMAR LÄN</t>
        </is>
      </c>
      <c r="G316" t="inlineStr">
        <is>
          <t>EMMABODA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46260</v>
      </c>
      <c r="F317" t="inlineStr">
        <is>
          <t>KALMAR LÄN</t>
        </is>
      </c>
      <c r="G317" t="inlineStr">
        <is>
          <t>EMMABODA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46260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46260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46260</v>
      </c>
      <c r="F320" t="inlineStr">
        <is>
          <t>KALMAR LÄN</t>
        </is>
      </c>
      <c r="G320" t="inlineStr">
        <is>
          <t>EMMABODA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54982-2025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45967</v>
      </c>
      <c r="E321" s="1" t="n">
        <v>46260</v>
      </c>
      <c r="F321" t="inlineStr">
        <is>
          <t>KALMAR LÄN</t>
        </is>
      </c>
      <c r="G321" t="inlineStr">
        <is>
          <t>EMMABODA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54983-2025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46260</v>
      </c>
      <c r="F322" t="inlineStr">
        <is>
          <t>KALMAR LÄN</t>
        </is>
      </c>
      <c r="G322" t="inlineStr">
        <is>
          <t>EMMABODA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46134</v>
      </c>
      <c r="E323" s="1" t="n">
        <v>46260</v>
      </c>
      <c r="F323" t="inlineStr">
        <is>
          <t>KALMAR LÄN</t>
        </is>
      </c>
      <c r="G323" t="inlineStr">
        <is>
          <t>EMMABODA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45408</v>
      </c>
      <c r="E324" s="1" t="n">
        <v>46260</v>
      </c>
      <c r="F324" t="inlineStr">
        <is>
          <t>KALMAR LÄN</t>
        </is>
      </c>
      <c r="G324" t="inlineStr">
        <is>
          <t>EMMABODA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46260</v>
      </c>
      <c r="F325" t="inlineStr">
        <is>
          <t>KALMAR LÄN</t>
        </is>
      </c>
      <c r="G325" t="inlineStr">
        <is>
          <t>EMMABODA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45376</v>
      </c>
      <c r="E326" s="1" t="n">
        <v>46260</v>
      </c>
      <c r="F326" t="inlineStr">
        <is>
          <t>KALMAR LÄN</t>
        </is>
      </c>
      <c r="G326" t="inlineStr">
        <is>
          <t>EMMABODA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46260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46260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44683</v>
      </c>
      <c r="E329" s="1" t="n">
        <v>46260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46260</v>
      </c>
      <c r="F330" t="inlineStr">
        <is>
          <t>KALMAR LÄN</t>
        </is>
      </c>
      <c r="G330" t="inlineStr">
        <is>
          <t>EMMABODA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46260</v>
      </c>
      <c r="F331" t="inlineStr">
        <is>
          <t>KALMAR LÄN</t>
        </is>
      </c>
      <c r="G331" t="inlineStr">
        <is>
          <t>EMMABODA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46260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46260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46260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45392</v>
      </c>
      <c r="E335" s="1" t="n">
        <v>46260</v>
      </c>
      <c r="F335" t="inlineStr">
        <is>
          <t>KALMAR LÄN</t>
        </is>
      </c>
      <c r="G335" t="inlineStr">
        <is>
          <t>EMMABODA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46260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46260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46260</v>
      </c>
      <c r="F338" t="inlineStr">
        <is>
          <t>KALMAR LÄN</t>
        </is>
      </c>
      <c r="G338" t="inlineStr">
        <is>
          <t>EMMABODA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45901</v>
      </c>
      <c r="E339" s="1" t="n">
        <v>46260</v>
      </c>
      <c r="F339" t="inlineStr">
        <is>
          <t>KALMAR LÄN</t>
        </is>
      </c>
      <c r="G339" t="inlineStr">
        <is>
          <t>EMMABODA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45909</v>
      </c>
      <c r="E340" s="1" t="n">
        <v>46260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46260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67543-2021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44524</v>
      </c>
      <c r="E342" s="1" t="n">
        <v>46260</v>
      </c>
      <c r="F342" t="inlineStr">
        <is>
          <t>KALMAR LÄN</t>
        </is>
      </c>
      <c r="G342" t="inlineStr">
        <is>
          <t>EMMABODA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46260</v>
      </c>
      <c r="F343" t="inlineStr">
        <is>
          <t>KALMAR LÄN</t>
        </is>
      </c>
      <c r="G343" t="inlineStr">
        <is>
          <t>EMMABODA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45551</v>
      </c>
      <c r="E344" s="1" t="n">
        <v>46260</v>
      </c>
      <c r="F344" t="inlineStr">
        <is>
          <t>KALMAR LÄN</t>
        </is>
      </c>
      <c r="G344" t="inlineStr">
        <is>
          <t>EMMABODA</t>
        </is>
      </c>
      <c r="H344" t="inlineStr">
        <is>
          <t>Sveaskog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46260</v>
      </c>
      <c r="F345" t="inlineStr">
        <is>
          <t>KALMAR LÄN</t>
        </is>
      </c>
      <c r="G345" t="inlineStr">
        <is>
          <t>EMMABODA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46260</v>
      </c>
      <c r="F346" t="inlineStr">
        <is>
          <t>KALMAR LÄN</t>
        </is>
      </c>
      <c r="G346" t="inlineStr">
        <is>
          <t>EMMABODA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46260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46260</v>
      </c>
      <c r="F348" t="inlineStr">
        <is>
          <t>KALMAR LÄN</t>
        </is>
      </c>
      <c r="G348" t="inlineStr">
        <is>
          <t>EMMABODA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46260</v>
      </c>
      <c r="F349" t="inlineStr">
        <is>
          <t>KALMAR LÄN</t>
        </is>
      </c>
      <c r="G349" t="inlineStr">
        <is>
          <t>EMMABODA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46260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46260</v>
      </c>
      <c r="F351" t="inlineStr">
        <is>
          <t>KALMAR LÄN</t>
        </is>
      </c>
      <c r="G351" t="inlineStr">
        <is>
          <t>EMMABODA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46260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5846-2024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45335</v>
      </c>
      <c r="E353" s="1" t="n">
        <v>46260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45335</v>
      </c>
      <c r="E354" s="1" t="n">
        <v>46260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46862-2023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45200</v>
      </c>
      <c r="E355" s="1" t="n">
        <v>46260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46260</v>
      </c>
      <c r="F356" t="inlineStr">
        <is>
          <t>KALMAR LÄN</t>
        </is>
      </c>
      <c r="G356" t="inlineStr">
        <is>
          <t>EMMABODA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46260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44145-2025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46260</v>
      </c>
      <c r="F358" t="inlineStr">
        <is>
          <t>KALMAR LÄN</t>
        </is>
      </c>
      <c r="G358" t="inlineStr">
        <is>
          <t>EMMABODA</t>
        </is>
      </c>
      <c r="H358" t="inlineStr">
        <is>
          <t>Övriga Aktiebolag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45070</v>
      </c>
      <c r="E359" s="1" t="n">
        <v>46260</v>
      </c>
      <c r="F359" t="inlineStr">
        <is>
          <t>KALMAR LÄN</t>
        </is>
      </c>
      <c r="G359" t="inlineStr">
        <is>
          <t>EMMABODA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46260</v>
      </c>
      <c r="F360" t="inlineStr">
        <is>
          <t>KALMAR LÄN</t>
        </is>
      </c>
      <c r="G360" t="inlineStr">
        <is>
          <t>EMMABODA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44944</v>
      </c>
      <c r="E361" s="1" t="n">
        <v>46260</v>
      </c>
      <c r="F361" t="inlineStr">
        <is>
          <t>KALMAR LÄN</t>
        </is>
      </c>
      <c r="G361" t="inlineStr">
        <is>
          <t>EMMABODA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45819</v>
      </c>
      <c r="E362" s="1" t="n">
        <v>46260</v>
      </c>
      <c r="F362" t="inlineStr">
        <is>
          <t>KALMAR LÄN</t>
        </is>
      </c>
      <c r="G362" t="inlineStr">
        <is>
          <t>EMMABODA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45524</v>
      </c>
      <c r="E363" s="1" t="n">
        <v>46260</v>
      </c>
      <c r="F363" t="inlineStr">
        <is>
          <t>KALMAR LÄN</t>
        </is>
      </c>
      <c r="G363" t="inlineStr">
        <is>
          <t>EMMABODA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45818</v>
      </c>
      <c r="E364" s="1" t="n">
        <v>46260</v>
      </c>
      <c r="F364" t="inlineStr">
        <is>
          <t>KALMAR LÄN</t>
        </is>
      </c>
      <c r="G364" t="inlineStr">
        <is>
          <t>EMMABODA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46260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46260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46260</v>
      </c>
      <c r="F367" t="inlineStr">
        <is>
          <t>KALMAR LÄN</t>
        </is>
      </c>
      <c r="G367" t="inlineStr">
        <is>
          <t>EMMABODA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45400</v>
      </c>
      <c r="E368" s="1" t="n">
        <v>46260</v>
      </c>
      <c r="F368" t="inlineStr">
        <is>
          <t>KALMAR LÄN</t>
        </is>
      </c>
      <c r="G368" t="inlineStr">
        <is>
          <t>EMMABODA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46260</v>
      </c>
      <c r="F369" t="inlineStr">
        <is>
          <t>KALMAR LÄN</t>
        </is>
      </c>
      <c r="G369" t="inlineStr">
        <is>
          <t>EMMABODA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45021</v>
      </c>
      <c r="E370" s="1" t="n">
        <v>46260</v>
      </c>
      <c r="F370" t="inlineStr">
        <is>
          <t>KALMAR LÄN</t>
        </is>
      </c>
      <c r="G370" t="inlineStr">
        <is>
          <t>EMMABODA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46260</v>
      </c>
      <c r="F371" t="inlineStr">
        <is>
          <t>KALMAR LÄN</t>
        </is>
      </c>
      <c r="G371" t="inlineStr">
        <is>
          <t>EMMABODA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46260</v>
      </c>
      <c r="F372" t="inlineStr">
        <is>
          <t>KALMAR LÄN</t>
        </is>
      </c>
      <c r="G372" t="inlineStr">
        <is>
          <t>EMMABODA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44922</v>
      </c>
      <c r="E373" s="1" t="n">
        <v>46260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46260</v>
      </c>
      <c r="F374" t="inlineStr">
        <is>
          <t>KALMAR LÄN</t>
        </is>
      </c>
      <c r="G374" t="inlineStr">
        <is>
          <t>EMMABODA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46260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44781</v>
      </c>
      <c r="E376" s="1" t="n">
        <v>46260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45466</v>
      </c>
      <c r="E377" s="1" t="n">
        <v>46260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46260</v>
      </c>
      <c r="F378" t="inlineStr">
        <is>
          <t>KALMAR LÄN</t>
        </is>
      </c>
      <c r="G378" t="inlineStr">
        <is>
          <t>EMMABODA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46260</v>
      </c>
      <c r="F379" t="inlineStr">
        <is>
          <t>KALMAR LÄN</t>
        </is>
      </c>
      <c r="G379" t="inlineStr">
        <is>
          <t>EMMABODA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45976</v>
      </c>
      <c r="E380" s="1" t="n">
        <v>46260</v>
      </c>
      <c r="F380" t="inlineStr">
        <is>
          <t>KALMAR LÄN</t>
        </is>
      </c>
      <c r="G380" t="inlineStr">
        <is>
          <t>EMMABODA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46260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46260</v>
      </c>
      <c r="F382" t="inlineStr">
        <is>
          <t>KALMAR LÄN</t>
        </is>
      </c>
      <c r="G382" t="inlineStr">
        <is>
          <t>EMMABODA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46260</v>
      </c>
      <c r="F383" t="inlineStr">
        <is>
          <t>KALMAR LÄN</t>
        </is>
      </c>
      <c r="G383" t="inlineStr">
        <is>
          <t>EMMABODA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46260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45976</v>
      </c>
      <c r="E385" s="1" t="n">
        <v>46260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52206-2023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46260</v>
      </c>
      <c r="F386" t="inlineStr">
        <is>
          <t>KALMAR LÄN</t>
        </is>
      </c>
      <c r="G386" t="inlineStr">
        <is>
          <t>EMMABODA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46260</v>
      </c>
      <c r="F387" t="inlineStr">
        <is>
          <t>KALMAR LÄN</t>
        </is>
      </c>
      <c r="G387" t="inlineStr">
        <is>
          <t>EMMABODA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46260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46260</v>
      </c>
      <c r="F389" t="inlineStr">
        <is>
          <t>KALMAR LÄN</t>
        </is>
      </c>
      <c r="G389" t="inlineStr">
        <is>
          <t>EMMABODA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45099</v>
      </c>
      <c r="E390" s="1" t="n">
        <v>46260</v>
      </c>
      <c r="F390" t="inlineStr">
        <is>
          <t>KALMAR LÄN</t>
        </is>
      </c>
      <c r="G390" t="inlineStr">
        <is>
          <t>EMMABODA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46260</v>
      </c>
      <c r="F391" t="inlineStr">
        <is>
          <t>KALMAR LÄN</t>
        </is>
      </c>
      <c r="G391" t="inlineStr">
        <is>
          <t>EMMABODA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46260</v>
      </c>
      <c r="F392" t="inlineStr">
        <is>
          <t>KALMAR LÄN</t>
        </is>
      </c>
      <c r="G392" t="inlineStr">
        <is>
          <t>EMMABODA</t>
        </is>
      </c>
      <c r="H392" t="inlineStr">
        <is>
          <t>Övriga Aktiebolag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41948-2024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46260</v>
      </c>
      <c r="F393" t="inlineStr">
        <is>
          <t>KALMAR LÄN</t>
        </is>
      </c>
      <c r="G393" t="inlineStr">
        <is>
          <t>EMMABODA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60142-2023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45258</v>
      </c>
      <c r="E394" s="1" t="n">
        <v>46260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11616-2025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45727</v>
      </c>
      <c r="E395" s="1" t="n">
        <v>46260</v>
      </c>
      <c r="F395" t="inlineStr">
        <is>
          <t>KALMAR LÄN</t>
        </is>
      </c>
      <c r="G395" t="inlineStr">
        <is>
          <t>EMMABODA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45805</v>
      </c>
      <c r="E396" s="1" t="n">
        <v>46260</v>
      </c>
      <c r="F396" t="inlineStr">
        <is>
          <t>KALMAR LÄN</t>
        </is>
      </c>
      <c r="G396" t="inlineStr">
        <is>
          <t>EMMABODA</t>
        </is>
      </c>
      <c r="I396" t="n">
        <v>12.5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45349</v>
      </c>
      <c r="E397" s="1" t="n">
        <v>46260</v>
      </c>
      <c r="F397" t="inlineStr">
        <is>
          <t>KALMAR LÄN</t>
        </is>
      </c>
      <c r="G397" t="inlineStr">
        <is>
          <t>EMMABODA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46260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45310</v>
      </c>
      <c r="E399" s="1" t="n">
        <v>46260</v>
      </c>
      <c r="F399" t="inlineStr">
        <is>
          <t>KALMAR LÄN</t>
        </is>
      </c>
      <c r="G399" t="inlineStr">
        <is>
          <t>EMMABODA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46260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46260</v>
      </c>
      <c r="F401" t="inlineStr">
        <is>
          <t>KALMAR LÄN</t>
        </is>
      </c>
      <c r="G401" t="inlineStr">
        <is>
          <t>EMMABODA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46260</v>
      </c>
      <c r="F402" t="inlineStr">
        <is>
          <t>KALMAR LÄN</t>
        </is>
      </c>
      <c r="G402" t="inlineStr">
        <is>
          <t>EMMABODA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34055-2025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45845</v>
      </c>
      <c r="E403" s="1" t="n">
        <v>46260</v>
      </c>
      <c r="F403" t="inlineStr">
        <is>
          <t>KALMAR LÄN</t>
        </is>
      </c>
      <c r="G403" t="inlineStr">
        <is>
          <t>EMMABODA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46260</v>
      </c>
      <c r="F404" t="inlineStr">
        <is>
          <t>KALMAR LÄN</t>
        </is>
      </c>
      <c r="G404" t="inlineStr">
        <is>
          <t>EMMABODA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45707</v>
      </c>
      <c r="E405" s="1" t="n">
        <v>46260</v>
      </c>
      <c r="F405" t="inlineStr">
        <is>
          <t>KALMAR LÄN</t>
        </is>
      </c>
      <c r="G405" t="inlineStr">
        <is>
          <t>EMMABODA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46260</v>
      </c>
      <c r="F406" t="inlineStr">
        <is>
          <t>KALMAR LÄN</t>
        </is>
      </c>
      <c r="G406" t="inlineStr">
        <is>
          <t>EMMABODA</t>
        </is>
      </c>
      <c r="H406" t="inlineStr">
        <is>
          <t>Kyrkan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44728</v>
      </c>
      <c r="E407" s="1" t="n">
        <v>46260</v>
      </c>
      <c r="F407" t="inlineStr">
        <is>
          <t>KALMAR LÄN</t>
        </is>
      </c>
      <c r="G407" t="inlineStr">
        <is>
          <t>EMMABODA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45621</v>
      </c>
      <c r="E408" s="1" t="n">
        <v>46260</v>
      </c>
      <c r="F408" t="inlineStr">
        <is>
          <t>KALMAR LÄN</t>
        </is>
      </c>
      <c r="G408" t="inlineStr">
        <is>
          <t>EMMABODA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46260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46260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46260</v>
      </c>
      <c r="F411" t="inlineStr">
        <is>
          <t>KALMAR LÄN</t>
        </is>
      </c>
      <c r="G411" t="inlineStr">
        <is>
          <t>EMMABODA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44930</v>
      </c>
      <c r="E412" s="1" t="n">
        <v>46260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45400</v>
      </c>
      <c r="E413" s="1" t="n">
        <v>46260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46260</v>
      </c>
      <c r="F414" t="inlineStr">
        <is>
          <t>KALMAR LÄN</t>
        </is>
      </c>
      <c r="G414" t="inlineStr">
        <is>
          <t>EMMABODA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46260</v>
      </c>
      <c r="F415" t="inlineStr">
        <is>
          <t>KALMAR LÄN</t>
        </is>
      </c>
      <c r="G415" t="inlineStr">
        <is>
          <t>EMMABODA</t>
        </is>
      </c>
      <c r="I415" t="n">
        <v>9.300000000000001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16236-2023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45028</v>
      </c>
      <c r="E416" s="1" t="n">
        <v>46260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46260</v>
      </c>
      <c r="F417" t="inlineStr">
        <is>
          <t>KALMAR LÄN</t>
        </is>
      </c>
      <c r="G417" t="inlineStr">
        <is>
          <t>EMMABODA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46260</v>
      </c>
      <c r="F418" t="inlineStr">
        <is>
          <t>KALMAR LÄN</t>
        </is>
      </c>
      <c r="G418" t="inlineStr">
        <is>
          <t>EMMABODA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46260</v>
      </c>
      <c r="F419" t="inlineStr">
        <is>
          <t>KALMAR LÄN</t>
        </is>
      </c>
      <c r="G419" t="inlineStr">
        <is>
          <t>EMMABODA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22841-2026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46260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35490-2024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46260</v>
      </c>
      <c r="F421" t="inlineStr">
        <is>
          <t>KALMAR LÄN</t>
        </is>
      </c>
      <c r="G421" t="inlineStr">
        <is>
          <t>EMMABODA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57916-2022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44900</v>
      </c>
      <c r="E422" s="1" t="n">
        <v>46260</v>
      </c>
      <c r="F422" t="inlineStr">
        <is>
          <t>KALMAR LÄN</t>
        </is>
      </c>
      <c r="G422" t="inlineStr">
        <is>
          <t>EMMABODA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46260</v>
      </c>
      <c r="F423" t="inlineStr">
        <is>
          <t>KALMAR LÄN</t>
        </is>
      </c>
      <c r="G423" t="inlineStr">
        <is>
          <t>EMMABODA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44586</v>
      </c>
      <c r="E424" s="1" t="n">
        <v>46260</v>
      </c>
      <c r="F424" t="inlineStr">
        <is>
          <t>KALMAR LÄN</t>
        </is>
      </c>
      <c r="G424" t="inlineStr">
        <is>
          <t>EMMABODA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46260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45902</v>
      </c>
      <c r="E426" s="1" t="n">
        <v>46260</v>
      </c>
      <c r="F426" t="inlineStr">
        <is>
          <t>KALMAR LÄN</t>
        </is>
      </c>
      <c r="G426" t="inlineStr">
        <is>
          <t>EMMABODA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46260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38123-2023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46260</v>
      </c>
      <c r="F428" t="inlineStr">
        <is>
          <t>KALMAR LÄN</t>
        </is>
      </c>
      <c r="G428" t="inlineStr">
        <is>
          <t>EMMABODA</t>
        </is>
      </c>
      <c r="H428" t="inlineStr">
        <is>
          <t>Kommuner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42279-2023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46260</v>
      </c>
      <c r="F429" t="inlineStr">
        <is>
          <t>KALMAR LÄN</t>
        </is>
      </c>
      <c r="G429" t="inlineStr">
        <is>
          <t>EMMABODA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46260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45849</v>
      </c>
      <c r="E431" s="1" t="n">
        <v>46260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45716</v>
      </c>
      <c r="E432" s="1" t="n">
        <v>46260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45048</v>
      </c>
      <c r="E433" s="1" t="n">
        <v>46260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46260</v>
      </c>
      <c r="F434" t="inlineStr">
        <is>
          <t>KALMAR LÄN</t>
        </is>
      </c>
      <c r="G434" t="inlineStr">
        <is>
          <t>EMMABODA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45716</v>
      </c>
      <c r="E435" s="1" t="n">
        <v>46260</v>
      </c>
      <c r="F435" t="inlineStr">
        <is>
          <t>KALMAR LÄN</t>
        </is>
      </c>
      <c r="G435" t="inlineStr">
        <is>
          <t>EMMABODA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45851</v>
      </c>
      <c r="E436" s="1" t="n">
        <v>46260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45851</v>
      </c>
      <c r="E437" s="1" t="n">
        <v>46260</v>
      </c>
      <c r="F437" t="inlineStr">
        <is>
          <t>KALMAR LÄN</t>
        </is>
      </c>
      <c r="G437" t="inlineStr">
        <is>
          <t>EMMABODA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20053-2025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45772</v>
      </c>
      <c r="E438" s="1" t="n">
        <v>46260</v>
      </c>
      <c r="F438" t="inlineStr">
        <is>
          <t>KALMAR LÄN</t>
        </is>
      </c>
      <c r="G438" t="inlineStr">
        <is>
          <t>EMMABODA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46260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35592-2025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45857</v>
      </c>
      <c r="E440" s="1" t="n">
        <v>46260</v>
      </c>
      <c r="F440" t="inlineStr">
        <is>
          <t>KALMAR LÄN</t>
        </is>
      </c>
      <c r="G440" t="inlineStr">
        <is>
          <t>EMMABODA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44897</v>
      </c>
      <c r="E441" s="1" t="n">
        <v>46260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46169</v>
      </c>
      <c r="E442" s="1" t="n">
        <v>46260</v>
      </c>
      <c r="F442" t="inlineStr">
        <is>
          <t>KALMAR LÄN</t>
        </is>
      </c>
      <c r="G442" t="inlineStr">
        <is>
          <t>EMMABODA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46260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50467-2021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46260</v>
      </c>
      <c r="F444" t="inlineStr">
        <is>
          <t>KALMAR LÄN</t>
        </is>
      </c>
      <c r="G444" t="inlineStr">
        <is>
          <t>EMMABODA</t>
        </is>
      </c>
      <c r="H444" t="inlineStr">
        <is>
          <t>Övriga Aktiebolag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36012-2025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45863</v>
      </c>
      <c r="E445" s="1" t="n">
        <v>46260</v>
      </c>
      <c r="F445" t="inlineStr">
        <is>
          <t>KALMAR LÄN</t>
        </is>
      </c>
      <c r="G445" t="inlineStr">
        <is>
          <t>EMMABODA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46260</v>
      </c>
      <c r="F446" t="inlineStr">
        <is>
          <t>KALMAR LÄN</t>
        </is>
      </c>
      <c r="G446" t="inlineStr">
        <is>
          <t>EMMABODA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44977</v>
      </c>
      <c r="E447" s="1" t="n">
        <v>46260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46260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46260</v>
      </c>
      <c r="F449" t="inlineStr">
        <is>
          <t>KALMAR LÄN</t>
        </is>
      </c>
      <c r="G449" t="inlineStr">
        <is>
          <t>EMMABODA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45301</v>
      </c>
      <c r="E450" s="1" t="n">
        <v>46260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19551-2026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46134</v>
      </c>
      <c r="E451" s="1" t="n">
        <v>46260</v>
      </c>
      <c r="F451" t="inlineStr">
        <is>
          <t>KALMAR LÄN</t>
        </is>
      </c>
      <c r="G451" t="inlineStr">
        <is>
          <t>EMMABODA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45790</v>
      </c>
      <c r="E452" s="1" t="n">
        <v>46260</v>
      </c>
      <c r="F452" t="inlineStr">
        <is>
          <t>KALMAR LÄN</t>
        </is>
      </c>
      <c r="G452" t="inlineStr">
        <is>
          <t>EMMABODA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46260</v>
      </c>
      <c r="F453" t="inlineStr">
        <is>
          <t>KALMAR LÄN</t>
        </is>
      </c>
      <c r="G453" t="inlineStr">
        <is>
          <t>EMMABODA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55590-2024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45622</v>
      </c>
      <c r="E454" s="1" t="n">
        <v>46260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45093</v>
      </c>
      <c r="E455" s="1" t="n">
        <v>46260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44965</v>
      </c>
      <c r="E456" s="1" t="n">
        <v>46260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44743</v>
      </c>
      <c r="E457" s="1" t="n">
        <v>46260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29023-2022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44749</v>
      </c>
      <c r="E458" s="1" t="n">
        <v>46260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46260</v>
      </c>
      <c r="F459" t="inlineStr">
        <is>
          <t>KALMAR LÄN</t>
        </is>
      </c>
      <c r="G459" t="inlineStr">
        <is>
          <t>EMMABODA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46260</v>
      </c>
      <c r="F460" t="inlineStr">
        <is>
          <t>KALMAR LÄN</t>
        </is>
      </c>
      <c r="G460" t="inlineStr">
        <is>
          <t>EMMABODA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41366-2024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46260</v>
      </c>
      <c r="F461" t="inlineStr">
        <is>
          <t>KALMAR LÄN</t>
        </is>
      </c>
      <c r="G461" t="inlineStr">
        <is>
          <t>EMMABODA</t>
        </is>
      </c>
      <c r="H461" t="inlineStr">
        <is>
          <t>Övriga Aktiebolag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45881</v>
      </c>
      <c r="E462" s="1" t="n">
        <v>46260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42836-2023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46260</v>
      </c>
      <c r="F463" t="inlineStr">
        <is>
          <t>KALMAR LÄN</t>
        </is>
      </c>
      <c r="G463" t="inlineStr">
        <is>
          <t>EMMABODA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19881-2024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45433</v>
      </c>
      <c r="E464" s="1" t="n">
        <v>46260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46260</v>
      </c>
      <c r="F465" t="inlineStr">
        <is>
          <t>KALMAR LÄN</t>
        </is>
      </c>
      <c r="G465" t="inlineStr">
        <is>
          <t>EMMABODA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46260</v>
      </c>
      <c r="F466" t="inlineStr">
        <is>
          <t>KALMAR LÄN</t>
        </is>
      </c>
      <c r="G466" t="inlineStr">
        <is>
          <t>EMMABODA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46260</v>
      </c>
      <c r="F467" t="inlineStr">
        <is>
          <t>KALMAR LÄN</t>
        </is>
      </c>
      <c r="G467" t="inlineStr">
        <is>
          <t>EMMABODA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45007</v>
      </c>
      <c r="E468" s="1" t="n">
        <v>46260</v>
      </c>
      <c r="F468" t="inlineStr">
        <is>
          <t>KALMAR LÄN</t>
        </is>
      </c>
      <c r="G468" t="inlineStr">
        <is>
          <t>EMMABODA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46260</v>
      </c>
      <c r="F469" t="inlineStr">
        <is>
          <t>KALMAR LÄN</t>
        </is>
      </c>
      <c r="G469" t="inlineStr">
        <is>
          <t>EMMABODA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46260</v>
      </c>
      <c r="F470" t="inlineStr">
        <is>
          <t>KALMAR LÄN</t>
        </is>
      </c>
      <c r="G470" t="inlineStr">
        <is>
          <t>EMMABODA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46260</v>
      </c>
      <c r="F471" t="inlineStr">
        <is>
          <t>KALMAR LÄN</t>
        </is>
      </c>
      <c r="G471" t="inlineStr">
        <is>
          <t>EMMABODA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46260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45148</v>
      </c>
      <c r="E473" s="1" t="n">
        <v>46260</v>
      </c>
      <c r="F473" t="inlineStr">
        <is>
          <t>KALMAR LÄN</t>
        </is>
      </c>
      <c r="G473" t="inlineStr">
        <is>
          <t>EMMABODA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46260</v>
      </c>
      <c r="F474" t="inlineStr">
        <is>
          <t>KALMAR LÄN</t>
        </is>
      </c>
      <c r="G474" t="inlineStr">
        <is>
          <t>EMMABODA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46260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46183</v>
      </c>
      <c r="E476" s="1" t="n">
        <v>46260</v>
      </c>
      <c r="F476" t="inlineStr">
        <is>
          <t>KALMAR LÄN</t>
        </is>
      </c>
      <c r="G476" t="inlineStr">
        <is>
          <t>EMMABODA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64681-2023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46260</v>
      </c>
      <c r="F477" t="inlineStr">
        <is>
          <t>KALMAR LÄN</t>
        </is>
      </c>
      <c r="G477" t="inlineStr">
        <is>
          <t>EMMABODA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49626-2023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46260</v>
      </c>
      <c r="F478" t="inlineStr">
        <is>
          <t>KALMAR LÄN</t>
        </is>
      </c>
      <c r="G478" t="inlineStr">
        <is>
          <t>EMMABODA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45021</v>
      </c>
      <c r="E479" s="1" t="n">
        <v>46260</v>
      </c>
      <c r="F479" t="inlineStr">
        <is>
          <t>KALMAR LÄN</t>
        </is>
      </c>
      <c r="G479" t="inlineStr">
        <is>
          <t>EMMABODA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68940-2021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44530</v>
      </c>
      <c r="E480" s="1" t="n">
        <v>46260</v>
      </c>
      <c r="F480" t="inlineStr">
        <is>
          <t>KALMAR LÄN</t>
        </is>
      </c>
      <c r="G480" t="inlineStr">
        <is>
          <t>EMMABODA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46260</v>
      </c>
      <c r="F481" t="inlineStr">
        <is>
          <t>KALMAR LÄN</t>
        </is>
      </c>
      <c r="G481" t="inlineStr">
        <is>
          <t>EMMABODA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46260</v>
      </c>
      <c r="F482" t="inlineStr">
        <is>
          <t>KALMAR LÄN</t>
        </is>
      </c>
      <c r="G482" t="inlineStr">
        <is>
          <t>EMMABODA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46260</v>
      </c>
      <c r="F483" t="inlineStr">
        <is>
          <t>KALMAR LÄN</t>
        </is>
      </c>
      <c r="G483" t="inlineStr">
        <is>
          <t>EMMABODA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46260</v>
      </c>
      <c r="F484" t="inlineStr">
        <is>
          <t>KALMAR LÄN</t>
        </is>
      </c>
      <c r="G484" t="inlineStr">
        <is>
          <t>EMMABODA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46260</v>
      </c>
      <c r="F485" t="inlineStr">
        <is>
          <t>KALMAR LÄN</t>
        </is>
      </c>
      <c r="G485" t="inlineStr">
        <is>
          <t>EMMABODA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27028-2026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46260</v>
      </c>
      <c r="F486" t="inlineStr">
        <is>
          <t>KALMAR LÄN</t>
        </is>
      </c>
      <c r="G486" t="inlineStr">
        <is>
          <t>EMMABODA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46260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46260</v>
      </c>
      <c r="F488" t="inlineStr">
        <is>
          <t>KALMAR LÄN</t>
        </is>
      </c>
      <c r="G488" t="inlineStr">
        <is>
          <t>EMMABODA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46260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46260</v>
      </c>
      <c r="F490" t="inlineStr">
        <is>
          <t>KALMAR LÄN</t>
        </is>
      </c>
      <c r="G490" t="inlineStr">
        <is>
          <t>EMMABODA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46260</v>
      </c>
      <c r="F491" t="inlineStr">
        <is>
          <t>KALMAR LÄN</t>
        </is>
      </c>
      <c r="G491" t="inlineStr">
        <is>
          <t>EMMABODA</t>
        </is>
      </c>
      <c r="H491" t="inlineStr">
        <is>
          <t>Sveaskog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44851</v>
      </c>
      <c r="E492" s="1" t="n">
        <v>46260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46260</v>
      </c>
      <c r="F493" t="inlineStr">
        <is>
          <t>KALMAR LÄN</t>
        </is>
      </c>
      <c r="G493" t="inlineStr">
        <is>
          <t>EMMABODA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46260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59737-2021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44494</v>
      </c>
      <c r="E495" s="1" t="n">
        <v>46260</v>
      </c>
      <c r="F495" t="inlineStr">
        <is>
          <t>KALMAR LÄN</t>
        </is>
      </c>
      <c r="G495" t="inlineStr">
        <is>
          <t>EMMABODA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46260</v>
      </c>
      <c r="F496" t="inlineStr">
        <is>
          <t>KALMAR LÄN</t>
        </is>
      </c>
      <c r="G496" t="inlineStr">
        <is>
          <t>EMMABODA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44893</v>
      </c>
      <c r="E497" s="1" t="n">
        <v>46260</v>
      </c>
      <c r="F497" t="inlineStr">
        <is>
          <t>KALMAR LÄN</t>
        </is>
      </c>
      <c r="G497" t="inlineStr">
        <is>
          <t>EMMABODA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46260</v>
      </c>
      <c r="F498" t="inlineStr">
        <is>
          <t>KALMAR LÄN</t>
        </is>
      </c>
      <c r="G498" t="inlineStr">
        <is>
          <t>EMMABODA</t>
        </is>
      </c>
      <c r="H498" t="inlineStr">
        <is>
          <t>Kyrkan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46260</v>
      </c>
      <c r="F499" t="inlineStr">
        <is>
          <t>KALMAR LÄN</t>
        </is>
      </c>
      <c r="G499" t="inlineStr">
        <is>
          <t>EMMABODA</t>
        </is>
      </c>
      <c r="H499" t="inlineStr">
        <is>
          <t>Kyrkan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66333-2021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44518</v>
      </c>
      <c r="E500" s="1" t="n">
        <v>46260</v>
      </c>
      <c r="F500" t="inlineStr">
        <is>
          <t>KALMAR LÄN</t>
        </is>
      </c>
      <c r="G500" t="inlineStr">
        <is>
          <t>EMMABODA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44728</v>
      </c>
      <c r="E501" s="1" t="n">
        <v>46260</v>
      </c>
      <c r="F501" t="inlineStr">
        <is>
          <t>KALMAR LÄN</t>
        </is>
      </c>
      <c r="G501" t="inlineStr">
        <is>
          <t>EMMABODA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46260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46260</v>
      </c>
      <c r="F503" t="inlineStr">
        <is>
          <t>KALMAR LÄN</t>
        </is>
      </c>
      <c r="G503" t="inlineStr">
        <is>
          <t>EMMABODA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45009</v>
      </c>
      <c r="E504" s="1" t="n">
        <v>46260</v>
      </c>
      <c r="F504" t="inlineStr">
        <is>
          <t>KALMAR LÄN</t>
        </is>
      </c>
      <c r="G504" t="inlineStr">
        <is>
          <t>EMMABODA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46260</v>
      </c>
      <c r="F505" t="inlineStr">
        <is>
          <t>KALMAR LÄN</t>
        </is>
      </c>
      <c r="G505" t="inlineStr">
        <is>
          <t>EMMABODA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46260</v>
      </c>
      <c r="F506" t="inlineStr">
        <is>
          <t>KALMAR LÄN</t>
        </is>
      </c>
      <c r="G506" t="inlineStr">
        <is>
          <t>EMMABODA</t>
        </is>
      </c>
      <c r="H506" t="inlineStr">
        <is>
          <t>Kyrkan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61791-2022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44911</v>
      </c>
      <c r="E507" s="1" t="n">
        <v>46260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45159</v>
      </c>
      <c r="E508" s="1" t="n">
        <v>46260</v>
      </c>
      <c r="F508" t="inlineStr">
        <is>
          <t>KALMAR LÄN</t>
        </is>
      </c>
      <c r="G508" t="inlineStr">
        <is>
          <t>EMMABODA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63254-2025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46260</v>
      </c>
      <c r="F509" t="inlineStr">
        <is>
          <t>KALMAR LÄN</t>
        </is>
      </c>
      <c r="G509" t="inlineStr">
        <is>
          <t>EMMABODA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46260</v>
      </c>
      <c r="F510" t="inlineStr">
        <is>
          <t>KALMAR LÄN</t>
        </is>
      </c>
      <c r="G510" t="inlineStr">
        <is>
          <t>EMMABODA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45514</v>
      </c>
      <c r="E511" s="1" t="n">
        <v>46260</v>
      </c>
      <c r="F511" t="inlineStr">
        <is>
          <t>KALMAR LÄN</t>
        </is>
      </c>
      <c r="G511" t="inlineStr">
        <is>
          <t>EMMABODA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46260</v>
      </c>
      <c r="F512" t="inlineStr">
        <is>
          <t>KALMAR LÄN</t>
        </is>
      </c>
      <c r="G512" t="inlineStr">
        <is>
          <t>EMMABODA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46260</v>
      </c>
      <c r="F513" t="inlineStr">
        <is>
          <t>KALMAR LÄN</t>
        </is>
      </c>
      <c r="G513" t="inlineStr">
        <is>
          <t>EMMABODA</t>
        </is>
      </c>
      <c r="H513" t="inlineStr">
        <is>
          <t>Sveaskog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46260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46260</v>
      </c>
      <c r="F515" t="inlineStr">
        <is>
          <t>KALMAR LÄN</t>
        </is>
      </c>
      <c r="G515" t="inlineStr">
        <is>
          <t>EMMABODA</t>
        </is>
      </c>
      <c r="H515" t="inlineStr">
        <is>
          <t>Sveaskog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46260</v>
      </c>
      <c r="F516" t="inlineStr">
        <is>
          <t>KALMAR LÄN</t>
        </is>
      </c>
      <c r="G516" t="inlineStr">
        <is>
          <t>EMMABODA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44879</v>
      </c>
      <c r="E517" s="1" t="n">
        <v>46260</v>
      </c>
      <c r="F517" t="inlineStr">
        <is>
          <t>KALMAR LÄN</t>
        </is>
      </c>
      <c r="G517" t="inlineStr">
        <is>
          <t>EMMABODA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46260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46260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46260</v>
      </c>
      <c r="F520" t="inlineStr">
        <is>
          <t>KALMAR LÄN</t>
        </is>
      </c>
      <c r="G520" t="inlineStr">
        <is>
          <t>EMMABODA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45126</v>
      </c>
      <c r="E521" s="1" t="n">
        <v>46260</v>
      </c>
      <c r="F521" t="inlineStr">
        <is>
          <t>KALMAR LÄN</t>
        </is>
      </c>
      <c r="G521" t="inlineStr">
        <is>
          <t>EMMABODA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45155</v>
      </c>
      <c r="E522" s="1" t="n">
        <v>46260</v>
      </c>
      <c r="F522" t="inlineStr">
        <is>
          <t>KALMAR LÄN</t>
        </is>
      </c>
      <c r="G522" t="inlineStr">
        <is>
          <t>EMMABODA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46202</v>
      </c>
      <c r="E523" s="1" t="n">
        <v>46260</v>
      </c>
      <c r="F523" t="inlineStr">
        <is>
          <t>KALMAR LÄN</t>
        </is>
      </c>
      <c r="G523" t="inlineStr">
        <is>
          <t>EMMABODA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44953</v>
      </c>
      <c r="E524" s="1" t="n">
        <v>46260</v>
      </c>
      <c r="F524" t="inlineStr">
        <is>
          <t>KALMAR LÄN</t>
        </is>
      </c>
      <c r="G524" t="inlineStr">
        <is>
          <t>EMMABODA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9812-2024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45362</v>
      </c>
      <c r="E525" s="1" t="n">
        <v>46260</v>
      </c>
      <c r="F525" t="inlineStr">
        <is>
          <t>KALMAR LÄN</t>
        </is>
      </c>
      <c r="G525" t="inlineStr">
        <is>
          <t>EMMABODA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44700</v>
      </c>
      <c r="E526" s="1" t="n">
        <v>46260</v>
      </c>
      <c r="F526" t="inlineStr">
        <is>
          <t>KALMAR LÄN</t>
        </is>
      </c>
      <c r="G526" t="inlineStr">
        <is>
          <t>EMMABODA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45743</v>
      </c>
      <c r="E527" s="1" t="n">
        <v>46260</v>
      </c>
      <c r="F527" t="inlineStr">
        <is>
          <t>KALMAR LÄN</t>
        </is>
      </c>
      <c r="G527" t="inlineStr">
        <is>
          <t>EMMABODA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45296</v>
      </c>
      <c r="E528" s="1" t="n">
        <v>46260</v>
      </c>
      <c r="F528" t="inlineStr">
        <is>
          <t>KALMAR LÄN</t>
        </is>
      </c>
      <c r="G528" t="inlineStr">
        <is>
          <t>EMMABODA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68947-2021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44530</v>
      </c>
      <c r="E529" s="1" t="n">
        <v>46260</v>
      </c>
      <c r="F529" t="inlineStr">
        <is>
          <t>KALMAR LÄN</t>
        </is>
      </c>
      <c r="G529" t="inlineStr">
        <is>
          <t>EMMABODA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46260</v>
      </c>
      <c r="F530" t="inlineStr">
        <is>
          <t>KALMAR LÄN</t>
        </is>
      </c>
      <c r="G530" t="inlineStr">
        <is>
          <t>EMMABODA</t>
        </is>
      </c>
      <c r="H530" t="inlineStr">
        <is>
          <t>Sveaskog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44777</v>
      </c>
      <c r="E531" s="1" t="n">
        <v>46260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46260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46260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49624-2023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46260</v>
      </c>
      <c r="F534" t="inlineStr">
        <is>
          <t>KALMAR LÄN</t>
        </is>
      </c>
      <c r="G534" t="inlineStr">
        <is>
          <t>EMMABODA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46260</v>
      </c>
      <c r="F535" t="inlineStr">
        <is>
          <t>KALMAR LÄN</t>
        </is>
      </c>
      <c r="G535" t="inlineStr">
        <is>
          <t>EMMABODA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45164</v>
      </c>
      <c r="E536" s="1" t="n">
        <v>46260</v>
      </c>
      <c r="F536" t="inlineStr">
        <is>
          <t>KALMAR LÄN</t>
        </is>
      </c>
      <c r="G536" t="inlineStr">
        <is>
          <t>EMMABODA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46260</v>
      </c>
      <c r="F537" t="inlineStr">
        <is>
          <t>KALMAR LÄN</t>
        </is>
      </c>
      <c r="G537" t="inlineStr">
        <is>
          <t>EMMABODA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46260</v>
      </c>
      <c r="F538" t="inlineStr">
        <is>
          <t>KALMAR LÄN</t>
        </is>
      </c>
      <c r="G538" t="inlineStr">
        <is>
          <t>EMMABODA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46260</v>
      </c>
      <c r="F539" t="inlineStr">
        <is>
          <t>KALMAR LÄN</t>
        </is>
      </c>
      <c r="G539" t="inlineStr">
        <is>
          <t>EMMABODA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10167-2025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45719</v>
      </c>
      <c r="E540" s="1" t="n">
        <v>46260</v>
      </c>
      <c r="F540" t="inlineStr">
        <is>
          <t>KALMAR LÄN</t>
        </is>
      </c>
      <c r="G540" t="inlineStr">
        <is>
          <t>EMMABODA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45349</v>
      </c>
      <c r="E541" s="1" t="n">
        <v>46260</v>
      </c>
      <c r="F541" t="inlineStr">
        <is>
          <t>KALMAR LÄN</t>
        </is>
      </c>
      <c r="G541" t="inlineStr">
        <is>
          <t>EMMABODA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35382-2024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45531</v>
      </c>
      <c r="E542" s="1" t="n">
        <v>46260</v>
      </c>
      <c r="F542" t="inlineStr">
        <is>
          <t>KALMAR LÄN</t>
        </is>
      </c>
      <c r="G542" t="inlineStr">
        <is>
          <t>EMMABODA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46260</v>
      </c>
      <c r="F543" t="inlineStr">
        <is>
          <t>KALMAR LÄN</t>
        </is>
      </c>
      <c r="G543" t="inlineStr">
        <is>
          <t>EMMABODA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46260</v>
      </c>
      <c r="F544" t="inlineStr">
        <is>
          <t>KALMAR LÄN</t>
        </is>
      </c>
      <c r="G544" t="inlineStr">
        <is>
          <t>EMMABODA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50500-2022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44861</v>
      </c>
      <c r="E545" s="1" t="n">
        <v>46260</v>
      </c>
      <c r="F545" t="inlineStr">
        <is>
          <t>KALMAR LÄN</t>
        </is>
      </c>
      <c r="G545" t="inlineStr">
        <is>
          <t>EMMABODA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18424-2026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46127</v>
      </c>
      <c r="E546" s="1" t="n">
        <v>46260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45772</v>
      </c>
      <c r="E547" s="1" t="n">
        <v>46260</v>
      </c>
      <c r="F547" t="inlineStr">
        <is>
          <t>KALMAR LÄN</t>
        </is>
      </c>
      <c r="G547" t="inlineStr">
        <is>
          <t>EMMABODA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48233-2023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45205</v>
      </c>
      <c r="E548" s="1" t="n">
        <v>46260</v>
      </c>
      <c r="F548" t="inlineStr">
        <is>
          <t>KALMAR LÄN</t>
        </is>
      </c>
      <c r="G548" t="inlineStr">
        <is>
          <t>EMMABODA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27488-2024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45474</v>
      </c>
      <c r="E549" s="1" t="n">
        <v>46260</v>
      </c>
      <c r="F549" t="inlineStr">
        <is>
          <t>KALMAR LÄN</t>
        </is>
      </c>
      <c r="G549" t="inlineStr">
        <is>
          <t>EMMABODA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45084</v>
      </c>
      <c r="E550" s="1" t="n">
        <v>46260</v>
      </c>
      <c r="F550" t="inlineStr">
        <is>
          <t>KALMAR LÄN</t>
        </is>
      </c>
      <c r="G550" t="inlineStr">
        <is>
          <t>EMMABODA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46260</v>
      </c>
      <c r="F551" t="inlineStr">
        <is>
          <t>KALMAR LÄN</t>
        </is>
      </c>
      <c r="G551" t="inlineStr">
        <is>
          <t>EMMABODA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46260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46260</v>
      </c>
      <c r="F553" t="inlineStr">
        <is>
          <t>KALMAR LÄN</t>
        </is>
      </c>
      <c r="G553" t="inlineStr">
        <is>
          <t>EMMABODA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46260</v>
      </c>
      <c r="F554" t="inlineStr">
        <is>
          <t>KALMAR LÄN</t>
        </is>
      </c>
      <c r="G554" t="inlineStr">
        <is>
          <t>EMMABODA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44490-2024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46260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48918-2023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46260</v>
      </c>
      <c r="F556" t="inlineStr">
        <is>
          <t>KALMAR LÄN</t>
        </is>
      </c>
      <c r="G556" t="inlineStr">
        <is>
          <t>EMMABODA</t>
        </is>
      </c>
      <c r="H556" t="inlineStr">
        <is>
          <t>Övriga Aktiebolag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46260</v>
      </c>
      <c r="F557" t="inlineStr">
        <is>
          <t>KALMAR LÄN</t>
        </is>
      </c>
      <c r="G557" t="inlineStr">
        <is>
          <t>EMMABODA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54230-2023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45232</v>
      </c>
      <c r="E558" s="1" t="n">
        <v>46260</v>
      </c>
      <c r="F558" t="inlineStr">
        <is>
          <t>KALMAR LÄN</t>
        </is>
      </c>
      <c r="G558" t="inlineStr">
        <is>
          <t>EMMABODA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45098</v>
      </c>
      <c r="E559" s="1" t="n">
        <v>46260</v>
      </c>
      <c r="F559" t="inlineStr">
        <is>
          <t>KALMAR LÄN</t>
        </is>
      </c>
      <c r="G559" t="inlineStr">
        <is>
          <t>EMMABODA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45392</v>
      </c>
      <c r="E560" s="1" t="n">
        <v>46260</v>
      </c>
      <c r="F560" t="inlineStr">
        <is>
          <t>KALMAR LÄN</t>
        </is>
      </c>
      <c r="G560" t="inlineStr">
        <is>
          <t>EMMABODA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46260</v>
      </c>
      <c r="F561" t="inlineStr">
        <is>
          <t>KALMAR LÄN</t>
        </is>
      </c>
      <c r="G561" t="inlineStr">
        <is>
          <t>EMMABODA</t>
        </is>
      </c>
      <c r="H561" t="inlineStr">
        <is>
          <t>Kyrkan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46260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46260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46213</v>
      </c>
      <c r="E564" s="1" t="n">
        <v>46260</v>
      </c>
      <c r="F564" t="inlineStr">
        <is>
          <t>KALMAR LÄN</t>
        </is>
      </c>
      <c r="G564" t="inlineStr">
        <is>
          <t>EMMABODA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45341</v>
      </c>
      <c r="E565" s="1" t="n">
        <v>46260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46260</v>
      </c>
      <c r="F566" t="inlineStr">
        <is>
          <t>KALMAR LÄN</t>
        </is>
      </c>
      <c r="G566" t="inlineStr">
        <is>
          <t>EMMABODA</t>
        </is>
      </c>
      <c r="H566" t="inlineStr">
        <is>
          <t>Kyrkan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44995</v>
      </c>
      <c r="E567" s="1" t="n">
        <v>46260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45003</v>
      </c>
      <c r="E568" s="1" t="n">
        <v>46260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45477</v>
      </c>
      <c r="E569" s="1" t="n">
        <v>46260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12014-2023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44995</v>
      </c>
      <c r="E570" s="1" t="n">
        <v>46260</v>
      </c>
      <c r="F570" t="inlineStr">
        <is>
          <t>KALMAR LÄN</t>
        </is>
      </c>
      <c r="G570" t="inlineStr">
        <is>
          <t>EMMABODA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46255</v>
      </c>
      <c r="E571" s="1" t="n">
        <v>46260</v>
      </c>
      <c r="F571" t="inlineStr">
        <is>
          <t>KALMAR LÄN</t>
        </is>
      </c>
      <c r="G571" t="inlineStr">
        <is>
          <t>EMMABODA</t>
        </is>
      </c>
      <c r="H571" t="inlineStr">
        <is>
          <t>Kyrkan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46259</v>
      </c>
      <c r="E572" s="1" t="n">
        <v>46260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46260</v>
      </c>
      <c r="F573" t="inlineStr">
        <is>
          <t>KALMAR LÄN</t>
        </is>
      </c>
      <c r="G573" t="inlineStr">
        <is>
          <t>EMMABODA</t>
        </is>
      </c>
      <c r="H573" t="inlineStr">
        <is>
          <t>Kyrkan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27155-2026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46188</v>
      </c>
      <c r="E574" s="1" t="n">
        <v>46260</v>
      </c>
      <c r="F574" t="inlineStr">
        <is>
          <t>KALMAR LÄN</t>
        </is>
      </c>
      <c r="G574" t="inlineStr">
        <is>
          <t>EMMABODA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46260</v>
      </c>
      <c r="F575" t="inlineStr">
        <is>
          <t>KALMAR LÄN</t>
        </is>
      </c>
      <c r="G575" t="inlineStr">
        <is>
          <t>EMMABODA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46260</v>
      </c>
      <c r="F576" t="inlineStr">
        <is>
          <t>KALMAR LÄN</t>
        </is>
      </c>
      <c r="G576" t="inlineStr">
        <is>
          <t>EMMABODA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45514</v>
      </c>
      <c r="E577" s="1" t="n">
        <v>46260</v>
      </c>
      <c r="F577" t="inlineStr">
        <is>
          <t>KALMAR LÄN</t>
        </is>
      </c>
      <c r="G577" t="inlineStr">
        <is>
          <t>EMMABODA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46260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34904-2026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46260</v>
      </c>
      <c r="F579" t="inlineStr">
        <is>
          <t>KALMAR LÄN</t>
        </is>
      </c>
      <c r="G579" t="inlineStr">
        <is>
          <t>EMMABODA</t>
        </is>
      </c>
      <c r="H579" t="inlineStr">
        <is>
          <t>Kyrkan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33160-2026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46245</v>
      </c>
      <c r="E580" s="1" t="n">
        <v>46260</v>
      </c>
      <c r="F580" t="inlineStr">
        <is>
          <t>KALMAR LÄN</t>
        </is>
      </c>
      <c r="G580" t="inlineStr">
        <is>
          <t>EMMABODA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46260</v>
      </c>
      <c r="F581" t="inlineStr">
        <is>
          <t>KALMAR LÄN</t>
        </is>
      </c>
      <c r="G581" t="inlineStr">
        <is>
          <t>EMMABODA</t>
        </is>
      </c>
      <c r="H581" t="inlineStr">
        <is>
          <t>Kyrkan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44959</v>
      </c>
      <c r="E582" s="1" t="n">
        <v>46260</v>
      </c>
      <c r="F582" t="inlineStr">
        <is>
          <t>KALMAR LÄN</t>
        </is>
      </c>
      <c r="G582" t="inlineStr">
        <is>
          <t>EMMABODA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45068</v>
      </c>
      <c r="E583" s="1" t="n">
        <v>46260</v>
      </c>
      <c r="F583" t="inlineStr">
        <is>
          <t>KALMAR LÄN</t>
        </is>
      </c>
      <c r="G583" t="inlineStr">
        <is>
          <t>EMMABODA</t>
        </is>
      </c>
      <c r="H583" t="inlineStr">
        <is>
          <t>Kommuner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8112-2025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45707</v>
      </c>
      <c r="E584" s="1" t="n">
        <v>46260</v>
      </c>
      <c r="F584" t="inlineStr">
        <is>
          <t>KALMAR LÄN</t>
        </is>
      </c>
      <c r="G584" t="inlineStr">
        <is>
          <t>EMMABODA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46728-2022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44851</v>
      </c>
      <c r="E585" s="1" t="n">
        <v>46260</v>
      </c>
      <c r="F585" t="inlineStr">
        <is>
          <t>KALMAR LÄN</t>
        </is>
      </c>
      <c r="G585" t="inlineStr">
        <is>
          <t>EMMABODA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44608</v>
      </c>
      <c r="E586" s="1" t="n">
        <v>46260</v>
      </c>
      <c r="F586" t="inlineStr">
        <is>
          <t>KALMAR LÄN</t>
        </is>
      </c>
      <c r="G586" t="inlineStr">
        <is>
          <t>EMMABODA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27028-2023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45095</v>
      </c>
      <c r="E587" s="1" t="n">
        <v>46260</v>
      </c>
      <c r="F587" t="inlineStr">
        <is>
          <t>KALMAR LÄN</t>
        </is>
      </c>
      <c r="G587" t="inlineStr">
        <is>
          <t>EMMABODA</t>
        </is>
      </c>
      <c r="I587" t="n">
        <v>11.3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44580</v>
      </c>
      <c r="E588" s="1" t="n">
        <v>46260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45373</v>
      </c>
      <c r="E589" s="1" t="n">
        <v>46260</v>
      </c>
      <c r="F589" t="inlineStr">
        <is>
          <t>KALMAR LÄN</t>
        </is>
      </c>
      <c r="G589" t="inlineStr">
        <is>
          <t>EMMABODA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45161</v>
      </c>
      <c r="E590" s="1" t="n">
        <v>46260</v>
      </c>
      <c r="F590" t="inlineStr">
        <is>
          <t>KALMAR LÄN</t>
        </is>
      </c>
      <c r="G590" t="inlineStr">
        <is>
          <t>EMMABODA</t>
        </is>
      </c>
      <c r="H590" t="inlineStr">
        <is>
          <t>Kommuner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9755-2023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44984</v>
      </c>
      <c r="E591" s="1" t="n">
        <v>46260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58839-2023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45252</v>
      </c>
      <c r="E592" s="1" t="n">
        <v>46260</v>
      </c>
      <c r="F592" t="inlineStr">
        <is>
          <t>KALMAR LÄN</t>
        </is>
      </c>
      <c r="G592" t="inlineStr">
        <is>
          <t>EMMABODA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30460-2022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44761</v>
      </c>
      <c r="E593" s="1" t="n">
        <v>46260</v>
      </c>
      <c r="F593" t="inlineStr">
        <is>
          <t>KALMAR LÄN</t>
        </is>
      </c>
      <c r="G593" t="inlineStr">
        <is>
          <t>EMMABODA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36043-2022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46260</v>
      </c>
      <c r="F594" t="inlineStr">
        <is>
          <t>KALMAR LÄN</t>
        </is>
      </c>
      <c r="G594" t="inlineStr">
        <is>
          <t>EMMABODA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45422</v>
      </c>
      <c r="E595" s="1" t="n">
        <v>46260</v>
      </c>
      <c r="F595" t="inlineStr">
        <is>
          <t>KALMAR LÄN</t>
        </is>
      </c>
      <c r="G595" t="inlineStr">
        <is>
          <t>EMMABODA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37296-2022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44808</v>
      </c>
      <c r="E596" s="1" t="n">
        <v>46260</v>
      </c>
      <c r="F596" t="inlineStr">
        <is>
          <t>KALMAR LÄN</t>
        </is>
      </c>
      <c r="G596" t="inlineStr">
        <is>
          <t>EMMABODA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48113-2021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44449</v>
      </c>
      <c r="E597" s="1" t="n">
        <v>46260</v>
      </c>
      <c r="F597" t="inlineStr">
        <is>
          <t>KALMAR LÄN</t>
        </is>
      </c>
      <c r="G597" t="inlineStr">
        <is>
          <t>EMMABODA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44542-2023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45189</v>
      </c>
      <c r="E598" s="1" t="n">
        <v>46260</v>
      </c>
      <c r="F598" t="inlineStr">
        <is>
          <t>KALMAR LÄN</t>
        </is>
      </c>
      <c r="G598" t="inlineStr">
        <is>
          <t>EMMABODA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45772</v>
      </c>
      <c r="E599" s="1" t="n">
        <v>46260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45049</v>
      </c>
      <c r="E600" s="1" t="n">
        <v>46260</v>
      </c>
      <c r="F600" t="inlineStr">
        <is>
          <t>KALMAR LÄN</t>
        </is>
      </c>
      <c r="G600" t="inlineStr">
        <is>
          <t>EMMABODA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69464-2021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44531</v>
      </c>
      <c r="E601" s="1" t="n">
        <v>46260</v>
      </c>
      <c r="F601" t="inlineStr">
        <is>
          <t>KALMAR LÄN</t>
        </is>
      </c>
      <c r="G601" t="inlineStr">
        <is>
          <t>EMMABODA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46260</v>
      </c>
      <c r="F602" t="inlineStr">
        <is>
          <t>KALMAR LÄN</t>
        </is>
      </c>
      <c r="G602" t="inlineStr">
        <is>
          <t>EMMABODA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19695-2023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46260</v>
      </c>
      <c r="F603" t="inlineStr">
        <is>
          <t>KALMAR LÄN</t>
        </is>
      </c>
      <c r="G603" t="inlineStr">
        <is>
          <t>EMMABODA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33067-2023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45126</v>
      </c>
      <c r="E604" s="1" t="n">
        <v>46260</v>
      </c>
      <c r="F604" t="inlineStr">
        <is>
          <t>KALMAR LÄN</t>
        </is>
      </c>
      <c r="G604" t="inlineStr">
        <is>
          <t>EMMABODA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46260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46260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16703-2022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44673</v>
      </c>
      <c r="E607" s="1" t="n">
        <v>46260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49726-2024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45596</v>
      </c>
      <c r="E608" s="1" t="n">
        <v>46260</v>
      </c>
      <c r="F608" t="inlineStr">
        <is>
          <t>KALMAR LÄN</t>
        </is>
      </c>
      <c r="G608" t="inlineStr">
        <is>
          <t>EMMABODA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46260</v>
      </c>
      <c r="F609" t="inlineStr">
        <is>
          <t>KALMAR LÄN</t>
        </is>
      </c>
      <c r="G609" t="inlineStr">
        <is>
          <t>EMMABODA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45668</v>
      </c>
      <c r="E610" s="1" t="n">
        <v>46260</v>
      </c>
      <c r="F610" t="inlineStr">
        <is>
          <t>KALMAR LÄN</t>
        </is>
      </c>
      <c r="G610" t="inlineStr">
        <is>
          <t>EMMABODA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30262-2022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44759</v>
      </c>
      <c r="E611" s="1" t="n">
        <v>46260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44594</v>
      </c>
      <c r="E612" s="1" t="n">
        <v>46260</v>
      </c>
      <c r="F612" t="inlineStr">
        <is>
          <t>KALMAR LÄN</t>
        </is>
      </c>
      <c r="G612" t="inlineStr">
        <is>
          <t>EMMABODA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45323</v>
      </c>
      <c r="E613" s="1" t="n">
        <v>46260</v>
      </c>
      <c r="F613" t="inlineStr">
        <is>
          <t>KALMAR LÄN</t>
        </is>
      </c>
      <c r="G613" t="inlineStr">
        <is>
          <t>EMMABODA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46260</v>
      </c>
      <c r="F614" t="inlineStr">
        <is>
          <t>KALMAR LÄN</t>
        </is>
      </c>
      <c r="G614" t="inlineStr">
        <is>
          <t>EMMABODA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36009-2023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45149</v>
      </c>
      <c r="E615" s="1" t="n">
        <v>46260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45111</v>
      </c>
      <c r="E616" s="1" t="n">
        <v>46260</v>
      </c>
      <c r="F616" t="inlineStr">
        <is>
          <t>KALMAR LÄN</t>
        </is>
      </c>
      <c r="G616" t="inlineStr">
        <is>
          <t>EMMABODA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45310</v>
      </c>
      <c r="E617" s="1" t="n">
        <v>46260</v>
      </c>
      <c r="F617" t="inlineStr">
        <is>
          <t>KALMAR LÄN</t>
        </is>
      </c>
      <c r="G617" t="inlineStr">
        <is>
          <t>EMMABODA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48926-2023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46260</v>
      </c>
      <c r="F618" t="inlineStr">
        <is>
          <t>KALMAR LÄN</t>
        </is>
      </c>
      <c r="G618" t="inlineStr">
        <is>
          <t>EMMABODA</t>
        </is>
      </c>
      <c r="H618" t="inlineStr">
        <is>
          <t>Övriga Aktiebolag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21291-2023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45062</v>
      </c>
      <c r="E619" s="1" t="n">
        <v>46260</v>
      </c>
      <c r="F619" t="inlineStr">
        <is>
          <t>KALMAR LÄN</t>
        </is>
      </c>
      <c r="G619" t="inlineStr">
        <is>
          <t>EMMABODA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42194-2024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45562</v>
      </c>
      <c r="E620" s="1" t="n">
        <v>46260</v>
      </c>
      <c r="F620" t="inlineStr">
        <is>
          <t>KALMAR LÄN</t>
        </is>
      </c>
      <c r="G620" t="inlineStr">
        <is>
          <t>EMMABODA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46260</v>
      </c>
      <c r="F621" t="inlineStr">
        <is>
          <t>KALMAR LÄN</t>
        </is>
      </c>
      <c r="G621" t="inlineStr">
        <is>
          <t>EMMABODA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46260</v>
      </c>
      <c r="F622" t="inlineStr">
        <is>
          <t>KALMAR LÄN</t>
        </is>
      </c>
      <c r="G622" t="inlineStr">
        <is>
          <t>EMMABODA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44589</v>
      </c>
      <c r="E623" s="1" t="n">
        <v>46260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44726</v>
      </c>
      <c r="E624" s="1" t="n">
        <v>46260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14792-2025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45742</v>
      </c>
      <c r="E625" s="1" t="n">
        <v>46260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67538-2021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44524</v>
      </c>
      <c r="E626" s="1" t="n">
        <v>46260</v>
      </c>
      <c r="F626" t="inlineStr">
        <is>
          <t>KALMAR LÄN</t>
        </is>
      </c>
      <c r="G626" t="inlineStr">
        <is>
          <t>EMMABODA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24983-2022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44728</v>
      </c>
      <c r="E627" s="1" t="n">
        <v>46260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42943-2023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45182</v>
      </c>
      <c r="E628" s="1" t="n">
        <v>46260</v>
      </c>
      <c r="F628" t="inlineStr">
        <is>
          <t>KALMAR LÄN</t>
        </is>
      </c>
      <c r="G628" t="inlineStr">
        <is>
          <t>EMMABODA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38924-2022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44816</v>
      </c>
      <c r="E629" s="1" t="n">
        <v>46260</v>
      </c>
      <c r="F629" t="inlineStr">
        <is>
          <t>KALMAR LÄN</t>
        </is>
      </c>
      <c r="G629" t="inlineStr">
        <is>
          <t>EMMABODA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44840</v>
      </c>
      <c r="E630" s="1" t="n">
        <v>46260</v>
      </c>
      <c r="F630" t="inlineStr">
        <is>
          <t>KALMAR LÄN</t>
        </is>
      </c>
      <c r="G630" t="inlineStr">
        <is>
          <t>EMMABODA</t>
        </is>
      </c>
      <c r="H630" t="inlineStr">
        <is>
          <t>Övriga Aktiebolag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49284-2024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45595</v>
      </c>
      <c r="E631" s="1" t="n">
        <v>46260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57794-2022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44897</v>
      </c>
      <c r="E632" s="1" t="n">
        <v>46260</v>
      </c>
      <c r="F632" t="inlineStr">
        <is>
          <t>KALMAR LÄN</t>
        </is>
      </c>
      <c r="G632" t="inlineStr">
        <is>
          <t>EMMABODA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63215-2023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45273</v>
      </c>
      <c r="E633" s="1" t="n">
        <v>46260</v>
      </c>
      <c r="F633" t="inlineStr">
        <is>
          <t>KALMAR LÄN</t>
        </is>
      </c>
      <c r="G633" t="inlineStr">
        <is>
          <t>EMMABODA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45349</v>
      </c>
      <c r="E634" s="1" t="n">
        <v>46260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41545-2022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44827</v>
      </c>
      <c r="E635" s="1" t="n">
        <v>46260</v>
      </c>
      <c r="F635" t="inlineStr">
        <is>
          <t>KALMAR LÄN</t>
        </is>
      </c>
      <c r="G635" t="inlineStr">
        <is>
          <t>EMMABODA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27414-2023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46260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73058-2021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44550</v>
      </c>
      <c r="E637" s="1" t="n">
        <v>46260</v>
      </c>
      <c r="F637" t="inlineStr">
        <is>
          <t>KALMAR LÄN</t>
        </is>
      </c>
      <c r="G637" t="inlineStr">
        <is>
          <t>EMMABODA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45076</v>
      </c>
      <c r="E638" s="1" t="n">
        <v>46260</v>
      </c>
      <c r="F638" t="inlineStr">
        <is>
          <t>KALMAR LÄN</t>
        </is>
      </c>
      <c r="G638" t="inlineStr">
        <is>
          <t>EMMABODA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45385</v>
      </c>
      <c r="E639" s="1" t="n">
        <v>46260</v>
      </c>
      <c r="F639" t="inlineStr">
        <is>
          <t>KALMAR LÄN</t>
        </is>
      </c>
      <c r="G639" t="inlineStr">
        <is>
          <t>EMMABODA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32687-2024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45515</v>
      </c>
      <c r="E640" s="1" t="n">
        <v>46260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46260</v>
      </c>
      <c r="F641" t="inlineStr">
        <is>
          <t>KALMAR LÄN</t>
        </is>
      </c>
      <c r="G641" t="inlineStr">
        <is>
          <t>EMMABODA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3288-2024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45317</v>
      </c>
      <c r="E642" s="1" t="n">
        <v>46260</v>
      </c>
      <c r="F642" t="inlineStr">
        <is>
          <t>KALMAR LÄN</t>
        </is>
      </c>
      <c r="G642" t="inlineStr">
        <is>
          <t>EMMABODA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43719-2023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45187</v>
      </c>
      <c r="E643" s="1" t="n">
        <v>46260</v>
      </c>
      <c r="F643" t="inlineStr">
        <is>
          <t>KALMAR LÄN</t>
        </is>
      </c>
      <c r="G643" t="inlineStr">
        <is>
          <t>EMMABODA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28600-2022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44748</v>
      </c>
      <c r="E644" s="1" t="n">
        <v>46260</v>
      </c>
      <c r="F644" t="inlineStr">
        <is>
          <t>KALMAR LÄN</t>
        </is>
      </c>
      <c r="G644" t="inlineStr">
        <is>
          <t>EMMABODA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20505-2022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44699</v>
      </c>
      <c r="E645" s="1" t="n">
        <v>46260</v>
      </c>
      <c r="F645" t="inlineStr">
        <is>
          <t>KALMAR LÄN</t>
        </is>
      </c>
      <c r="G645" t="inlineStr">
        <is>
          <t>EMMABODA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15362-2024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45400</v>
      </c>
      <c r="E646" s="1" t="n">
        <v>46260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45229</v>
      </c>
      <c r="E647" s="1" t="n">
        <v>46260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45293-2023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46260</v>
      </c>
      <c r="F648" t="inlineStr">
        <is>
          <t>KALMAR LÄN</t>
        </is>
      </c>
      <c r="G648" t="inlineStr">
        <is>
          <t>EMMABODA</t>
        </is>
      </c>
      <c r="H648" t="inlineStr">
        <is>
          <t>Kyrkan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45769</v>
      </c>
      <c r="E649" s="1" t="n">
        <v>46260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31070-2022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44769</v>
      </c>
      <c r="E650" s="1" t="n">
        <v>46260</v>
      </c>
      <c r="F650" t="inlineStr">
        <is>
          <t>KALMAR LÄN</t>
        </is>
      </c>
      <c r="G650" t="inlineStr">
        <is>
          <t>EMMABODA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58592-2021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44488</v>
      </c>
      <c r="E651" s="1" t="n">
        <v>46260</v>
      </c>
      <c r="F651" t="inlineStr">
        <is>
          <t>KALMAR LÄN</t>
        </is>
      </c>
      <c r="G651" t="inlineStr">
        <is>
          <t>EMMABODA</t>
        </is>
      </c>
      <c r="H651" t="inlineStr">
        <is>
          <t>Kommuner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19151-2025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45769</v>
      </c>
      <c r="E652" s="1" t="n">
        <v>46260</v>
      </c>
      <c r="F652" t="inlineStr">
        <is>
          <t>KALMAR LÄN</t>
        </is>
      </c>
      <c r="G652" t="inlineStr">
        <is>
          <t>EMMABODA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45394</v>
      </c>
      <c r="E653" s="1" t="n">
        <v>46260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4885-2023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44955</v>
      </c>
      <c r="E654" s="1" t="n">
        <v>46260</v>
      </c>
      <c r="F654" t="inlineStr">
        <is>
          <t>KALMAR LÄN</t>
        </is>
      </c>
      <c r="G654" t="inlineStr">
        <is>
          <t>EMMABODA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45048</v>
      </c>
      <c r="E655" s="1" t="n">
        <v>46260</v>
      </c>
      <c r="F655" t="inlineStr">
        <is>
          <t>KALMAR LÄN</t>
        </is>
      </c>
      <c r="G655" t="inlineStr">
        <is>
          <t>EMMABODA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8151-2024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45351</v>
      </c>
      <c r="E656" s="1" t="n">
        <v>46260</v>
      </c>
      <c r="F656" t="inlineStr">
        <is>
          <t>KALMAR LÄN</t>
        </is>
      </c>
      <c r="G656" t="inlineStr">
        <is>
          <t>EMMABODA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46260</v>
      </c>
      <c r="F657" t="inlineStr">
        <is>
          <t>KALMAR LÄN</t>
        </is>
      </c>
      <c r="G657" t="inlineStr">
        <is>
          <t>EMMABODA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49953-2023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45215</v>
      </c>
      <c r="E658" s="1" t="n">
        <v>46260</v>
      </c>
      <c r="F658" t="inlineStr">
        <is>
          <t>KALMAR LÄN</t>
        </is>
      </c>
      <c r="G658" t="inlineStr">
        <is>
          <t>EMMABODA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39521-2024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45551</v>
      </c>
      <c r="E659" s="1" t="n">
        <v>46260</v>
      </c>
      <c r="F659" t="inlineStr">
        <is>
          <t>KALMAR LÄN</t>
        </is>
      </c>
      <c r="G659" t="inlineStr">
        <is>
          <t>EMMABODA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45523</v>
      </c>
      <c r="E660" s="1" t="n">
        <v>46260</v>
      </c>
      <c r="F660" t="inlineStr">
        <is>
          <t>KALMAR LÄN</t>
        </is>
      </c>
      <c r="G660" t="inlineStr">
        <is>
          <t>EMMABODA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44949</v>
      </c>
      <c r="E661" s="1" t="n">
        <v>46260</v>
      </c>
      <c r="F661" t="inlineStr">
        <is>
          <t>KALMAR LÄN</t>
        </is>
      </c>
      <c r="G661" t="inlineStr">
        <is>
          <t>EMMABODA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45684</v>
      </c>
      <c r="E662" s="1" t="n">
        <v>46260</v>
      </c>
      <c r="F662" t="inlineStr">
        <is>
          <t>KALMAR LÄN</t>
        </is>
      </c>
      <c r="G662" t="inlineStr">
        <is>
          <t>EMMABODA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56254-2024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45624</v>
      </c>
      <c r="E663" s="1" t="n">
        <v>46260</v>
      </c>
      <c r="F663" t="inlineStr">
        <is>
          <t>KALMAR LÄN</t>
        </is>
      </c>
      <c r="G663" t="inlineStr">
        <is>
          <t>EMMABODA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45484</v>
      </c>
      <c r="E664" s="1" t="n">
        <v>46260</v>
      </c>
      <c r="F664" t="inlineStr">
        <is>
          <t>KALMAR LÄN</t>
        </is>
      </c>
      <c r="G664" t="inlineStr">
        <is>
          <t>EMMABODA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29782-2023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46260</v>
      </c>
      <c r="F665" t="inlineStr">
        <is>
          <t>KALMAR LÄN</t>
        </is>
      </c>
      <c r="G665" t="inlineStr">
        <is>
          <t>EMMABODA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45445</v>
      </c>
      <c r="E666" s="1" t="n">
        <v>46260</v>
      </c>
      <c r="F666" t="inlineStr">
        <is>
          <t>KALMAR LÄN</t>
        </is>
      </c>
      <c r="G666" t="inlineStr">
        <is>
          <t>EMMABODA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45317</v>
      </c>
      <c r="E667" s="1" t="n">
        <v>46260</v>
      </c>
      <c r="F667" t="inlineStr">
        <is>
          <t>KALMAR LÄN</t>
        </is>
      </c>
      <c r="G667" t="inlineStr">
        <is>
          <t>EMMABODA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39169-2024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45548</v>
      </c>
      <c r="E668" s="1" t="n">
        <v>46260</v>
      </c>
      <c r="F668" t="inlineStr">
        <is>
          <t>KALMAR LÄN</t>
        </is>
      </c>
      <c r="G668" t="inlineStr">
        <is>
          <t>EMMABODA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17527-2024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45415</v>
      </c>
      <c r="E669" s="1" t="n">
        <v>46260</v>
      </c>
      <c r="F669" t="inlineStr">
        <is>
          <t>KALMAR LÄN</t>
        </is>
      </c>
      <c r="G669" t="inlineStr">
        <is>
          <t>EMMABODA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59413-2024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45638</v>
      </c>
      <c r="E670" s="1" t="n">
        <v>46260</v>
      </c>
      <c r="F670" t="inlineStr">
        <is>
          <t>KALMAR LÄN</t>
        </is>
      </c>
      <c r="G670" t="inlineStr">
        <is>
          <t>EMMABODA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42448-2024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45565</v>
      </c>
      <c r="E671" s="1" t="n">
        <v>46260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13148-2024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45386</v>
      </c>
      <c r="E672" s="1" t="n">
        <v>46260</v>
      </c>
      <c r="F672" t="inlineStr">
        <is>
          <t>KALMAR LÄN</t>
        </is>
      </c>
      <c r="G672" t="inlineStr">
        <is>
          <t>EMMABODA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46260</v>
      </c>
      <c r="F673" t="inlineStr">
        <is>
          <t>KALMAR LÄN</t>
        </is>
      </c>
      <c r="G673" t="inlineStr">
        <is>
          <t>EMMABODA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44453</v>
      </c>
      <c r="E674" s="1" t="n">
        <v>46260</v>
      </c>
      <c r="F674" t="inlineStr">
        <is>
          <t>KALMAR LÄN</t>
        </is>
      </c>
      <c r="G674" t="inlineStr">
        <is>
          <t>EMMABODA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29085-2024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45481</v>
      </c>
      <c r="E675" s="1" t="n">
        <v>46260</v>
      </c>
      <c r="F675" t="inlineStr">
        <is>
          <t>KALMAR LÄN</t>
        </is>
      </c>
      <c r="G675" t="inlineStr">
        <is>
          <t>EMMABODA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45566</v>
      </c>
      <c r="E676" s="1" t="n">
        <v>46260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46429-2024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45582</v>
      </c>
      <c r="E677" s="1" t="n">
        <v>46260</v>
      </c>
      <c r="F677" t="inlineStr">
        <is>
          <t>KALMAR LÄN</t>
        </is>
      </c>
      <c r="G677" t="inlineStr">
        <is>
          <t>EMMABODA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46260</v>
      </c>
      <c r="F678" t="inlineStr">
        <is>
          <t>KALMAR LÄN</t>
        </is>
      </c>
      <c r="G678" t="inlineStr">
        <is>
          <t>EMMABODA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46260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45688</v>
      </c>
      <c r="E680" s="1" t="n">
        <v>46260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46260</v>
      </c>
      <c r="F681" t="inlineStr">
        <is>
          <t>KALMAR LÄN</t>
        </is>
      </c>
      <c r="G681" t="inlineStr">
        <is>
          <t>EMMABODA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46260</v>
      </c>
      <c r="F682" t="inlineStr">
        <is>
          <t>KALMAR LÄN</t>
        </is>
      </c>
      <c r="G682" t="inlineStr">
        <is>
          <t>EMMABODA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46260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768-2025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45665</v>
      </c>
      <c r="E684" s="1" t="n">
        <v>46260</v>
      </c>
      <c r="F684" t="inlineStr">
        <is>
          <t>KALMAR LÄN</t>
        </is>
      </c>
      <c r="G684" t="inlineStr">
        <is>
          <t>EMMABODA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8397-2023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44977</v>
      </c>
      <c r="E685" s="1" t="n">
        <v>46260</v>
      </c>
      <c r="F685" t="inlineStr">
        <is>
          <t>KALMAR LÄN</t>
        </is>
      </c>
      <c r="G685" t="inlineStr">
        <is>
          <t>EMMABODA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36491-2024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45537</v>
      </c>
      <c r="E686" s="1" t="n">
        <v>46260</v>
      </c>
      <c r="F686" t="inlineStr">
        <is>
          <t>KALMAR LÄN</t>
        </is>
      </c>
      <c r="G686" t="inlineStr">
        <is>
          <t>EMMABODA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4947-2023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44958</v>
      </c>
      <c r="E687" s="1" t="n">
        <v>46260</v>
      </c>
      <c r="F687" t="inlineStr">
        <is>
          <t>KALMAR LÄN</t>
        </is>
      </c>
      <c r="G687" t="inlineStr">
        <is>
          <t>EMMABODA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25316-2025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45800</v>
      </c>
      <c r="E688" s="1" t="n">
        <v>46260</v>
      </c>
      <c r="F688" t="inlineStr">
        <is>
          <t>KALMAR LÄN</t>
        </is>
      </c>
      <c r="G688" t="inlineStr">
        <is>
          <t>EMMABODA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25776-2025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45804</v>
      </c>
      <c r="E689" s="1" t="n">
        <v>46260</v>
      </c>
      <c r="F689" t="inlineStr">
        <is>
          <t>KALMAR LÄN</t>
        </is>
      </c>
      <c r="G689" t="inlineStr">
        <is>
          <t>EMMABODA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46260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46260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46260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46260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46260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46260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46260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46260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46260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46260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46260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46260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46260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46260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46260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46260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46260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46260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46260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46260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46260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46260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46260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46260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46260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46260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46260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46260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46260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46260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46260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46260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46260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46260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46260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46260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46260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46260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46260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46260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46260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46260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46260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46260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46260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46260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46260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46260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46260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46260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2026-08-26T01:55:28Z</dcterms:created>
  <dcterms:modified xmlns:dcterms="http://purl.org/dc/terms/" xmlns:xsi="http://www.w3.org/2001/XMLSchema-instance" xsi:type="dcterms:W3CDTF">2026-08-26T01:55:28Z</dcterms:modified>
</cp:coreProperties>
</file>