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S 3392-2024</t>
        </is>
      </c>
      <c r="B2" t="inlineStr">
        <is>
          <t>samrådsanmälan</t>
        </is>
      </c>
      <c r="C2" t="inlineStr">
        <is>
          <t>Askåterföring</t>
        </is>
      </c>
      <c r="D2" s="1" t="n">
        <v>45534</v>
      </c>
      <c r="E2" s="1" t="n">
        <v>46313</v>
      </c>
      <c r="F2" t="inlineStr">
        <is>
          <t>KALMAR LÄN</t>
        </is>
      </c>
      <c r="G2" t="inlineStr">
        <is>
          <t>EMMABODA</t>
        </is>
      </c>
      <c r="I2" t="n">
        <v>53.9</v>
      </c>
      <c r="J2" t="n">
        <v>1</v>
      </c>
      <c r="K2" t="n">
        <v>5</v>
      </c>
      <c r="L2" t="n">
        <v>1</v>
      </c>
      <c r="M2" t="n">
        <v>0</v>
      </c>
      <c r="N2" t="n">
        <v>2</v>
      </c>
      <c r="O2" t="n">
        <v>0</v>
      </c>
      <c r="P2" t="n">
        <v>0</v>
      </c>
      <c r="Q2" t="n">
        <v>3</v>
      </c>
      <c r="R2" t="n">
        <v>2</v>
      </c>
      <c r="S2" t="n">
        <v>9</v>
      </c>
      <c r="T2" t="n">
        <v>9</v>
      </c>
      <c r="U2" t="n">
        <v>2</v>
      </c>
      <c r="V2" s="2" t="inlineStr">
        <is>
          <t>Almlav
Skogsalm
Vårärt
Bårdlav
Guldlockmossa
Havstulpanlav
Lindskål
Scytinium lichenoides s.lat.
Blåsippa</t>
        </is>
      </c>
      <c r="W2">
        <f>HYPERLINK("https://klasma.github.io/Logging_0862/artfynd/S 3392-2024 artfynd.xlsx", "S 3392-2024")</f>
        <v/>
      </c>
      <c r="X2">
        <f>HYPERLINK("https://klasma.github.io/Logging_0862/kartor/S 3392-2024 karta.png", "S 3392-2024")</f>
        <v/>
      </c>
      <c r="Y2">
        <f>HYPERLINK("https://klasma.github.io/Logging_0862/kartor_geotiff/S 3392-2024 georefererad karta.tif", "S 3392-2024")</f>
        <v/>
      </c>
      <c r="AA2">
        <f>HYPERLINK("https://klasma.github.io/Logging_0862/klagomål/S 3392-2024 FSC-klagomål.docx", "S 3392-2024")</f>
        <v/>
      </c>
      <c r="AB2">
        <f>HYPERLINK("https://klasma.github.io/Logging_0862/klagomålsmail/S 3392-2024 FSC-klagomål mail.docx", "S 3392-2024")</f>
        <v/>
      </c>
      <c r="AC2">
        <f>HYPERLINK("https://klasma.github.io/Logging_0862/tillsyn/S 3392-2024 tillsynsbegäran.docx", "S 3392-2024")</f>
        <v/>
      </c>
      <c r="AD2">
        <f>HYPERLINK("https://klasma.github.io/Logging_0862/tillsynsmail/S 3392-2024 tillsynsbegäran mail.docx", "S 3392-2024")</f>
        <v/>
      </c>
    </row>
    <row r="3" ht="15" customHeight="1">
      <c r="A3" t="inlineStr">
        <is>
          <t>A 21184-2024</t>
        </is>
      </c>
      <c r="B3" t="inlineStr">
        <is>
          <t>avverkningsanmälan</t>
        </is>
      </c>
      <c r="C3" t="inlineStr">
        <is>
          <t>Avverkning för annat ändamål</t>
        </is>
      </c>
      <c r="D3" s="1" t="n">
        <v>45440</v>
      </c>
      <c r="E3" s="1" t="n">
        <v>46313</v>
      </c>
      <c r="F3" t="inlineStr">
        <is>
          <t>KALMAR LÄN</t>
        </is>
      </c>
      <c r="G3" t="inlineStr">
        <is>
          <t>EMMABODA</t>
        </is>
      </c>
      <c r="H3" t="inlineStr">
        <is>
          <t>Kommuner</t>
        </is>
      </c>
      <c r="I3" t="n">
        <v>8.5</v>
      </c>
      <c r="J3" t="n">
        <v>6</v>
      </c>
      <c r="K3" t="n">
        <v>0</v>
      </c>
      <c r="L3" t="n">
        <v>2</v>
      </c>
      <c r="M3" t="n">
        <v>0</v>
      </c>
      <c r="N3" t="n">
        <v>1</v>
      </c>
      <c r="O3" t="n">
        <v>0</v>
      </c>
      <c r="P3" t="n">
        <v>0</v>
      </c>
      <c r="Q3" t="n">
        <v>3</v>
      </c>
      <c r="R3" t="n">
        <v>1</v>
      </c>
      <c r="S3" t="n">
        <v>7</v>
      </c>
      <c r="T3" t="n">
        <v>7</v>
      </c>
      <c r="U3" t="n">
        <v>7</v>
      </c>
      <c r="V3" s="2" t="inlineStr">
        <is>
          <t>Ask
Brunlångöra
Nordfladdermus
Dvärgpipistrell
Större brunfladdermus
Trollpipistrell
Huggorm</t>
        </is>
      </c>
      <c r="W3">
        <f>HYPERLINK("https://klasma.github.io/Logging_0862/artfynd/A 21184-2024 artfynd.xlsx", "A 21184-2024")</f>
        <v/>
      </c>
      <c r="X3">
        <f>HYPERLINK("https://klasma.github.io/Logging_0862/kartor/A 21184-2024 karta.png", "A 21184-2024")</f>
        <v/>
      </c>
      <c r="Y3">
        <f>HYPERLINK("https://klasma.github.io/Logging_0862/kartor_geotiff/A 21184-2024 georefererad karta.tif", "A 21184-2024")</f>
        <v/>
      </c>
      <c r="AA3">
        <f>HYPERLINK("https://klasma.github.io/Logging_0862/klagomål/A 21184-2024 FSC-klagomål.docx", "A 21184-2024")</f>
        <v/>
      </c>
      <c r="AB3">
        <f>HYPERLINK("https://klasma.github.io/Logging_0862/klagomålsmail/A 21184-2024 FSC-klagomål mail.docx", "A 21184-2024")</f>
        <v/>
      </c>
      <c r="AC3">
        <f>HYPERLINK("https://klasma.github.io/Logging_0862/tillsyn/A 21184-2024 tillsynsbegäran.docx", "A 21184-2024")</f>
        <v/>
      </c>
      <c r="AD3">
        <f>HYPERLINK("https://klasma.github.io/Logging_0862/tillsynsmail/A 21184-2024 tillsynsbegäran mail.docx", "A 21184-2024")</f>
        <v/>
      </c>
    </row>
    <row r="4" ht="15" customHeight="1">
      <c r="A4" t="inlineStr">
        <is>
          <t>S 1049-2024</t>
        </is>
      </c>
      <c r="B4" t="inlineStr">
        <is>
          <t>samrådsanmälan</t>
        </is>
      </c>
      <c r="C4" t="inlineStr">
        <is>
          <t>Askåterföring</t>
        </is>
      </c>
      <c r="D4" s="1" t="n">
        <v>45387</v>
      </c>
      <c r="E4" s="1" t="n">
        <v>46313</v>
      </c>
      <c r="F4" t="inlineStr">
        <is>
          <t>KALMAR LÄN</t>
        </is>
      </c>
      <c r="G4" t="inlineStr">
        <is>
          <t>EMMABODA</t>
        </is>
      </c>
      <c r="I4" t="n">
        <v>24.1</v>
      </c>
      <c r="J4" t="n">
        <v>2</v>
      </c>
      <c r="K4" t="n">
        <v>3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6</v>
      </c>
      <c r="T4" t="n">
        <v>11</v>
      </c>
      <c r="U4" t="n">
        <v>1</v>
      </c>
      <c r="V4" s="2" t="inlineStr">
        <is>
          <t>Gropticka
Blåmossa
Grovticka
Kornknutmossa
Hårklomossa
Vanlig padda</t>
        </is>
      </c>
      <c r="W4">
        <f>HYPERLINK("https://klasma.github.io/Logging_0862/artfynd/S 1049-2024 artfynd.xlsx", "S 1049-2024")</f>
        <v/>
      </c>
      <c r="X4">
        <f>HYPERLINK("https://klasma.github.io/Logging_0862/kartor/S 1049-2024 karta.png", "S 1049-2024")</f>
        <v/>
      </c>
      <c r="Y4">
        <f>HYPERLINK("https://klasma.github.io/Logging_0862/kartor_geotiff/S 1049-2024 georefererad karta.tif", "S 1049-2024")</f>
        <v/>
      </c>
      <c r="AA4">
        <f>HYPERLINK("https://klasma.github.io/Logging_0862/klagomål/S 1049-2024 FSC-klagomål.docx", "S 1049-2024")</f>
        <v/>
      </c>
      <c r="AB4">
        <f>HYPERLINK("https://klasma.github.io/Logging_0862/klagomålsmail/S 1049-2024 FSC-klagomål mail.docx", "S 1049-2024")</f>
        <v/>
      </c>
      <c r="AC4">
        <f>HYPERLINK("https://klasma.github.io/Logging_0862/tillsyn/S 1049-2024 tillsynsbegäran.docx", "S 1049-2024")</f>
        <v/>
      </c>
      <c r="AD4">
        <f>HYPERLINK("https://klasma.github.io/Logging_0862/tillsynsmail/S 1049-2024 tillsynsbegäran mail.docx", "S 1049-2024")</f>
        <v/>
      </c>
    </row>
    <row r="5" ht="15" customHeight="1">
      <c r="A5" t="inlineStr">
        <is>
          <t>S 3437-2023</t>
        </is>
      </c>
      <c r="B5" t="inlineStr">
        <is>
          <t>samrådsanmälan</t>
        </is>
      </c>
      <c r="C5" t="inlineStr">
        <is>
          <t>Askåterföring</t>
        </is>
      </c>
      <c r="D5" s="1" t="n">
        <v>45202</v>
      </c>
      <c r="E5" s="1" t="n">
        <v>46313</v>
      </c>
      <c r="F5" t="inlineStr">
        <is>
          <t>KALMAR LÄN</t>
        </is>
      </c>
      <c r="G5" t="inlineStr">
        <is>
          <t>EMMABODA</t>
        </is>
      </c>
      <c r="I5" t="n">
        <v>133.7</v>
      </c>
      <c r="J5" t="n">
        <v>3</v>
      </c>
      <c r="K5" t="n">
        <v>0</v>
      </c>
      <c r="L5" t="n">
        <v>2</v>
      </c>
      <c r="M5" t="n">
        <v>1</v>
      </c>
      <c r="N5" t="n">
        <v>0</v>
      </c>
      <c r="O5" t="n">
        <v>0</v>
      </c>
      <c r="P5" t="n">
        <v>0</v>
      </c>
      <c r="Q5" t="n">
        <v>3</v>
      </c>
      <c r="R5" t="n">
        <v>1</v>
      </c>
      <c r="S5" t="n">
        <v>6</v>
      </c>
      <c r="T5" t="n">
        <v>6</v>
      </c>
      <c r="U5" t="n">
        <v>4</v>
      </c>
      <c r="V5" s="2" t="inlineStr">
        <is>
          <t>Slåttergubbe
Solvända
Svinrot
Grönsiska
Trädlärka
Gullviva</t>
        </is>
      </c>
      <c r="W5">
        <f>HYPERLINK("https://klasma.github.io/Logging_0862/artfynd/S 3437-2023 artfynd.xlsx", "S 3437-2023")</f>
        <v/>
      </c>
      <c r="X5">
        <f>HYPERLINK("https://klasma.github.io/Logging_0862/kartor/S 3437-2023 karta.png", "S 3437-2023")</f>
        <v/>
      </c>
      <c r="Y5">
        <f>HYPERLINK("https://klasma.github.io/Logging_0862/kartor_geotiff/S 3437-2023 georefererad karta.tif", "S 3437-2023")</f>
        <v/>
      </c>
      <c r="AA5">
        <f>HYPERLINK("https://klasma.github.io/Logging_0862/klagomål/S 3437-2023 FSC-klagomål.docx", "S 3437-2023")</f>
        <v/>
      </c>
      <c r="AB5">
        <f>HYPERLINK("https://klasma.github.io/Logging_0862/klagomålsmail/S 3437-2023 FSC-klagomål mail.docx", "S 3437-2023")</f>
        <v/>
      </c>
      <c r="AC5">
        <f>HYPERLINK("https://klasma.github.io/Logging_0862/tillsyn/S 3437-2023 tillsynsbegäran.docx", "S 3437-2023")</f>
        <v/>
      </c>
      <c r="AD5">
        <f>HYPERLINK("https://klasma.github.io/Logging_0862/tillsynsmail/S 3437-2023 tillsynsbegäran mail.docx", "S 3437-2023")</f>
        <v/>
      </c>
      <c r="AE5">
        <f>HYPERLINK("https://klasma.github.io/Logging_0862/fåglar/S 3437-2023 prioriterade fågelarter.docx", "S 3437-2023")</f>
        <v/>
      </c>
    </row>
    <row r="6" ht="15" customHeight="1">
      <c r="A6" t="inlineStr">
        <is>
          <t>S 1284-2023</t>
        </is>
      </c>
      <c r="B6" t="inlineStr">
        <is>
          <t>samrådsanmälan</t>
        </is>
      </c>
      <c r="C6" t="inlineStr">
        <is>
          <t>Annan skogsbruksåtgärd</t>
        </is>
      </c>
      <c r="D6" s="1" t="n">
        <v>45030</v>
      </c>
      <c r="E6" s="1" t="n">
        <v>46313</v>
      </c>
      <c r="F6" t="inlineStr">
        <is>
          <t>KALMAR LÄN</t>
        </is>
      </c>
      <c r="G6" t="inlineStr">
        <is>
          <t>EMMABODA</t>
        </is>
      </c>
      <c r="I6" t="n">
        <v>4.1</v>
      </c>
      <c r="J6" t="n">
        <v>0</v>
      </c>
      <c r="K6" t="n">
        <v>2</v>
      </c>
      <c r="L6" t="n">
        <v>2</v>
      </c>
      <c r="M6" t="n">
        <v>0</v>
      </c>
      <c r="N6" t="n">
        <v>1</v>
      </c>
      <c r="O6" t="n">
        <v>0</v>
      </c>
      <c r="P6" t="n">
        <v>0</v>
      </c>
      <c r="Q6" t="n">
        <v>3</v>
      </c>
      <c r="R6" t="n">
        <v>1</v>
      </c>
      <c r="S6" t="n">
        <v>5</v>
      </c>
      <c r="T6" t="n">
        <v>5</v>
      </c>
      <c r="U6" t="n">
        <v>5</v>
      </c>
      <c r="V6" s="2" t="inlineStr">
        <is>
          <t>Skogsalm
Sårläka
Vårärt
Rostfläck
Sotlav</t>
        </is>
      </c>
      <c r="W6">
        <f>HYPERLINK("https://klasma.github.io/Logging_0862/artfynd/S 1284-2023 artfynd.xlsx", "S 1284-2023")</f>
        <v/>
      </c>
      <c r="X6">
        <f>HYPERLINK("https://klasma.github.io/Logging_0862/kartor/S 1284-2023 karta.png", "S 1284-2023")</f>
        <v/>
      </c>
      <c r="Y6">
        <f>HYPERLINK("https://klasma.github.io/Logging_0862/kartor_geotiff/S 1284-2023 georefererad karta.tif", "S 1284-2023")</f>
        <v/>
      </c>
      <c r="AA6">
        <f>HYPERLINK("https://klasma.github.io/Logging_0862/klagomål/S 1284-2023 FSC-klagomål.docx", "S 1284-2023")</f>
        <v/>
      </c>
      <c r="AB6">
        <f>HYPERLINK("https://klasma.github.io/Logging_0862/klagomålsmail/S 1284-2023 FSC-klagomål mail.docx", "S 1284-2023")</f>
        <v/>
      </c>
      <c r="AC6">
        <f>HYPERLINK("https://klasma.github.io/Logging_0862/tillsyn/S 1284-2023 tillsynsbegäran.docx", "S 1284-2023")</f>
        <v/>
      </c>
      <c r="AD6">
        <f>HYPERLINK("https://klasma.github.io/Logging_0862/tillsynsmail/S 1284-2023 tillsynsbegäran mail.docx", "S 1284-2023")</f>
        <v/>
      </c>
    </row>
    <row r="7" ht="15" customHeight="1">
      <c r="A7" t="inlineStr">
        <is>
          <t>S 4850-2024</t>
        </is>
      </c>
      <c r="B7" t="inlineStr">
        <is>
          <t>samrådsanmälan</t>
        </is>
      </c>
      <c r="C7" t="inlineStr">
        <is>
          <t>Askåterföring</t>
        </is>
      </c>
      <c r="D7" s="1" t="n">
        <v>45616</v>
      </c>
      <c r="E7" s="1" t="n">
        <v>46313</v>
      </c>
      <c r="F7" t="inlineStr">
        <is>
          <t>KALMAR LÄN</t>
        </is>
      </c>
      <c r="G7" t="inlineStr">
        <is>
          <t>EMMABODA</t>
        </is>
      </c>
      <c r="I7" t="n">
        <v>60.9</v>
      </c>
      <c r="J7" t="n">
        <v>2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4</v>
      </c>
      <c r="T7" t="n">
        <v>4</v>
      </c>
      <c r="U7" t="n">
        <v>4</v>
      </c>
      <c r="V7" s="2" t="inlineStr">
        <is>
          <t>Slåttergubbe
Grönpyrola
Lopplummer (aggregat)
Revlummer</t>
        </is>
      </c>
      <c r="W7">
        <f>HYPERLINK("https://klasma.github.io/Logging_0862/artfynd/S 4850-2024 artfynd.xlsx", "S 4850-2024")</f>
        <v/>
      </c>
      <c r="X7">
        <f>HYPERLINK("https://klasma.github.io/Logging_0862/kartor/S 4850-2024 karta.png", "S 4850-2024")</f>
        <v/>
      </c>
      <c r="Y7">
        <f>HYPERLINK("https://klasma.github.io/Logging_0862/kartor_geotiff/S 4850-2024 georefererad karta.tif", "S 4850-2024")</f>
        <v/>
      </c>
      <c r="AA7">
        <f>HYPERLINK("https://klasma.github.io/Logging_0862/klagomål/S 4850-2024 FSC-klagomål.docx", "S 4850-2024")</f>
        <v/>
      </c>
      <c r="AB7">
        <f>HYPERLINK("https://klasma.github.io/Logging_0862/klagomålsmail/S 4850-2024 FSC-klagomål mail.docx", "S 4850-2024")</f>
        <v/>
      </c>
      <c r="AC7">
        <f>HYPERLINK("https://klasma.github.io/Logging_0862/tillsyn/S 4850-2024 tillsynsbegäran.docx", "S 4850-2024")</f>
        <v/>
      </c>
      <c r="AD7">
        <f>HYPERLINK("https://klasma.github.io/Logging_0862/tillsynsmail/S 4850-2024 tillsynsbegäran mail.docx", "S 4850-2024")</f>
        <v/>
      </c>
    </row>
    <row r="8" ht="15" customHeight="1">
      <c r="A8" t="inlineStr">
        <is>
          <t>A 21470-2022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44706</v>
      </c>
      <c r="E8" s="1" t="n">
        <v>46313</v>
      </c>
      <c r="F8" t="inlineStr">
        <is>
          <t>KALMAR LÄN</t>
        </is>
      </c>
      <c r="G8" t="inlineStr">
        <is>
          <t>EMMABODA</t>
        </is>
      </c>
      <c r="I8" t="n">
        <v>0.7</v>
      </c>
      <c r="J8" t="n">
        <v>3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3</v>
      </c>
      <c r="T8" t="n">
        <v>3</v>
      </c>
      <c r="U8" t="n">
        <v>0</v>
      </c>
      <c r="V8" s="2" t="inlineStr">
        <is>
          <t>Sparvuggla
Tjäder
Orre</t>
        </is>
      </c>
      <c r="W8">
        <f>HYPERLINK("https://klasma.github.io/Logging_0862/artfynd/A 21470-2022 artfynd.xlsx", "A 21470-2022")</f>
        <v/>
      </c>
      <c r="X8">
        <f>HYPERLINK("https://klasma.github.io/Logging_0862/kartor/A 21470-2022 karta.png", "A 21470-2022")</f>
        <v/>
      </c>
      <c r="Y8">
        <f>HYPERLINK("https://klasma.github.io/Logging_0862/kartor_geotiff/A 21470-2022 georefererad karta.tif", "A 21470-2022")</f>
        <v/>
      </c>
      <c r="AA8">
        <f>HYPERLINK("https://klasma.github.io/Logging_0862/klagomål/A 21470-2022 FSC-klagomål.docx", "A 21470-2022")</f>
        <v/>
      </c>
      <c r="AB8">
        <f>HYPERLINK("https://klasma.github.io/Logging_0862/klagomålsmail/A 21470-2022 FSC-klagomål mail.docx", "A 21470-2022")</f>
        <v/>
      </c>
      <c r="AC8">
        <f>HYPERLINK("https://klasma.github.io/Logging_0862/tillsyn/A 21470-2022 tillsynsbegäran.docx", "A 21470-2022")</f>
        <v/>
      </c>
      <c r="AD8">
        <f>HYPERLINK("https://klasma.github.io/Logging_0862/tillsynsmail/A 21470-2022 tillsynsbegäran mail.docx", "A 21470-2022")</f>
        <v/>
      </c>
      <c r="AE8">
        <f>HYPERLINK("https://klasma.github.io/Logging_0862/fåglar/A 21470-2022 prioriterade fågelarter.docx", "A 21470-2022")</f>
        <v/>
      </c>
    </row>
    <row r="9" ht="15" customHeight="1">
      <c r="A9" t="inlineStr">
        <is>
          <t>A 37932-2022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44811</v>
      </c>
      <c r="E9" s="1" t="n">
        <v>46313</v>
      </c>
      <c r="F9" t="inlineStr">
        <is>
          <t>KALMAR LÄN</t>
        </is>
      </c>
      <c r="G9" t="inlineStr">
        <is>
          <t>EMMABODA</t>
        </is>
      </c>
      <c r="I9" t="n">
        <v>1.1</v>
      </c>
      <c r="J9" t="n">
        <v>2</v>
      </c>
      <c r="K9" t="n">
        <v>0</v>
      </c>
      <c r="L9" t="n">
        <v>0</v>
      </c>
      <c r="M9" t="n">
        <v>2</v>
      </c>
      <c r="N9" t="n">
        <v>0</v>
      </c>
      <c r="O9" t="n">
        <v>0</v>
      </c>
      <c r="P9" t="n">
        <v>0</v>
      </c>
      <c r="Q9" t="n">
        <v>2</v>
      </c>
      <c r="R9" t="n">
        <v>2</v>
      </c>
      <c r="S9" t="n">
        <v>3</v>
      </c>
      <c r="T9" t="n">
        <v>3</v>
      </c>
      <c r="U9" t="n">
        <v>2</v>
      </c>
      <c r="V9" s="2" t="inlineStr">
        <is>
          <t>Lappuggla
Slåttergubbe
Tjäder</t>
        </is>
      </c>
      <c r="W9">
        <f>HYPERLINK("https://klasma.github.io/Logging_0862/artfynd/A 37932-2022 artfynd.xlsx", "A 37932-2022")</f>
        <v/>
      </c>
      <c r="X9">
        <f>HYPERLINK("https://klasma.github.io/Logging_0862/kartor/A 37932-2022 karta.png", "A 37932-2022")</f>
        <v/>
      </c>
      <c r="Y9">
        <f>HYPERLINK("https://klasma.github.io/Logging_0862/kartor_geotiff/A 37932-2022 georefererad karta.tif", "A 37932-2022")</f>
        <v/>
      </c>
      <c r="AA9">
        <f>HYPERLINK("https://klasma.github.io/Logging_0862/klagomål/A 37932-2022 FSC-klagomål.docx", "A 37932-2022")</f>
        <v/>
      </c>
      <c r="AB9">
        <f>HYPERLINK("https://klasma.github.io/Logging_0862/klagomålsmail/A 37932-2022 FSC-klagomål mail.docx", "A 37932-2022")</f>
        <v/>
      </c>
      <c r="AC9">
        <f>HYPERLINK("https://klasma.github.io/Logging_0862/tillsyn/A 37932-2022 tillsynsbegäran.docx", "A 37932-2022")</f>
        <v/>
      </c>
      <c r="AD9">
        <f>HYPERLINK("https://klasma.github.io/Logging_0862/tillsynsmail/A 37932-2022 tillsynsbegäran mail.docx", "A 37932-2022")</f>
        <v/>
      </c>
      <c r="AE9">
        <f>HYPERLINK("https://klasma.github.io/Logging_0862/fåglar/A 37932-2022 prioriterade fågelarter.docx", "A 37932-2022")</f>
        <v/>
      </c>
    </row>
    <row r="10" ht="15" customHeight="1">
      <c r="A10" t="inlineStr">
        <is>
          <t>S 357-2024</t>
        </is>
      </c>
      <c r="B10" t="inlineStr">
        <is>
          <t>samrådsanmälan</t>
        </is>
      </c>
      <c r="C10" t="inlineStr">
        <is>
          <t>Askåterföring</t>
        </is>
      </c>
      <c r="D10" s="1" t="n">
        <v>45330</v>
      </c>
      <c r="E10" s="1" t="n">
        <v>46313</v>
      </c>
      <c r="F10" t="inlineStr">
        <is>
          <t>KALMAR LÄN</t>
        </is>
      </c>
      <c r="G10" t="inlineStr">
        <is>
          <t>EMMABODA</t>
        </is>
      </c>
      <c r="I10" t="n">
        <v>44.9</v>
      </c>
      <c r="J10" t="n">
        <v>0</v>
      </c>
      <c r="K10" t="n">
        <v>0</v>
      </c>
      <c r="L10" t="n">
        <v>3</v>
      </c>
      <c r="M10" t="n">
        <v>0</v>
      </c>
      <c r="N10" t="n">
        <v>0</v>
      </c>
      <c r="O10" t="n">
        <v>0</v>
      </c>
      <c r="P10" t="n">
        <v>0</v>
      </c>
      <c r="Q10" t="n">
        <v>3</v>
      </c>
      <c r="R10" t="n">
        <v>0</v>
      </c>
      <c r="S10" t="n">
        <v>3</v>
      </c>
      <c r="T10" t="n">
        <v>3</v>
      </c>
      <c r="U10" t="n">
        <v>3</v>
      </c>
      <c r="V10" s="2" t="inlineStr">
        <is>
          <t>Jungfrulin
Solvända
Vårstarr</t>
        </is>
      </c>
      <c r="W10">
        <f>HYPERLINK("https://klasma.github.io/Logging_0862/artfynd/S 357-2024 artfynd.xlsx", "S 357-2024")</f>
        <v/>
      </c>
      <c r="X10">
        <f>HYPERLINK("https://klasma.github.io/Logging_0862/kartor/S 357-2024 karta.png", "S 357-2024")</f>
        <v/>
      </c>
      <c r="Y10">
        <f>HYPERLINK("https://klasma.github.io/Logging_0862/kartor_geotiff/S 357-2024 georefererad karta.tif", "S 357-2024")</f>
        <v/>
      </c>
      <c r="AA10">
        <f>HYPERLINK("https://klasma.github.io/Logging_0862/klagomål/S 357-2024 FSC-klagomål.docx", "S 357-2024")</f>
        <v/>
      </c>
      <c r="AB10">
        <f>HYPERLINK("https://klasma.github.io/Logging_0862/klagomålsmail/S 357-2024 FSC-klagomål mail.docx", "S 357-2024")</f>
        <v/>
      </c>
      <c r="AC10">
        <f>HYPERLINK("https://klasma.github.io/Logging_0862/tillsyn/S 357-2024 tillsynsbegäran.docx", "S 357-2024")</f>
        <v/>
      </c>
      <c r="AD10">
        <f>HYPERLINK("https://klasma.github.io/Logging_0862/tillsynsmail/S 357-2024 tillsynsbegäran mail.docx", "S 357-2024")</f>
        <v/>
      </c>
    </row>
    <row r="11" ht="15" customHeight="1">
      <c r="A11" t="inlineStr">
        <is>
          <t>S 692-2024</t>
        </is>
      </c>
      <c r="B11" t="inlineStr">
        <is>
          <t>samrådsanmälan</t>
        </is>
      </c>
      <c r="C11" t="inlineStr">
        <is>
          <t>Askåterföring</t>
        </is>
      </c>
      <c r="D11" s="1" t="n">
        <v>45359</v>
      </c>
      <c r="E11" s="1" t="n">
        <v>46313</v>
      </c>
      <c r="F11" t="inlineStr">
        <is>
          <t>KALMAR LÄN</t>
        </is>
      </c>
      <c r="G11" t="inlineStr">
        <is>
          <t>EMMABODA</t>
        </is>
      </c>
      <c r="I11" t="n">
        <v>16.6</v>
      </c>
      <c r="J11" t="n">
        <v>1</v>
      </c>
      <c r="K11" t="n">
        <v>1</v>
      </c>
      <c r="L11" t="n">
        <v>0</v>
      </c>
      <c r="M11" t="n">
        <v>2</v>
      </c>
      <c r="N11" t="n">
        <v>0</v>
      </c>
      <c r="O11" t="n">
        <v>0</v>
      </c>
      <c r="P11" t="n">
        <v>0</v>
      </c>
      <c r="Q11" t="n">
        <v>2</v>
      </c>
      <c r="R11" t="n">
        <v>2</v>
      </c>
      <c r="S11" t="n">
        <v>3</v>
      </c>
      <c r="T11" t="n">
        <v>3</v>
      </c>
      <c r="U11" t="n">
        <v>2</v>
      </c>
      <c r="V11" s="2" t="inlineStr">
        <is>
          <t>Violett fingersvamp
Åkerrättika
Skogsknipprot</t>
        </is>
      </c>
      <c r="W11">
        <f>HYPERLINK("https://klasma.github.io/Logging_0862/artfynd/S 692-2024 artfynd.xlsx", "S 692-2024")</f>
        <v/>
      </c>
      <c r="X11">
        <f>HYPERLINK("https://klasma.github.io/Logging_0862/kartor/S 692-2024 karta.png", "S 692-2024")</f>
        <v/>
      </c>
      <c r="Y11">
        <f>HYPERLINK("https://klasma.github.io/Logging_0862/kartor_geotiff/S 692-2024 georefererad karta.tif", "S 692-2024")</f>
        <v/>
      </c>
      <c r="AA11">
        <f>HYPERLINK("https://klasma.github.io/Logging_0862/klagomål/S 692-2024 FSC-klagomål.docx", "S 692-2024")</f>
        <v/>
      </c>
      <c r="AB11">
        <f>HYPERLINK("https://klasma.github.io/Logging_0862/klagomålsmail/S 692-2024 FSC-klagomål mail.docx", "S 692-2024")</f>
        <v/>
      </c>
      <c r="AC11">
        <f>HYPERLINK("https://klasma.github.io/Logging_0862/tillsyn/S 692-2024 tillsynsbegäran.docx", "S 692-2024")</f>
        <v/>
      </c>
      <c r="AD11">
        <f>HYPERLINK("https://klasma.github.io/Logging_0862/tillsynsmail/S 692-2024 tillsynsbegäran mail.docx", "S 692-2024")</f>
        <v/>
      </c>
    </row>
    <row r="12" ht="15" customHeight="1">
      <c r="A12" t="inlineStr">
        <is>
          <t>S 1156-2026</t>
        </is>
      </c>
      <c r="B12" t="inlineStr">
        <is>
          <t>samrådsanmälan</t>
        </is>
      </c>
      <c r="C12" t="inlineStr">
        <is>
          <t>Askåterföring</t>
        </is>
      </c>
      <c r="D12" s="1" t="n">
        <v>46136</v>
      </c>
      <c r="E12" s="1" t="n">
        <v>46313</v>
      </c>
      <c r="F12" t="inlineStr">
        <is>
          <t>KALMAR LÄN</t>
        </is>
      </c>
      <c r="G12" t="inlineStr">
        <is>
          <t>EMMABODA</t>
        </is>
      </c>
      <c r="I12" t="n">
        <v>41.9</v>
      </c>
      <c r="J12" t="n">
        <v>3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n">
        <v>3</v>
      </c>
      <c r="T12" t="n">
        <v>3</v>
      </c>
      <c r="U12" t="n">
        <v>0</v>
      </c>
      <c r="V12" s="2" t="inlineStr">
        <is>
          <t>Knärot
Mattlummer
Hasselmus</t>
        </is>
      </c>
      <c r="W12">
        <f>HYPERLINK("https://klasma.github.io/Logging_0862/artfynd/S 1156-2026 artfynd.xlsx", "S 1156-2026")</f>
        <v/>
      </c>
      <c r="X12">
        <f>HYPERLINK("https://klasma.github.io/Logging_0862/kartor/S 1156-2026 karta.png", "S 1156-2026")</f>
        <v/>
      </c>
      <c r="Y12">
        <f>HYPERLINK("https://klasma.github.io/Logging_0862/kartor_geotiff/S 1156-2026 georefererad karta.tif", "S 1156-2026")</f>
        <v/>
      </c>
      <c r="Z12">
        <f>HYPERLINK("https://klasma.github.io/Logging_0862/knärot/S 1156-2026 karta knärot.png", "S 1156-2026")</f>
        <v/>
      </c>
      <c r="AA12">
        <f>HYPERLINK("https://klasma.github.io/Logging_0862/klagomål/S 1156-2026 FSC-klagomål.docx", "S 1156-2026")</f>
        <v/>
      </c>
      <c r="AB12">
        <f>HYPERLINK("https://klasma.github.io/Logging_0862/klagomålsmail/S 1156-2026 FSC-klagomål mail.docx", "S 1156-2026")</f>
        <v/>
      </c>
      <c r="AC12">
        <f>HYPERLINK("https://klasma.github.io/Logging_0862/tillsyn/S 1156-2026 tillsynsbegäran.docx", "S 1156-2026")</f>
        <v/>
      </c>
      <c r="AD12">
        <f>HYPERLINK("https://klasma.github.io/Logging_0862/tillsynsmail/S 1156-2026 tillsynsbegäran mail.docx", "S 1156-2026")</f>
        <v/>
      </c>
    </row>
    <row r="13" ht="15" customHeight="1">
      <c r="A13" t="inlineStr">
        <is>
          <t>A 10694-2024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45369</v>
      </c>
      <c r="E13" s="1" t="n">
        <v>46313</v>
      </c>
      <c r="F13" t="inlineStr">
        <is>
          <t>KALMAR LÄN</t>
        </is>
      </c>
      <c r="G13" t="inlineStr">
        <is>
          <t>EMMABODA</t>
        </is>
      </c>
      <c r="I13" t="n">
        <v>2.8</v>
      </c>
      <c r="J13" t="n">
        <v>2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2</v>
      </c>
      <c r="T13" t="n">
        <v>15</v>
      </c>
      <c r="U13" t="n">
        <v>15</v>
      </c>
      <c r="V13" s="2" t="inlineStr">
        <is>
          <t>Knärot
Spillkråka</t>
        </is>
      </c>
      <c r="W13">
        <f>HYPERLINK("https://klasma.github.io/Logging_0862/artfynd/A 10694-2024 artfynd.xlsx", "A 10694-2024")</f>
        <v/>
      </c>
      <c r="X13">
        <f>HYPERLINK("https://klasma.github.io/Logging_0862/kartor/A 10694-2024 karta.png", "A 10694-2024")</f>
        <v/>
      </c>
      <c r="Y13">
        <f>HYPERLINK("https://klasma.github.io/Logging_0862/kartor_geotiff/A 10694-2024 georefererad karta.tif", "A 10694-2024")</f>
        <v/>
      </c>
      <c r="Z13">
        <f>HYPERLINK("https://klasma.github.io/Logging_0862/knärot/A 10694-2024 karta knärot.png", "A 10694-2024")</f>
        <v/>
      </c>
      <c r="AA13">
        <f>HYPERLINK("https://klasma.github.io/Logging_0862/klagomål/A 10694-2024 FSC-klagomål.docx", "A 10694-2024")</f>
        <v/>
      </c>
      <c r="AB13">
        <f>HYPERLINK("https://klasma.github.io/Logging_0862/klagomålsmail/A 10694-2024 FSC-klagomål mail.docx", "A 10694-2024")</f>
        <v/>
      </c>
      <c r="AC13">
        <f>HYPERLINK("https://klasma.github.io/Logging_0862/tillsyn/A 10694-2024 tillsynsbegäran.docx", "A 10694-2024")</f>
        <v/>
      </c>
      <c r="AD13">
        <f>HYPERLINK("https://klasma.github.io/Logging_0862/tillsynsmail/A 10694-2024 tillsynsbegäran mail.docx", "A 10694-2024")</f>
        <v/>
      </c>
      <c r="AE13">
        <f>HYPERLINK("https://klasma.github.io/Logging_0862/fåglar/A 10694-2024 prioriterade fågelarter.docx", "A 10694-2024")</f>
        <v/>
      </c>
    </row>
    <row r="14" ht="15" customHeight="1">
      <c r="A14" t="inlineStr">
        <is>
          <t>S 1993-2023</t>
        </is>
      </c>
      <c r="B14" t="inlineStr">
        <is>
          <t>samrådsanmälan</t>
        </is>
      </c>
      <c r="C14" t="inlineStr">
        <is>
          <t>Askåterföring</t>
        </is>
      </c>
      <c r="D14" s="1" t="n">
        <v>45086</v>
      </c>
      <c r="E14" s="1" t="n">
        <v>46313</v>
      </c>
      <c r="F14" t="inlineStr">
        <is>
          <t>KALMAR LÄN</t>
        </is>
      </c>
      <c r="G14" t="inlineStr">
        <is>
          <t>EMMABODA</t>
        </is>
      </c>
      <c r="I14" t="n">
        <v>23.1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2</v>
      </c>
      <c r="T14" t="n">
        <v>2</v>
      </c>
      <c r="U14" t="n">
        <v>2</v>
      </c>
      <c r="V14" s="2" t="inlineStr">
        <is>
          <t>Åkerkål
Mattlummer</t>
        </is>
      </c>
      <c r="W14">
        <f>HYPERLINK("https://klasma.github.io/Logging_0862/artfynd/S 1993-2023 artfynd.xlsx", "S 1993-2023")</f>
        <v/>
      </c>
      <c r="X14">
        <f>HYPERLINK("https://klasma.github.io/Logging_0862/kartor/S 1993-2023 karta.png", "S 1993-2023")</f>
        <v/>
      </c>
      <c r="Y14">
        <f>HYPERLINK("https://klasma.github.io/Logging_0862/kartor_geotiff/S 1993-2023 georefererad karta.tif", "S 1993-2023")</f>
        <v/>
      </c>
      <c r="AA14">
        <f>HYPERLINK("https://klasma.github.io/Logging_0862/klagomål/S 1993-2023 FSC-klagomål.docx", "S 1993-2023")</f>
        <v/>
      </c>
      <c r="AB14">
        <f>HYPERLINK("https://klasma.github.io/Logging_0862/klagomålsmail/S 1993-2023 FSC-klagomål mail.docx", "S 1993-2023")</f>
        <v/>
      </c>
      <c r="AC14">
        <f>HYPERLINK("https://klasma.github.io/Logging_0862/tillsyn/S 1993-2023 tillsynsbegäran.docx", "S 1993-2023")</f>
        <v/>
      </c>
      <c r="AD14">
        <f>HYPERLINK("https://klasma.github.io/Logging_0862/tillsynsmail/S 1993-2023 tillsynsbegäran mail.docx", "S 1993-2023")</f>
        <v/>
      </c>
    </row>
    <row r="15" ht="15" customHeight="1">
      <c r="A15" t="inlineStr">
        <is>
          <t>S 118-2023</t>
        </is>
      </c>
      <c r="B15" t="inlineStr">
        <is>
          <t>samrådsanmälan</t>
        </is>
      </c>
      <c r="C15" t="inlineStr">
        <is>
          <t>Annan skogsbruksåtgärd</t>
        </is>
      </c>
      <c r="D15" s="1" t="n">
        <v>44937</v>
      </c>
      <c r="E15" s="1" t="n">
        <v>46313</v>
      </c>
      <c r="F15" t="inlineStr">
        <is>
          <t>KALMAR LÄN</t>
        </is>
      </c>
      <c r="G15" t="inlineStr">
        <is>
          <t>EMMABODA</t>
        </is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2</v>
      </c>
      <c r="R15" t="n">
        <v>1</v>
      </c>
      <c r="S15" t="n">
        <v>2</v>
      </c>
      <c r="T15" t="n">
        <v>2</v>
      </c>
      <c r="U15" t="n">
        <v>0</v>
      </c>
      <c r="V15" s="2" t="inlineStr">
        <is>
          <t>Almlav
Falsk allékrimmerlav</t>
        </is>
      </c>
      <c r="W15">
        <f>HYPERLINK("https://klasma.github.io/Logging_0862/artfynd/S 118-2023 artfynd.xlsx", "S 118-2023")</f>
        <v/>
      </c>
      <c r="X15">
        <f>HYPERLINK("https://klasma.github.io/Logging_0862/kartor/S 118-2023 karta.png", "S 118-2023")</f>
        <v/>
      </c>
      <c r="Y15">
        <f>HYPERLINK("https://klasma.github.io/Logging_0862/kartor_geotiff/S 118-2023 georefererad karta.tif", "S 118-2023")</f>
        <v/>
      </c>
      <c r="AA15">
        <f>HYPERLINK("https://klasma.github.io/Logging_0862/klagomål/S 118-2023 FSC-klagomål.docx", "S 118-2023")</f>
        <v/>
      </c>
      <c r="AB15">
        <f>HYPERLINK("https://klasma.github.io/Logging_0862/klagomålsmail/S 118-2023 FSC-klagomål mail.docx", "S 118-2023")</f>
        <v/>
      </c>
      <c r="AC15">
        <f>HYPERLINK("https://klasma.github.io/Logging_0862/tillsyn/S 118-2023 tillsynsbegäran.docx", "S 118-2023")</f>
        <v/>
      </c>
      <c r="AD15">
        <f>HYPERLINK("https://klasma.github.io/Logging_0862/tillsynsmail/S 118-2023 tillsynsbegäran mail.docx", "S 118-2023")</f>
        <v/>
      </c>
    </row>
    <row r="16" ht="15" customHeight="1">
      <c r="A16" t="inlineStr">
        <is>
          <t>S 328-2026</t>
        </is>
      </c>
      <c r="B16" t="inlineStr">
        <is>
          <t>samrådsanmälan</t>
        </is>
      </c>
      <c r="C16" t="inlineStr">
        <is>
          <t>Askåterföring</t>
        </is>
      </c>
      <c r="D16" s="1" t="n">
        <v>46062</v>
      </c>
      <c r="E16" s="1" t="n">
        <v>46313</v>
      </c>
      <c r="F16" t="inlineStr">
        <is>
          <t>KALMAR LÄN</t>
        </is>
      </c>
      <c r="G16" t="inlineStr">
        <is>
          <t>EMMABODA</t>
        </is>
      </c>
      <c r="I16" t="n">
        <v>26.5</v>
      </c>
      <c r="J16" t="n">
        <v>2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2</v>
      </c>
      <c r="T16" t="n">
        <v>5</v>
      </c>
      <c r="U16" t="n">
        <v>0</v>
      </c>
      <c r="V16" s="2" t="inlineStr">
        <is>
          <t>Knärot
Hårklomossa</t>
        </is>
      </c>
      <c r="W16">
        <f>HYPERLINK("https://klasma.github.io/Logging_0862/artfynd/S 328-2026 artfynd.xlsx", "S 328-2026")</f>
        <v/>
      </c>
      <c r="X16">
        <f>HYPERLINK("https://klasma.github.io/Logging_0862/kartor/S 328-2026 karta.png", "S 328-2026")</f>
        <v/>
      </c>
      <c r="Y16">
        <f>HYPERLINK("https://klasma.github.io/Logging_0862/kartor_geotiff/S 328-2026 georefererad karta.tif", "S 328-2026")</f>
        <v/>
      </c>
      <c r="Z16">
        <f>HYPERLINK("https://klasma.github.io/Logging_0862/knärot/S 328-2026 karta knärot.png", "S 328-2026")</f>
        <v/>
      </c>
      <c r="AA16">
        <f>HYPERLINK("https://klasma.github.io/Logging_0862/klagomål/S 328-2026 FSC-klagomål.docx", "S 328-2026")</f>
        <v/>
      </c>
      <c r="AB16">
        <f>HYPERLINK("https://klasma.github.io/Logging_0862/klagomålsmail/S 328-2026 FSC-klagomål mail.docx", "S 328-2026")</f>
        <v/>
      </c>
      <c r="AC16">
        <f>HYPERLINK("https://klasma.github.io/Logging_0862/tillsyn/S 328-2026 tillsynsbegäran.docx", "S 328-2026")</f>
        <v/>
      </c>
      <c r="AD16">
        <f>HYPERLINK("https://klasma.github.io/Logging_0862/tillsynsmail/S 328-2026 tillsynsbegäran mail.docx", "S 328-2026")</f>
        <v/>
      </c>
    </row>
    <row r="17" ht="15" customHeight="1">
      <c r="A17" t="inlineStr">
        <is>
          <t>S 399-2026</t>
        </is>
      </c>
      <c r="B17" t="inlineStr">
        <is>
          <t>samrådsanmälan</t>
        </is>
      </c>
      <c r="C17" t="inlineStr">
        <is>
          <t>Annan skogsbruksåtgärd</t>
        </is>
      </c>
      <c r="D17" s="1" t="n">
        <v>46069</v>
      </c>
      <c r="E17" s="1" t="n">
        <v>46313</v>
      </c>
      <c r="F17" t="inlineStr">
        <is>
          <t>KALMAR LÄN</t>
        </is>
      </c>
      <c r="G17" t="inlineStr">
        <is>
          <t>EMMABODA</t>
        </is>
      </c>
      <c r="I17" t="n">
        <v>2.2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</v>
      </c>
      <c r="T17" t="n">
        <v>2</v>
      </c>
      <c r="U17" t="n">
        <v>0</v>
      </c>
      <c r="V17" s="2" t="inlineStr">
        <is>
          <t>Underviol
Gullviva</t>
        </is>
      </c>
      <c r="W17">
        <f>HYPERLINK("https://klasma.github.io/Logging_0862/artfynd/S 399-2026 artfynd.xlsx", "S 399-2026")</f>
        <v/>
      </c>
      <c r="X17">
        <f>HYPERLINK("https://klasma.github.io/Logging_0862/kartor/S 399-2026 karta.png", "S 399-2026")</f>
        <v/>
      </c>
      <c r="Y17">
        <f>HYPERLINK("https://klasma.github.io/Logging_0862/kartor_geotiff/S 399-2026 georefererad karta.tif", "S 399-2026")</f>
        <v/>
      </c>
      <c r="AA17">
        <f>HYPERLINK("https://klasma.github.io/Logging_0862/klagomål/S 399-2026 FSC-klagomål.docx", "S 399-2026")</f>
        <v/>
      </c>
      <c r="AB17">
        <f>HYPERLINK("https://klasma.github.io/Logging_0862/klagomålsmail/S 399-2026 FSC-klagomål mail.docx", "S 399-2026")</f>
        <v/>
      </c>
      <c r="AC17">
        <f>HYPERLINK("https://klasma.github.io/Logging_0862/tillsyn/S 399-2026 tillsynsbegäran.docx", "S 399-2026")</f>
        <v/>
      </c>
      <c r="AD17">
        <f>HYPERLINK("https://klasma.github.io/Logging_0862/tillsynsmail/S 399-2026 tillsynsbegäran mail.docx", "S 399-2026")</f>
        <v/>
      </c>
    </row>
    <row r="18" ht="15" customHeight="1">
      <c r="A18" t="inlineStr">
        <is>
          <t>S 2000-2026</t>
        </is>
      </c>
      <c r="B18" t="inlineStr">
        <is>
          <t>samrådsanmälan</t>
        </is>
      </c>
      <c r="C18" t="inlineStr">
        <is>
          <t>Askåterföring</t>
        </is>
      </c>
      <c r="D18" s="1" t="n">
        <v>46214</v>
      </c>
      <c r="E18" s="1" t="n">
        <v>46313</v>
      </c>
      <c r="F18" t="inlineStr">
        <is>
          <t>KALMAR LÄN</t>
        </is>
      </c>
      <c r="G18" t="inlineStr">
        <is>
          <t>EMMABODA</t>
        </is>
      </c>
      <c r="I18" t="n">
        <v>31.1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2</v>
      </c>
      <c r="T18" t="n">
        <v>2</v>
      </c>
      <c r="U18" t="n">
        <v>0</v>
      </c>
      <c r="V18" s="2" t="inlineStr">
        <is>
          <t>Gullklöver
Hasselmus</t>
        </is>
      </c>
      <c r="W18">
        <f>HYPERLINK("https://klasma.github.io/Logging_0862/artfynd/S 2000-2026 artfynd.xlsx", "S 2000-2026")</f>
        <v/>
      </c>
      <c r="X18">
        <f>HYPERLINK("https://klasma.github.io/Logging_0862/kartor/S 2000-2026 karta.png", "S 2000-2026")</f>
        <v/>
      </c>
      <c r="Y18">
        <f>HYPERLINK("https://klasma.github.io/Logging_0862/kartor_geotiff/S 2000-2026 georefererad karta.tif", "S 2000-2026")</f>
        <v/>
      </c>
      <c r="AA18">
        <f>HYPERLINK("https://klasma.github.io/Logging_0862/klagomål/S 2000-2026 FSC-klagomål.docx", "S 2000-2026")</f>
        <v/>
      </c>
      <c r="AB18">
        <f>HYPERLINK("https://klasma.github.io/Logging_0862/klagomålsmail/S 2000-2026 FSC-klagomål mail.docx", "S 2000-2026")</f>
        <v/>
      </c>
      <c r="AC18">
        <f>HYPERLINK("https://klasma.github.io/Logging_0862/tillsyn/S 2000-2026 tillsynsbegäran.docx", "S 2000-2026")</f>
        <v/>
      </c>
      <c r="AD18">
        <f>HYPERLINK("https://klasma.github.io/Logging_0862/tillsynsmail/S 2000-2026 tillsynsbegäran mail.docx", "S 2000-2026")</f>
        <v/>
      </c>
    </row>
    <row r="19" ht="15" customHeight="1">
      <c r="A19" t="inlineStr">
        <is>
          <t>A 30597-2022</t>
        </is>
      </c>
      <c r="B19" t="inlineStr">
        <is>
          <t>avverkningsanmälan</t>
        </is>
      </c>
      <c r="C19" t="inlineStr">
        <is>
          <t>Avverkning för annat ändamål</t>
        </is>
      </c>
      <c r="D19" s="1" t="n">
        <v>44762</v>
      </c>
      <c r="E19" s="1" t="n">
        <v>46313</v>
      </c>
      <c r="F19" t="inlineStr">
        <is>
          <t>KALMAR LÄN</t>
        </is>
      </c>
      <c r="G19" t="inlineStr">
        <is>
          <t>EMMABODA</t>
        </is>
      </c>
      <c r="I19" t="n">
        <v>0.9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1</v>
      </c>
      <c r="U19" t="n">
        <v>0</v>
      </c>
      <c r="V19" s="2" t="inlineStr">
        <is>
          <t>Hasselmus</t>
        </is>
      </c>
      <c r="W19">
        <f>HYPERLINK("https://klasma.github.io/Logging_0862/artfynd/A 30597-2022 artfynd.xlsx", "A 30597-2022")</f>
        <v/>
      </c>
      <c r="X19">
        <f>HYPERLINK("https://klasma.github.io/Logging_0862/kartor/A 30597-2022 karta.png", "A 30597-2022")</f>
        <v/>
      </c>
      <c r="Y19">
        <f>HYPERLINK("https://klasma.github.io/Logging_0862/kartor_geotiff/A 30597-2022 georefererad karta.tif", "A 30597-2022")</f>
        <v/>
      </c>
      <c r="AA19">
        <f>HYPERLINK("https://klasma.github.io/Logging_0862/klagomål/A 30597-2022 FSC-klagomål.docx", "A 30597-2022")</f>
        <v/>
      </c>
      <c r="AB19">
        <f>HYPERLINK("https://klasma.github.io/Logging_0862/klagomålsmail/A 30597-2022 FSC-klagomål mail.docx", "A 30597-2022")</f>
        <v/>
      </c>
      <c r="AC19">
        <f>HYPERLINK("https://klasma.github.io/Logging_0862/tillsyn/A 30597-2022 tillsynsbegäran.docx", "A 30597-2022")</f>
        <v/>
      </c>
      <c r="AD19">
        <f>HYPERLINK("https://klasma.github.io/Logging_0862/tillsynsmail/A 30597-2022 tillsynsbegäran mail.docx", "A 30597-2022")</f>
        <v/>
      </c>
    </row>
    <row r="20" ht="15" customHeight="1">
      <c r="A20" t="inlineStr">
        <is>
          <t>A 39217-2023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45166</v>
      </c>
      <c r="E20" s="1" t="n">
        <v>46313</v>
      </c>
      <c r="F20" t="inlineStr">
        <is>
          <t>KALMAR LÄN</t>
        </is>
      </c>
      <c r="G20" t="inlineStr">
        <is>
          <t>EMMABODA</t>
        </is>
      </c>
      <c r="I20" t="n">
        <v>1.2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0</v>
      </c>
      <c r="V20" s="2" t="inlineStr">
        <is>
          <t>Blomkålssvamp</t>
        </is>
      </c>
      <c r="W20">
        <f>HYPERLINK("https://klasma.github.io/Logging_0862/artfynd/A 39217-2023 artfynd.xlsx", "A 39217-2023")</f>
        <v/>
      </c>
      <c r="X20">
        <f>HYPERLINK("https://klasma.github.io/Logging_0862/kartor/A 39217-2023 karta.png", "A 39217-2023")</f>
        <v/>
      </c>
      <c r="Y20">
        <f>HYPERLINK("https://klasma.github.io/Logging_0862/kartor_geotiff/A 39217-2023 georefererad karta.tif", "A 39217-2023")</f>
        <v/>
      </c>
      <c r="AA20">
        <f>HYPERLINK("https://klasma.github.io/Logging_0862/klagomål/A 39217-2023 FSC-klagomål.docx", "A 39217-2023")</f>
        <v/>
      </c>
      <c r="AB20">
        <f>HYPERLINK("https://klasma.github.io/Logging_0862/klagomålsmail/A 39217-2023 FSC-klagomål mail.docx", "A 39217-2023")</f>
        <v/>
      </c>
      <c r="AC20">
        <f>HYPERLINK("https://klasma.github.io/Logging_0862/tillsyn/A 39217-2023 tillsynsbegäran.docx", "A 39217-2023")</f>
        <v/>
      </c>
      <c r="AD20">
        <f>HYPERLINK("https://klasma.github.io/Logging_0862/tillsynsmail/A 39217-2023 tillsynsbegäran mail.docx", "A 39217-2023")</f>
        <v/>
      </c>
    </row>
    <row r="21" ht="15" customHeight="1">
      <c r="A21" t="inlineStr">
        <is>
          <t>A 6612-2023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44966</v>
      </c>
      <c r="E21" s="1" t="n">
        <v>46313</v>
      </c>
      <c r="F21" t="inlineStr">
        <is>
          <t>KALMAR LÄN</t>
        </is>
      </c>
      <c r="G21" t="inlineStr">
        <is>
          <t>EMMABODA</t>
        </is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1</v>
      </c>
      <c r="V21" s="2" t="inlineStr">
        <is>
          <t>Korallrot</t>
        </is>
      </c>
      <c r="W21">
        <f>HYPERLINK("https://klasma.github.io/Logging_0862/artfynd/A 6612-2023 artfynd.xlsx", "A 6612-2023")</f>
        <v/>
      </c>
      <c r="X21">
        <f>HYPERLINK("https://klasma.github.io/Logging_0862/kartor/A 6612-2023 karta.png", "A 6612-2023")</f>
        <v/>
      </c>
      <c r="Y21">
        <f>HYPERLINK("https://klasma.github.io/Logging_0862/kartor_geotiff/A 6612-2023 georefererad karta.tif", "A 6612-2023")</f>
        <v/>
      </c>
      <c r="AA21">
        <f>HYPERLINK("https://klasma.github.io/Logging_0862/klagomål/A 6612-2023 FSC-klagomål.docx", "A 6612-2023")</f>
        <v/>
      </c>
      <c r="AB21">
        <f>HYPERLINK("https://klasma.github.io/Logging_0862/klagomålsmail/A 6612-2023 FSC-klagomål mail.docx", "A 6612-2023")</f>
        <v/>
      </c>
      <c r="AC21">
        <f>HYPERLINK("https://klasma.github.io/Logging_0862/tillsyn/A 6612-2023 tillsynsbegäran.docx", "A 6612-2023")</f>
        <v/>
      </c>
      <c r="AD21">
        <f>HYPERLINK("https://klasma.github.io/Logging_0862/tillsynsmail/A 6612-2023 tillsynsbegäran mail.docx", "A 6612-2023")</f>
        <v/>
      </c>
    </row>
    <row r="22" ht="15" customHeight="1">
      <c r="A22" t="inlineStr">
        <is>
          <t>A 770-2022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44570</v>
      </c>
      <c r="E22" s="1" t="n">
        <v>46313</v>
      </c>
      <c r="F22" t="inlineStr">
        <is>
          <t>KALMAR LÄN</t>
        </is>
      </c>
      <c r="G22" t="inlineStr">
        <is>
          <t>EMMABODA</t>
        </is>
      </c>
      <c r="I22" t="n">
        <v>3.7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1</v>
      </c>
      <c r="U22" t="n">
        <v>1</v>
      </c>
      <c r="V22" s="2" t="inlineStr">
        <is>
          <t>Grönpyrola</t>
        </is>
      </c>
      <c r="W22">
        <f>HYPERLINK("https://klasma.github.io/Logging_0862/artfynd/A 770-2022 artfynd.xlsx", "A 770-2022")</f>
        <v/>
      </c>
      <c r="X22">
        <f>HYPERLINK("https://klasma.github.io/Logging_0862/kartor/A 770-2022 karta.png", "A 770-2022")</f>
        <v/>
      </c>
      <c r="Y22">
        <f>HYPERLINK("https://klasma.github.io/Logging_0862/kartor_geotiff/A 770-2022 georefererad karta.tif", "A 770-2022")</f>
        <v/>
      </c>
      <c r="AA22">
        <f>HYPERLINK("https://klasma.github.io/Logging_0862/klagomål/A 770-2022 FSC-klagomål.docx", "A 770-2022")</f>
        <v/>
      </c>
      <c r="AB22">
        <f>HYPERLINK("https://klasma.github.io/Logging_0862/klagomålsmail/A 770-2022 FSC-klagomål mail.docx", "A 770-2022")</f>
        <v/>
      </c>
      <c r="AC22">
        <f>HYPERLINK("https://klasma.github.io/Logging_0862/tillsyn/A 770-2022 tillsynsbegäran.docx", "A 770-2022")</f>
        <v/>
      </c>
      <c r="AD22">
        <f>HYPERLINK("https://klasma.github.io/Logging_0862/tillsynsmail/A 770-2022 tillsynsbegäran mail.docx", "A 770-2022")</f>
        <v/>
      </c>
    </row>
    <row r="23" ht="15" customHeight="1">
      <c r="A23" t="inlineStr">
        <is>
          <t>A 9633-2023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44984</v>
      </c>
      <c r="E23" s="1" t="n">
        <v>46313</v>
      </c>
      <c r="F23" t="inlineStr">
        <is>
          <t>KALMAR LÄN</t>
        </is>
      </c>
      <c r="G23" t="inlineStr">
        <is>
          <t>EMMABODA</t>
        </is>
      </c>
      <c r="I23" t="n">
        <v>3.5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1</v>
      </c>
      <c r="U23" t="n">
        <v>1</v>
      </c>
      <c r="V23" s="2" t="inlineStr">
        <is>
          <t>Småjungfrukam</t>
        </is>
      </c>
      <c r="W23">
        <f>HYPERLINK("https://klasma.github.io/Logging_0862/artfynd/A 9633-2023 artfynd.xlsx", "A 9633-2023")</f>
        <v/>
      </c>
      <c r="X23">
        <f>HYPERLINK("https://klasma.github.io/Logging_0862/kartor/A 9633-2023 karta.png", "A 9633-2023")</f>
        <v/>
      </c>
      <c r="Y23">
        <f>HYPERLINK("https://klasma.github.io/Logging_0862/kartor_geotiff/A 9633-2023 georefererad karta.tif", "A 9633-2023")</f>
        <v/>
      </c>
      <c r="AA23">
        <f>HYPERLINK("https://klasma.github.io/Logging_0862/klagomål/A 9633-2023 FSC-klagomål.docx", "A 9633-2023")</f>
        <v/>
      </c>
      <c r="AB23">
        <f>HYPERLINK("https://klasma.github.io/Logging_0862/klagomålsmail/A 9633-2023 FSC-klagomål mail.docx", "A 9633-2023")</f>
        <v/>
      </c>
      <c r="AC23">
        <f>HYPERLINK("https://klasma.github.io/Logging_0862/tillsyn/A 9633-2023 tillsynsbegäran.docx", "A 9633-2023")</f>
        <v/>
      </c>
      <c r="AD23">
        <f>HYPERLINK("https://klasma.github.io/Logging_0862/tillsynsmail/A 9633-2023 tillsynsbegäran mail.docx", "A 9633-2023")</f>
        <v/>
      </c>
    </row>
    <row r="24" ht="15" customHeight="1">
      <c r="A24" t="inlineStr">
        <is>
          <t>A 18621-2025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45763</v>
      </c>
      <c r="E24" s="1" t="n">
        <v>46313</v>
      </c>
      <c r="F24" t="inlineStr">
        <is>
          <t>KALMAR LÄN</t>
        </is>
      </c>
      <c r="G24" t="inlineStr">
        <is>
          <t>EMMABODA</t>
        </is>
      </c>
      <c r="I24" t="n">
        <v>1.7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s="2" t="inlineStr">
        <is>
          <t>Pärluggla</t>
        </is>
      </c>
      <c r="W24">
        <f>HYPERLINK("https://klasma.github.io/Logging_0862/artfynd/A 18621-2025 artfynd.xlsx", "A 18621-2025")</f>
        <v/>
      </c>
      <c r="X24">
        <f>HYPERLINK("https://klasma.github.io/Logging_0862/kartor/A 18621-2025 karta.png", "A 18621-2025")</f>
        <v/>
      </c>
      <c r="Y24">
        <f>HYPERLINK("https://klasma.github.io/Logging_0862/kartor_geotiff/A 18621-2025 georefererad karta.tif", "A 18621-2025")</f>
        <v/>
      </c>
      <c r="AA24">
        <f>HYPERLINK("https://klasma.github.io/Logging_0862/klagomål/A 18621-2025 FSC-klagomål.docx", "A 18621-2025")</f>
        <v/>
      </c>
      <c r="AB24">
        <f>HYPERLINK("https://klasma.github.io/Logging_0862/klagomålsmail/A 18621-2025 FSC-klagomål mail.docx", "A 18621-2025")</f>
        <v/>
      </c>
      <c r="AC24">
        <f>HYPERLINK("https://klasma.github.io/Logging_0862/tillsyn/A 18621-2025 tillsynsbegäran.docx", "A 18621-2025")</f>
        <v/>
      </c>
      <c r="AD24">
        <f>HYPERLINK("https://klasma.github.io/Logging_0862/tillsynsmail/A 18621-2025 tillsynsbegäran mail.docx", "A 18621-2025")</f>
        <v/>
      </c>
      <c r="AE24">
        <f>HYPERLINK("https://klasma.github.io/Logging_0862/fåglar/A 18621-2025 prioriterade fågelarter.docx", "A 18621-2025")</f>
        <v/>
      </c>
    </row>
    <row r="25" ht="15" customHeight="1">
      <c r="A25" t="inlineStr">
        <is>
          <t>A 46187-2023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45196</v>
      </c>
      <c r="E25" s="1" t="n">
        <v>46313</v>
      </c>
      <c r="F25" t="inlineStr">
        <is>
          <t>KALMAR LÄN</t>
        </is>
      </c>
      <c r="G25" t="inlineStr">
        <is>
          <t>EMMABODA</t>
        </is>
      </c>
      <c r="I25" t="n">
        <v>1.6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1</v>
      </c>
      <c r="U25" t="n">
        <v>0</v>
      </c>
      <c r="V25" s="2" t="inlineStr">
        <is>
          <t>Kungsfågel</t>
        </is>
      </c>
      <c r="W25">
        <f>HYPERLINK("https://klasma.github.io/Logging_0862/artfynd/A 46187-2023 artfynd.xlsx", "A 46187-2023")</f>
        <v/>
      </c>
      <c r="X25">
        <f>HYPERLINK("https://klasma.github.io/Logging_0862/kartor/A 46187-2023 karta.png", "A 46187-2023")</f>
        <v/>
      </c>
      <c r="Y25">
        <f>HYPERLINK("https://klasma.github.io/Logging_0862/kartor_geotiff/A 46187-2023 georefererad karta.tif", "A 46187-2023")</f>
        <v/>
      </c>
      <c r="AA25">
        <f>HYPERLINK("https://klasma.github.io/Logging_0862/klagomål/A 46187-2023 FSC-klagomål.docx", "A 46187-2023")</f>
        <v/>
      </c>
      <c r="AB25">
        <f>HYPERLINK("https://klasma.github.io/Logging_0862/klagomålsmail/A 46187-2023 FSC-klagomål mail.docx", "A 46187-2023")</f>
        <v/>
      </c>
      <c r="AC25">
        <f>HYPERLINK("https://klasma.github.io/Logging_0862/tillsyn/A 46187-2023 tillsynsbegäran.docx", "A 46187-2023")</f>
        <v/>
      </c>
      <c r="AD25">
        <f>HYPERLINK("https://klasma.github.io/Logging_0862/tillsynsmail/A 46187-2023 tillsynsbegäran mail.docx", "A 46187-2023")</f>
        <v/>
      </c>
    </row>
    <row r="26" ht="15" customHeight="1">
      <c r="A26" t="inlineStr">
        <is>
          <t>A 24282-2025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45797</v>
      </c>
      <c r="E26" s="1" t="n">
        <v>46313</v>
      </c>
      <c r="F26" t="inlineStr">
        <is>
          <t>KALMAR LÄN</t>
        </is>
      </c>
      <c r="G26" t="inlineStr">
        <is>
          <t>EMMABODA</t>
        </is>
      </c>
      <c r="I26" t="n">
        <v>2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1</v>
      </c>
      <c r="V26" s="2" t="inlineStr">
        <is>
          <t>Spillkråka</t>
        </is>
      </c>
      <c r="W26">
        <f>HYPERLINK("https://klasma.github.io/Logging_0862/artfynd/A 24282-2025 artfynd.xlsx", "A 24282-2025")</f>
        <v/>
      </c>
      <c r="X26">
        <f>HYPERLINK("https://klasma.github.io/Logging_0862/kartor/A 24282-2025 karta.png", "A 24282-2025")</f>
        <v/>
      </c>
      <c r="Y26">
        <f>HYPERLINK("https://klasma.github.io/Logging_0862/kartor_geotiff/A 24282-2025 georefererad karta.tif", "A 24282-2025")</f>
        <v/>
      </c>
      <c r="AA26">
        <f>HYPERLINK("https://klasma.github.io/Logging_0862/klagomål/A 24282-2025 FSC-klagomål.docx", "A 24282-2025")</f>
        <v/>
      </c>
      <c r="AB26">
        <f>HYPERLINK("https://klasma.github.io/Logging_0862/klagomålsmail/A 24282-2025 FSC-klagomål mail.docx", "A 24282-2025")</f>
        <v/>
      </c>
      <c r="AC26">
        <f>HYPERLINK("https://klasma.github.io/Logging_0862/tillsyn/A 24282-2025 tillsynsbegäran.docx", "A 24282-2025")</f>
        <v/>
      </c>
      <c r="AD26">
        <f>HYPERLINK("https://klasma.github.io/Logging_0862/tillsynsmail/A 24282-2025 tillsynsbegäran mail.docx", "A 24282-2025")</f>
        <v/>
      </c>
      <c r="AE26">
        <f>HYPERLINK("https://klasma.github.io/Logging_0862/fåglar/A 24282-2025 prioriterade fågelarter.docx", "A 24282-2025")</f>
        <v/>
      </c>
    </row>
    <row r="27" ht="15" customHeight="1">
      <c r="A27" t="inlineStr">
        <is>
          <t>A 28871-2023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45104</v>
      </c>
      <c r="E27" s="1" t="n">
        <v>46313</v>
      </c>
      <c r="F27" t="inlineStr">
        <is>
          <t>KALMAR LÄN</t>
        </is>
      </c>
      <c r="G27" t="inlineStr">
        <is>
          <t>EMMABODA</t>
        </is>
      </c>
      <c r="I27" t="n">
        <v>1.7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s="2" t="inlineStr">
        <is>
          <t>Igelkott</t>
        </is>
      </c>
      <c r="W27">
        <f>HYPERLINK("https://klasma.github.io/Logging_0862/artfynd/A 28871-2023 artfynd.xlsx", "A 28871-2023")</f>
        <v/>
      </c>
      <c r="X27">
        <f>HYPERLINK("https://klasma.github.io/Logging_0862/kartor/A 28871-2023 karta.png", "A 28871-2023")</f>
        <v/>
      </c>
      <c r="Y27">
        <f>HYPERLINK("https://klasma.github.io/Logging_0862/kartor_geotiff/A 28871-2023 georefererad karta.tif", "A 28871-2023")</f>
        <v/>
      </c>
      <c r="AA27">
        <f>HYPERLINK("https://klasma.github.io/Logging_0862/klagomål/A 28871-2023 FSC-klagomål.docx", "A 28871-2023")</f>
        <v/>
      </c>
      <c r="AB27">
        <f>HYPERLINK("https://klasma.github.io/Logging_0862/klagomålsmail/A 28871-2023 FSC-klagomål mail.docx", "A 28871-2023")</f>
        <v/>
      </c>
      <c r="AC27">
        <f>HYPERLINK("https://klasma.github.io/Logging_0862/tillsyn/A 28871-2023 tillsynsbegäran.docx", "A 28871-2023")</f>
        <v/>
      </c>
      <c r="AD27">
        <f>HYPERLINK("https://klasma.github.io/Logging_0862/tillsynsmail/A 28871-2023 tillsynsbegäran mail.docx", "A 28871-2023")</f>
        <v/>
      </c>
    </row>
    <row r="28" ht="15" customHeight="1">
      <c r="A28" t="inlineStr">
        <is>
          <t>A 5884-2024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45335</v>
      </c>
      <c r="E28" s="1" t="n">
        <v>46313</v>
      </c>
      <c r="F28" t="inlineStr">
        <is>
          <t>KALMAR LÄN</t>
        </is>
      </c>
      <c r="G28" t="inlineStr">
        <is>
          <t>EMMABODA</t>
        </is>
      </c>
      <c r="I28" t="n">
        <v>4.7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1</v>
      </c>
      <c r="U28" t="n">
        <v>0</v>
      </c>
      <c r="V28" s="2" t="inlineStr">
        <is>
          <t>Grön sköldmossa</t>
        </is>
      </c>
      <c r="W28">
        <f>HYPERLINK("https://klasma.github.io/Logging_0862/artfynd/A 5884-2024 artfynd.xlsx", "A 5884-2024")</f>
        <v/>
      </c>
      <c r="X28">
        <f>HYPERLINK("https://klasma.github.io/Logging_0862/kartor/A 5884-2024 karta.png", "A 5884-2024")</f>
        <v/>
      </c>
      <c r="Y28">
        <f>HYPERLINK("https://klasma.github.io/Logging_0862/kartor_geotiff/A 5884-2024 georefererad karta.tif", "A 5884-2024")</f>
        <v/>
      </c>
      <c r="AA28">
        <f>HYPERLINK("https://klasma.github.io/Logging_0862/klagomål/A 5884-2024 FSC-klagomål.docx", "A 5884-2024")</f>
        <v/>
      </c>
      <c r="AB28">
        <f>HYPERLINK("https://klasma.github.io/Logging_0862/klagomålsmail/A 5884-2024 FSC-klagomål mail.docx", "A 5884-2024")</f>
        <v/>
      </c>
      <c r="AC28">
        <f>HYPERLINK("https://klasma.github.io/Logging_0862/tillsyn/A 5884-2024 tillsynsbegäran.docx", "A 5884-2024")</f>
        <v/>
      </c>
      <c r="AD28">
        <f>HYPERLINK("https://klasma.github.io/Logging_0862/tillsynsmail/A 5884-2024 tillsynsbegäran mail.docx", "A 5884-2024")</f>
        <v/>
      </c>
    </row>
    <row r="29" ht="15" customHeight="1">
      <c r="A29" t="inlineStr">
        <is>
          <t>A 52182-2025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45953</v>
      </c>
      <c r="E29" s="1" t="n">
        <v>46313</v>
      </c>
      <c r="F29" t="inlineStr">
        <is>
          <t>KALMAR LÄN</t>
        </is>
      </c>
      <c r="G29" t="inlineStr">
        <is>
          <t>EMMABODA</t>
        </is>
      </c>
      <c r="I29" t="n">
        <v>7.6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1</v>
      </c>
      <c r="U29" t="n">
        <v>1</v>
      </c>
      <c r="V29" s="2" t="inlineStr">
        <is>
          <t>Göktyta</t>
        </is>
      </c>
      <c r="W29">
        <f>HYPERLINK("https://klasma.github.io/Logging_0862/artfynd/A 52182-2025 artfynd.xlsx", "A 52182-2025")</f>
        <v/>
      </c>
      <c r="X29">
        <f>HYPERLINK("https://klasma.github.io/Logging_0862/kartor/A 52182-2025 karta.png", "A 52182-2025")</f>
        <v/>
      </c>
      <c r="Y29">
        <f>HYPERLINK("https://klasma.github.io/Logging_0862/kartor_geotiff/A 52182-2025 georefererad karta.tif", "A 52182-2025")</f>
        <v/>
      </c>
      <c r="AA29">
        <f>HYPERLINK("https://klasma.github.io/Logging_0862/klagomål/A 52182-2025 FSC-klagomål.docx", "A 52182-2025")</f>
        <v/>
      </c>
      <c r="AB29">
        <f>HYPERLINK("https://klasma.github.io/Logging_0862/klagomålsmail/A 52182-2025 FSC-klagomål mail.docx", "A 52182-2025")</f>
        <v/>
      </c>
      <c r="AC29">
        <f>HYPERLINK("https://klasma.github.io/Logging_0862/tillsyn/A 52182-2025 tillsynsbegäran.docx", "A 52182-2025")</f>
        <v/>
      </c>
      <c r="AD29">
        <f>HYPERLINK("https://klasma.github.io/Logging_0862/tillsynsmail/A 52182-2025 tillsynsbegäran mail.docx", "A 52182-2025")</f>
        <v/>
      </c>
      <c r="AE29">
        <f>HYPERLINK("https://klasma.github.io/Logging_0862/fåglar/A 52182-2025 prioriterade fågelarter.docx", "A 52182-2025")</f>
        <v/>
      </c>
    </row>
    <row r="30" ht="15" customHeight="1">
      <c r="A30" t="inlineStr">
        <is>
          <t>A 38119-2023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45161</v>
      </c>
      <c r="E30" s="1" t="n">
        <v>46313</v>
      </c>
      <c r="F30" t="inlineStr">
        <is>
          <t>KALMAR LÄN</t>
        </is>
      </c>
      <c r="G30" t="inlineStr">
        <is>
          <t>EMMABODA</t>
        </is>
      </c>
      <c r="H30" t="inlineStr">
        <is>
          <t>Kommuner</t>
        </is>
      </c>
      <c r="I30" t="n">
        <v>1.5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1</v>
      </c>
      <c r="U30" t="n">
        <v>1</v>
      </c>
      <c r="V30" s="2" t="inlineStr">
        <is>
          <t>Åkerkål</t>
        </is>
      </c>
      <c r="W30">
        <f>HYPERLINK("https://klasma.github.io/Logging_0862/artfynd/A 38119-2023 artfynd.xlsx", "A 38119-2023")</f>
        <v/>
      </c>
      <c r="X30">
        <f>HYPERLINK("https://klasma.github.io/Logging_0862/kartor/A 38119-2023 karta.png", "A 38119-2023")</f>
        <v/>
      </c>
      <c r="Y30">
        <f>HYPERLINK("https://klasma.github.io/Logging_0862/kartor_geotiff/A 38119-2023 georefererad karta.tif", "A 38119-2023")</f>
        <v/>
      </c>
      <c r="AA30">
        <f>HYPERLINK("https://klasma.github.io/Logging_0862/klagomål/A 38119-2023 FSC-klagomål.docx", "A 38119-2023")</f>
        <v/>
      </c>
      <c r="AB30">
        <f>HYPERLINK("https://klasma.github.io/Logging_0862/klagomålsmail/A 38119-2023 FSC-klagomål mail.docx", "A 38119-2023")</f>
        <v/>
      </c>
      <c r="AC30">
        <f>HYPERLINK("https://klasma.github.io/Logging_0862/tillsyn/A 38119-2023 tillsynsbegäran.docx", "A 38119-2023")</f>
        <v/>
      </c>
      <c r="AD30">
        <f>HYPERLINK("https://klasma.github.io/Logging_0862/tillsynsmail/A 38119-2023 tillsynsbegäran mail.docx", "A 38119-2023")</f>
        <v/>
      </c>
    </row>
    <row r="31" ht="15" customHeight="1">
      <c r="A31" t="inlineStr">
        <is>
          <t>A 21846-2023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45068</v>
      </c>
      <c r="E31" s="1" t="n">
        <v>46313</v>
      </c>
      <c r="F31" t="inlineStr">
        <is>
          <t>KALMAR LÄN</t>
        </is>
      </c>
      <c r="G31" t="inlineStr">
        <is>
          <t>EMMABODA</t>
        </is>
      </c>
      <c r="H31" t="inlineStr">
        <is>
          <t>Kommuner</t>
        </is>
      </c>
      <c r="I31" t="n">
        <v>1.4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1</v>
      </c>
      <c r="U31" t="n">
        <v>1</v>
      </c>
      <c r="V31" s="2" t="inlineStr">
        <is>
          <t>Åkerkål</t>
        </is>
      </c>
      <c r="W31">
        <f>HYPERLINK("https://klasma.github.io/Logging_0862/artfynd/A 21846-2023 artfynd.xlsx", "A 21846-2023")</f>
        <v/>
      </c>
      <c r="X31">
        <f>HYPERLINK("https://klasma.github.io/Logging_0862/kartor/A 21846-2023 karta.png", "A 21846-2023")</f>
        <v/>
      </c>
      <c r="Y31">
        <f>HYPERLINK("https://klasma.github.io/Logging_0862/kartor_geotiff/A 21846-2023 georefererad karta.tif", "A 21846-2023")</f>
        <v/>
      </c>
      <c r="AA31">
        <f>HYPERLINK("https://klasma.github.io/Logging_0862/klagomål/A 21846-2023 FSC-klagomål.docx", "A 21846-2023")</f>
        <v/>
      </c>
      <c r="AB31">
        <f>HYPERLINK("https://klasma.github.io/Logging_0862/klagomålsmail/A 21846-2023 FSC-klagomål mail.docx", "A 21846-2023")</f>
        <v/>
      </c>
      <c r="AC31">
        <f>HYPERLINK("https://klasma.github.io/Logging_0862/tillsyn/A 21846-2023 tillsynsbegäran.docx", "A 21846-2023")</f>
        <v/>
      </c>
      <c r="AD31">
        <f>HYPERLINK("https://klasma.github.io/Logging_0862/tillsynsmail/A 21846-2023 tillsynsbegäran mail.docx", "A 21846-2023")</f>
        <v/>
      </c>
    </row>
    <row r="32" ht="15" customHeight="1">
      <c r="A32" t="inlineStr">
        <is>
          <t>A 31226-2022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44771</v>
      </c>
      <c r="E32" s="1" t="n">
        <v>46313</v>
      </c>
      <c r="F32" t="inlineStr">
        <is>
          <t>KALMAR LÄN</t>
        </is>
      </c>
      <c r="G32" t="inlineStr">
        <is>
          <t>EMMABODA</t>
        </is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s="2" t="inlineStr">
        <is>
          <t>Lappuggla</t>
        </is>
      </c>
      <c r="W32">
        <f>HYPERLINK("https://klasma.github.io/Logging_0862/artfynd/A 31226-2022 artfynd.xlsx", "A 31226-2022")</f>
        <v/>
      </c>
      <c r="X32">
        <f>HYPERLINK("https://klasma.github.io/Logging_0862/kartor/A 31226-2022 karta.png", "A 31226-2022")</f>
        <v/>
      </c>
      <c r="Y32">
        <f>HYPERLINK("https://klasma.github.io/Logging_0862/kartor_geotiff/A 31226-2022 georefererad karta.tif", "A 31226-2022")</f>
        <v/>
      </c>
      <c r="AA32">
        <f>HYPERLINK("https://klasma.github.io/Logging_0862/klagomål/A 31226-2022 FSC-klagomål.docx", "A 31226-2022")</f>
        <v/>
      </c>
      <c r="AB32">
        <f>HYPERLINK("https://klasma.github.io/Logging_0862/klagomålsmail/A 31226-2022 FSC-klagomål mail.docx", "A 31226-2022")</f>
        <v/>
      </c>
      <c r="AC32">
        <f>HYPERLINK("https://klasma.github.io/Logging_0862/tillsyn/A 31226-2022 tillsynsbegäran.docx", "A 31226-2022")</f>
        <v/>
      </c>
      <c r="AD32">
        <f>HYPERLINK("https://klasma.github.io/Logging_0862/tillsynsmail/A 31226-2022 tillsynsbegäran mail.docx", "A 31226-2022")</f>
        <v/>
      </c>
      <c r="AE32">
        <f>HYPERLINK("https://klasma.github.io/Logging_0862/fåglar/A 31226-2022 prioriterade fågelarter.docx", "A 31226-2022")</f>
        <v/>
      </c>
    </row>
    <row r="33" ht="15" customHeight="1">
      <c r="A33" t="inlineStr">
        <is>
          <t>A 19763-2026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46135</v>
      </c>
      <c r="E33" s="1" t="n">
        <v>46313</v>
      </c>
      <c r="F33" t="inlineStr">
        <is>
          <t>KALMAR LÄN</t>
        </is>
      </c>
      <c r="G33" t="inlineStr">
        <is>
          <t>EMMABODA</t>
        </is>
      </c>
      <c r="H33" t="inlineStr">
        <is>
          <t>Sveaskog</t>
        </is>
      </c>
      <c r="I33" t="n">
        <v>8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1</v>
      </c>
      <c r="U33" t="n">
        <v>0</v>
      </c>
      <c r="V33" s="2" t="inlineStr">
        <is>
          <t>Granspira</t>
        </is>
      </c>
      <c r="W33">
        <f>HYPERLINK("https://klasma.github.io/Logging_0862/artfynd/A 19763-2026 artfynd.xlsx", "A 19763-2026")</f>
        <v/>
      </c>
      <c r="X33">
        <f>HYPERLINK("https://klasma.github.io/Logging_0862/kartor/A 19763-2026 karta.png", "A 19763-2026")</f>
        <v/>
      </c>
      <c r="Y33">
        <f>HYPERLINK("https://klasma.github.io/Logging_0862/kartor_geotiff/A 19763-2026 georefererad karta.tif", "A 19763-2026")</f>
        <v/>
      </c>
      <c r="AA33">
        <f>HYPERLINK("https://klasma.github.io/Logging_0862/klagomål/A 19763-2026 FSC-klagomål.docx", "A 19763-2026")</f>
        <v/>
      </c>
      <c r="AB33">
        <f>HYPERLINK("https://klasma.github.io/Logging_0862/klagomålsmail/A 19763-2026 FSC-klagomål mail.docx", "A 19763-2026")</f>
        <v/>
      </c>
      <c r="AC33">
        <f>HYPERLINK("https://klasma.github.io/Logging_0862/tillsyn/A 19763-2026 tillsynsbegäran.docx", "A 19763-2026")</f>
        <v/>
      </c>
      <c r="AD33">
        <f>HYPERLINK("https://klasma.github.io/Logging_0862/tillsynsmail/A 19763-2026 tillsynsbegäran mail.docx", "A 19763-2026")</f>
        <v/>
      </c>
    </row>
    <row r="34" ht="15" customHeight="1">
      <c r="A34" t="inlineStr">
        <is>
          <t>A 54981-2025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45967</v>
      </c>
      <c r="E34" s="1" t="n">
        <v>46313</v>
      </c>
      <c r="F34" t="inlineStr">
        <is>
          <t>KALMAR LÄN</t>
        </is>
      </c>
      <c r="G34" t="inlineStr">
        <is>
          <t>EMMABODA</t>
        </is>
      </c>
      <c r="I34" t="n">
        <v>0.7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1</v>
      </c>
      <c r="U34" t="n">
        <v>0</v>
      </c>
      <c r="V34" s="2" t="inlineStr">
        <is>
          <t>Älg</t>
        </is>
      </c>
      <c r="W34">
        <f>HYPERLINK("https://klasma.github.io/Logging_0862/artfynd/A 54981-2025 artfynd.xlsx", "A 54981-2025")</f>
        <v/>
      </c>
      <c r="X34">
        <f>HYPERLINK("https://klasma.github.io/Logging_0862/kartor/A 54981-2025 karta.png", "A 54981-2025")</f>
        <v/>
      </c>
      <c r="Y34">
        <f>HYPERLINK("https://klasma.github.io/Logging_0862/kartor_geotiff/A 54981-2025 georefererad karta.tif", "A 54981-2025")</f>
        <v/>
      </c>
      <c r="AA34">
        <f>HYPERLINK("https://klasma.github.io/Logging_0862/klagomål/A 54981-2025 FSC-klagomål.docx", "A 54981-2025")</f>
        <v/>
      </c>
      <c r="AB34">
        <f>HYPERLINK("https://klasma.github.io/Logging_0862/klagomålsmail/A 54981-2025 FSC-klagomål mail.docx", "A 54981-2025")</f>
        <v/>
      </c>
      <c r="AC34">
        <f>HYPERLINK("https://klasma.github.io/Logging_0862/tillsyn/A 54981-2025 tillsynsbegäran.docx", "A 54981-2025")</f>
        <v/>
      </c>
      <c r="AD34">
        <f>HYPERLINK("https://klasma.github.io/Logging_0862/tillsynsmail/A 54981-2025 tillsynsbegäran mail.docx", "A 54981-2025")</f>
        <v/>
      </c>
    </row>
    <row r="35" ht="15" customHeight="1">
      <c r="A35" t="inlineStr">
        <is>
          <t>A 53370-2023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45229</v>
      </c>
      <c r="E35" s="1" t="n">
        <v>46313</v>
      </c>
      <c r="F35" t="inlineStr">
        <is>
          <t>KALMAR LÄN</t>
        </is>
      </c>
      <c r="G35" t="inlineStr">
        <is>
          <t>EMMABODA</t>
        </is>
      </c>
      <c r="I35" t="n">
        <v>2.4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s="2" t="inlineStr">
        <is>
          <t>Knärot</t>
        </is>
      </c>
      <c r="W35">
        <f>HYPERLINK("https://klasma.github.io/Logging_0862/artfynd/A 53370-2023 artfynd.xlsx", "A 53370-2023")</f>
        <v/>
      </c>
      <c r="X35">
        <f>HYPERLINK("https://klasma.github.io/Logging_0862/kartor/A 53370-2023 karta.png", "A 53370-2023")</f>
        <v/>
      </c>
      <c r="Y35">
        <f>HYPERLINK("https://klasma.github.io/Logging_0862/kartor_geotiff/A 53370-2023 georefererad karta.tif", "A 53370-2023")</f>
        <v/>
      </c>
      <c r="Z35">
        <f>HYPERLINK("https://klasma.github.io/Logging_0862/knärot/A 53370-2023 karta knärot.png", "A 53370-2023")</f>
        <v/>
      </c>
      <c r="AA35">
        <f>HYPERLINK("https://klasma.github.io/Logging_0862/klagomål/A 53370-2023 FSC-klagomål.docx", "A 53370-2023")</f>
        <v/>
      </c>
      <c r="AB35">
        <f>HYPERLINK("https://klasma.github.io/Logging_0862/klagomålsmail/A 53370-2023 FSC-klagomål mail.docx", "A 53370-2023")</f>
        <v/>
      </c>
      <c r="AC35">
        <f>HYPERLINK("https://klasma.github.io/Logging_0862/tillsyn/A 53370-2023 tillsynsbegäran.docx", "A 53370-2023")</f>
        <v/>
      </c>
      <c r="AD35">
        <f>HYPERLINK("https://klasma.github.io/Logging_0862/tillsynsmail/A 53370-2023 tillsynsbegäran mail.docx", "A 53370-2023")</f>
        <v/>
      </c>
    </row>
    <row r="36" ht="15" customHeight="1">
      <c r="A36" t="inlineStr">
        <is>
          <t>A 31024-2026</t>
        </is>
      </c>
      <c r="B36" t="inlineStr">
        <is>
          <t>avverkningsanmälan</t>
        </is>
      </c>
      <c r="C36" t="inlineStr">
        <is>
          <t>Avverkning för att bevara och utveckla /försöksver</t>
        </is>
      </c>
      <c r="D36" s="1" t="n">
        <v>46213</v>
      </c>
      <c r="E36" s="1" t="n">
        <v>46313</v>
      </c>
      <c r="F36" t="inlineStr">
        <is>
          <t>KALMAR LÄN</t>
        </is>
      </c>
      <c r="G36" t="inlineStr">
        <is>
          <t>EMMABODA</t>
        </is>
      </c>
      <c r="I36" t="n">
        <v>0.7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1</v>
      </c>
      <c r="S36" t="n">
        <v>1</v>
      </c>
      <c r="T36" t="n">
        <v>9</v>
      </c>
      <c r="U36" t="n">
        <v>0</v>
      </c>
      <c r="V36" s="2" t="inlineStr">
        <is>
          <t>Ask</t>
        </is>
      </c>
      <c r="W36">
        <f>HYPERLINK("https://klasma.github.io/Logging_0862/artfynd/A 31024-2026 artfynd.xlsx", "A 31024-2026")</f>
        <v/>
      </c>
      <c r="X36">
        <f>HYPERLINK("https://klasma.github.io/Logging_0862/kartor/A 31024-2026 karta.png", "A 31024-2026")</f>
        <v/>
      </c>
      <c r="Y36">
        <f>HYPERLINK("https://klasma.github.io/Logging_0862/kartor_geotiff/A 31024-2026 georefererad karta.tif", "A 31024-2026")</f>
        <v/>
      </c>
      <c r="AA36">
        <f>HYPERLINK("https://klasma.github.io/Logging_0862/klagomål/A 31024-2026 FSC-klagomål.docx", "A 31024-2026")</f>
        <v/>
      </c>
      <c r="AB36">
        <f>HYPERLINK("https://klasma.github.io/Logging_0862/klagomålsmail/A 31024-2026 FSC-klagomål mail.docx", "A 31024-2026")</f>
        <v/>
      </c>
      <c r="AC36">
        <f>HYPERLINK("https://klasma.github.io/Logging_0862/tillsyn/A 31024-2026 tillsynsbegäran.docx", "A 31024-2026")</f>
        <v/>
      </c>
      <c r="AD36">
        <f>HYPERLINK("https://klasma.github.io/Logging_0862/tillsynsmail/A 31024-2026 tillsynsbegäran mail.docx", "A 31024-2026")</f>
        <v/>
      </c>
    </row>
    <row r="37" ht="15" customHeight="1">
      <c r="A37" t="inlineStr">
        <is>
          <t>A 30949-2026</t>
        </is>
      </c>
      <c r="B37" t="inlineStr">
        <is>
          <t>avverkningsanmälan</t>
        </is>
      </c>
      <c r="C37" t="inlineStr">
        <is>
          <t>Avverkning för att bevara och utveckla /försöksver</t>
        </is>
      </c>
      <c r="D37" s="1" t="n">
        <v>46213</v>
      </c>
      <c r="E37" s="1" t="n">
        <v>46313</v>
      </c>
      <c r="F37" t="inlineStr">
        <is>
          <t>KALMAR LÄN</t>
        </is>
      </c>
      <c r="G37" t="inlineStr">
        <is>
          <t>EMMABODA</t>
        </is>
      </c>
      <c r="I37" t="n">
        <v>3.3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1</v>
      </c>
      <c r="U37" t="n">
        <v>0</v>
      </c>
      <c r="V37" s="2" t="inlineStr">
        <is>
          <t>Mörk dunört</t>
        </is>
      </c>
      <c r="W37">
        <f>HYPERLINK("https://klasma.github.io/Logging_0862/artfynd/A 30949-2026 artfynd.xlsx", "A 30949-2026")</f>
        <v/>
      </c>
      <c r="X37">
        <f>HYPERLINK("https://klasma.github.io/Logging_0862/kartor/A 30949-2026 karta.png", "A 30949-2026")</f>
        <v/>
      </c>
      <c r="Y37">
        <f>HYPERLINK("https://klasma.github.io/Logging_0862/kartor_geotiff/A 30949-2026 georefererad karta.tif", "A 30949-2026")</f>
        <v/>
      </c>
      <c r="AA37">
        <f>HYPERLINK("https://klasma.github.io/Logging_0862/klagomål/A 30949-2026 FSC-klagomål.docx", "A 30949-2026")</f>
        <v/>
      </c>
      <c r="AB37">
        <f>HYPERLINK("https://klasma.github.io/Logging_0862/klagomålsmail/A 30949-2026 FSC-klagomål mail.docx", "A 30949-2026")</f>
        <v/>
      </c>
      <c r="AC37">
        <f>HYPERLINK("https://klasma.github.io/Logging_0862/tillsyn/A 30949-2026 tillsynsbegäran.docx", "A 30949-2026")</f>
        <v/>
      </c>
      <c r="AD37">
        <f>HYPERLINK("https://klasma.github.io/Logging_0862/tillsynsmail/A 30949-2026 tillsynsbegäran mail.docx", "A 30949-2026")</f>
        <v/>
      </c>
    </row>
    <row r="38" ht="15" customHeight="1">
      <c r="A38" t="inlineStr">
        <is>
          <t>A 31261-2026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46218</v>
      </c>
      <c r="E38" s="1" t="n">
        <v>46313</v>
      </c>
      <c r="F38" t="inlineStr">
        <is>
          <t>KALMAR LÄN</t>
        </is>
      </c>
      <c r="G38" t="inlineStr">
        <is>
          <t>EMMABODA</t>
        </is>
      </c>
      <c r="I38" t="n">
        <v>5.7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0</v>
      </c>
      <c r="V38" s="2" t="inlineStr">
        <is>
          <t>Stubbspretmossa</t>
        </is>
      </c>
      <c r="W38">
        <f>HYPERLINK("https://klasma.github.io/Logging_0862/artfynd/A 31261-2026 artfynd.xlsx", "A 31261-2026")</f>
        <v/>
      </c>
      <c r="X38">
        <f>HYPERLINK("https://klasma.github.io/Logging_0862/kartor/A 31261-2026 karta.png", "A 31261-2026")</f>
        <v/>
      </c>
      <c r="Y38">
        <f>HYPERLINK("https://klasma.github.io/Logging_0862/kartor_geotiff/A 31261-2026 georefererad karta.tif", "A 31261-2026")</f>
        <v/>
      </c>
      <c r="AA38">
        <f>HYPERLINK("https://klasma.github.io/Logging_0862/klagomål/A 31261-2026 FSC-klagomål.docx", "A 31261-2026")</f>
        <v/>
      </c>
      <c r="AB38">
        <f>HYPERLINK("https://klasma.github.io/Logging_0862/klagomålsmail/A 31261-2026 FSC-klagomål mail.docx", "A 31261-2026")</f>
        <v/>
      </c>
      <c r="AC38">
        <f>HYPERLINK("https://klasma.github.io/Logging_0862/tillsyn/A 31261-2026 tillsynsbegäran.docx", "A 31261-2026")</f>
        <v/>
      </c>
      <c r="AD38">
        <f>HYPERLINK("https://klasma.github.io/Logging_0862/tillsynsmail/A 31261-2026 tillsynsbegäran mail.docx", "A 31261-2026")</f>
        <v/>
      </c>
    </row>
    <row r="39" ht="15" customHeight="1">
      <c r="A39" t="inlineStr">
        <is>
          <t>A 29859-2023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45107</v>
      </c>
      <c r="E39" s="1" t="n">
        <v>46313</v>
      </c>
      <c r="F39" t="inlineStr">
        <is>
          <t>KALMAR LÄN</t>
        </is>
      </c>
      <c r="G39" t="inlineStr">
        <is>
          <t>EMMABODA</t>
        </is>
      </c>
      <c r="I39" t="n">
        <v>1.9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</v>
      </c>
      <c r="U39" t="n">
        <v>0</v>
      </c>
      <c r="V39" s="2" t="inlineStr">
        <is>
          <t>Tjäder</t>
        </is>
      </c>
      <c r="W39">
        <f>HYPERLINK("https://klasma.github.io/Logging_0862/artfynd/A 29859-2023 artfynd.xlsx", "A 29859-2023")</f>
        <v/>
      </c>
      <c r="X39">
        <f>HYPERLINK("https://klasma.github.io/Logging_0862/kartor/A 29859-2023 karta.png", "A 29859-2023")</f>
        <v/>
      </c>
      <c r="Y39">
        <f>HYPERLINK("https://klasma.github.io/Logging_0862/kartor_geotiff/A 29859-2023 georefererad karta.tif", "A 29859-2023")</f>
        <v/>
      </c>
      <c r="AA39">
        <f>HYPERLINK("https://klasma.github.io/Logging_0862/klagomål/A 29859-2023 FSC-klagomål.docx", "A 29859-2023")</f>
        <v/>
      </c>
      <c r="AB39">
        <f>HYPERLINK("https://klasma.github.io/Logging_0862/klagomålsmail/A 29859-2023 FSC-klagomål mail.docx", "A 29859-2023")</f>
        <v/>
      </c>
      <c r="AC39">
        <f>HYPERLINK("https://klasma.github.io/Logging_0862/tillsyn/A 29859-2023 tillsynsbegäran.docx", "A 29859-2023")</f>
        <v/>
      </c>
      <c r="AD39">
        <f>HYPERLINK("https://klasma.github.io/Logging_0862/tillsynsmail/A 29859-2023 tillsynsbegäran mail.docx", "A 29859-2023")</f>
        <v/>
      </c>
      <c r="AE39">
        <f>HYPERLINK("https://klasma.github.io/Logging_0862/fåglar/A 29859-2023 prioriterade fågelarter.docx", "A 29859-2023")</f>
        <v/>
      </c>
    </row>
    <row r="40" ht="15" customHeight="1">
      <c r="A40" t="inlineStr">
        <is>
          <t>A 60257-2021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44495</v>
      </c>
      <c r="E40" s="1" t="n">
        <v>46313</v>
      </c>
      <c r="F40" t="inlineStr">
        <is>
          <t>KALMAR LÄN</t>
        </is>
      </c>
      <c r="G40" t="inlineStr">
        <is>
          <t>EMMABODA</t>
        </is>
      </c>
      <c r="I40" t="n">
        <v>0.7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s="2" t="inlineStr">
        <is>
          <t>Knärot</t>
        </is>
      </c>
      <c r="W40">
        <f>HYPERLINK("https://klasma.github.io/Logging_0862/artfynd/A 60257-2021 artfynd.xlsx", "A 60257-2021")</f>
        <v/>
      </c>
      <c r="X40">
        <f>HYPERLINK("https://klasma.github.io/Logging_0862/kartor/A 60257-2021 karta.png", "A 60257-2021")</f>
        <v/>
      </c>
      <c r="Y40">
        <f>HYPERLINK("https://klasma.github.io/Logging_0862/kartor_geotiff/A 60257-2021 georefererad karta.tif", "A 60257-2021")</f>
        <v/>
      </c>
      <c r="Z40">
        <f>HYPERLINK("https://klasma.github.io/Logging_0862/knärot/A 60257-2021 karta knärot.png", "A 60257-2021")</f>
        <v/>
      </c>
      <c r="AA40">
        <f>HYPERLINK("https://klasma.github.io/Logging_0862/klagomål/A 60257-2021 FSC-klagomål.docx", "A 60257-2021")</f>
        <v/>
      </c>
      <c r="AB40">
        <f>HYPERLINK("https://klasma.github.io/Logging_0862/klagomålsmail/A 60257-2021 FSC-klagomål mail.docx", "A 60257-2021")</f>
        <v/>
      </c>
      <c r="AC40">
        <f>HYPERLINK("https://klasma.github.io/Logging_0862/tillsyn/A 60257-2021 tillsynsbegäran.docx", "A 60257-2021")</f>
        <v/>
      </c>
      <c r="AD40">
        <f>HYPERLINK("https://klasma.github.io/Logging_0862/tillsynsmail/A 60257-2021 tillsynsbegäran mail.docx", "A 60257-2021")</f>
        <v/>
      </c>
    </row>
    <row r="41" ht="15" customHeight="1">
      <c r="A41" t="inlineStr">
        <is>
          <t>A 38379-2026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46282</v>
      </c>
      <c r="E41" s="1" t="n">
        <v>46313</v>
      </c>
      <c r="F41" t="inlineStr">
        <is>
          <t>KALMAR LÄN</t>
        </is>
      </c>
      <c r="G41" t="inlineStr">
        <is>
          <t>EMMABODA</t>
        </is>
      </c>
      <c r="I41" t="n">
        <v>2.4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0</v>
      </c>
      <c r="V41" s="2" t="inlineStr">
        <is>
          <t>Blåsippa</t>
        </is>
      </c>
      <c r="W41">
        <f>HYPERLINK("https://klasma.github.io/Logging_0862/artfynd/A 38379-2026 artfynd.xlsx", "A 38379-2026")</f>
        <v/>
      </c>
      <c r="X41">
        <f>HYPERLINK("https://klasma.github.io/Logging_0862/kartor/A 38379-2026 karta.png", "A 38379-2026")</f>
        <v/>
      </c>
      <c r="Y41">
        <f>HYPERLINK("https://klasma.github.io/Logging_0862/kartor_geotiff/A 38379-2026 georefererad karta.tif", "A 38379-2026")</f>
        <v/>
      </c>
      <c r="AA41">
        <f>HYPERLINK("https://klasma.github.io/Logging_0862/klagomål/A 38379-2026 FSC-klagomål.docx", "A 38379-2026")</f>
        <v/>
      </c>
      <c r="AB41">
        <f>HYPERLINK("https://klasma.github.io/Logging_0862/klagomålsmail/A 38379-2026 FSC-klagomål mail.docx", "A 38379-2026")</f>
        <v/>
      </c>
      <c r="AC41">
        <f>HYPERLINK("https://klasma.github.io/Logging_0862/tillsyn/A 38379-2026 tillsynsbegäran.docx", "A 38379-2026")</f>
        <v/>
      </c>
      <c r="AD41">
        <f>HYPERLINK("https://klasma.github.io/Logging_0862/tillsynsmail/A 38379-2026 tillsynsbegäran mail.docx", "A 38379-2026")</f>
        <v/>
      </c>
    </row>
    <row r="42" ht="15" customHeight="1">
      <c r="A42" t="inlineStr">
        <is>
          <t>A 6247-2026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46055</v>
      </c>
      <c r="E42" s="1" t="n">
        <v>46313</v>
      </c>
      <c r="F42" t="inlineStr">
        <is>
          <t>KALMAR LÄN</t>
        </is>
      </c>
      <c r="G42" t="inlineStr">
        <is>
          <t>EMMABODA</t>
        </is>
      </c>
      <c r="I42" t="n">
        <v>1.2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1</v>
      </c>
      <c r="S42" t="n">
        <v>1</v>
      </c>
      <c r="T42" t="n">
        <v>1</v>
      </c>
      <c r="U42" t="n">
        <v>0</v>
      </c>
      <c r="V42" s="2" t="inlineStr">
        <is>
          <t>Igelkott</t>
        </is>
      </c>
      <c r="W42">
        <f>HYPERLINK("https://klasma.github.io/Logging_0862/artfynd/A 6247-2026 artfynd.xlsx", "A 6247-2026")</f>
        <v/>
      </c>
      <c r="X42">
        <f>HYPERLINK("https://klasma.github.io/Logging_0862/kartor/A 6247-2026 karta.png", "A 6247-2026")</f>
        <v/>
      </c>
      <c r="Y42">
        <f>HYPERLINK("https://klasma.github.io/Logging_0862/kartor_geotiff/A 6247-2026 georefererad karta.tif", "A 6247-2026")</f>
        <v/>
      </c>
      <c r="AA42">
        <f>HYPERLINK("https://klasma.github.io/Logging_0862/klagomål/A 6247-2026 FSC-klagomål.docx", "A 6247-2026")</f>
        <v/>
      </c>
      <c r="AB42">
        <f>HYPERLINK("https://klasma.github.io/Logging_0862/klagomålsmail/A 6247-2026 FSC-klagomål mail.docx", "A 6247-2026")</f>
        <v/>
      </c>
      <c r="AC42">
        <f>HYPERLINK("https://klasma.github.io/Logging_0862/tillsyn/A 6247-2026 tillsynsbegäran.docx", "A 6247-2026")</f>
        <v/>
      </c>
      <c r="AD42">
        <f>HYPERLINK("https://klasma.github.io/Logging_0862/tillsynsmail/A 6247-2026 tillsynsbegäran mail.docx", "A 6247-2026")</f>
        <v/>
      </c>
    </row>
    <row r="43" ht="15" customHeight="1">
      <c r="A43" t="inlineStr">
        <is>
          <t>A 27416-2023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45092</v>
      </c>
      <c r="E43" s="1" t="n">
        <v>46313</v>
      </c>
      <c r="F43" t="inlineStr">
        <is>
          <t>KALMAR LÄN</t>
        </is>
      </c>
      <c r="G43" t="inlineStr">
        <is>
          <t>EMMABODA</t>
        </is>
      </c>
      <c r="I43" t="n">
        <v>0.8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</v>
      </c>
      <c r="U43" t="n">
        <v>0</v>
      </c>
      <c r="V43" s="2" t="inlineStr">
        <is>
          <t>Gröngöling</t>
        </is>
      </c>
      <c r="W43">
        <f>HYPERLINK("https://klasma.github.io/Logging_0862/artfynd/A 27416-2023 artfynd.xlsx", "A 27416-2023")</f>
        <v/>
      </c>
      <c r="X43">
        <f>HYPERLINK("https://klasma.github.io/Logging_0862/kartor/A 27416-2023 karta.png", "A 27416-2023")</f>
        <v/>
      </c>
      <c r="Y43">
        <f>HYPERLINK("https://klasma.github.io/Logging_0862/kartor_geotiff/A 27416-2023 georefererad karta.tif", "A 27416-2023")</f>
        <v/>
      </c>
      <c r="AA43">
        <f>HYPERLINK("https://klasma.github.io/Logging_0862/klagomål/A 27416-2023 FSC-klagomål.docx", "A 27416-2023")</f>
        <v/>
      </c>
      <c r="AB43">
        <f>HYPERLINK("https://klasma.github.io/Logging_0862/klagomålsmail/A 27416-2023 FSC-klagomål mail.docx", "A 27416-2023")</f>
        <v/>
      </c>
      <c r="AC43">
        <f>HYPERLINK("https://klasma.github.io/Logging_0862/tillsyn/A 27416-2023 tillsynsbegäran.docx", "A 27416-2023")</f>
        <v/>
      </c>
      <c r="AD43">
        <f>HYPERLINK("https://klasma.github.io/Logging_0862/tillsynsmail/A 27416-2023 tillsynsbegäran mail.docx", "A 27416-2023")</f>
        <v/>
      </c>
    </row>
    <row r="44" ht="15" customHeight="1">
      <c r="A44" t="inlineStr">
        <is>
          <t>A 34220-2026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46253</v>
      </c>
      <c r="E44" s="1" t="n">
        <v>46313</v>
      </c>
      <c r="F44" t="inlineStr">
        <is>
          <t>KALMAR LÄN</t>
        </is>
      </c>
      <c r="G44" t="inlineStr">
        <is>
          <t>EMMABODA</t>
        </is>
      </c>
      <c r="I44" t="n">
        <v>2.9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</v>
      </c>
      <c r="U44" t="n">
        <v>0</v>
      </c>
      <c r="V44" s="2" t="inlineStr">
        <is>
          <t>Blåsippa</t>
        </is>
      </c>
      <c r="W44">
        <f>HYPERLINK("https://klasma.github.io/Logging_0862/artfynd/A 34220-2026 artfynd.xlsx", "A 34220-2026")</f>
        <v/>
      </c>
      <c r="X44">
        <f>HYPERLINK("https://klasma.github.io/Logging_0862/kartor/A 34220-2026 karta.png", "A 34220-2026")</f>
        <v/>
      </c>
      <c r="Y44">
        <f>HYPERLINK("https://klasma.github.io/Logging_0862/kartor_geotiff/A 34220-2026 georefererad karta.tif", "A 34220-2026")</f>
        <v/>
      </c>
      <c r="AA44">
        <f>HYPERLINK("https://klasma.github.io/Logging_0862/klagomål/A 34220-2026 FSC-klagomål.docx", "A 34220-2026")</f>
        <v/>
      </c>
      <c r="AB44">
        <f>HYPERLINK("https://klasma.github.io/Logging_0862/klagomålsmail/A 34220-2026 FSC-klagomål mail.docx", "A 34220-2026")</f>
        <v/>
      </c>
      <c r="AC44">
        <f>HYPERLINK("https://klasma.github.io/Logging_0862/tillsyn/A 34220-2026 tillsynsbegäran.docx", "A 34220-2026")</f>
        <v/>
      </c>
      <c r="AD44">
        <f>HYPERLINK("https://klasma.github.io/Logging_0862/tillsynsmail/A 34220-2026 tillsynsbegäran mail.docx", "A 34220-2026")</f>
        <v/>
      </c>
    </row>
    <row r="45" ht="15" customHeight="1">
      <c r="A45" t="inlineStr">
        <is>
          <t>A 58297-2021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44488</v>
      </c>
      <c r="E45" s="1" t="n">
        <v>46313</v>
      </c>
      <c r="F45" t="inlineStr">
        <is>
          <t>KALMAR LÄN</t>
        </is>
      </c>
      <c r="G45" t="inlineStr">
        <is>
          <t>EMMABODA</t>
        </is>
      </c>
      <c r="H45" t="inlineStr">
        <is>
          <t>Kommuner</t>
        </is>
      </c>
      <c r="I45" t="n">
        <v>1.6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1</v>
      </c>
      <c r="U45" t="n">
        <v>1</v>
      </c>
      <c r="V45" s="2" t="inlineStr">
        <is>
          <t>Åkerkål</t>
        </is>
      </c>
      <c r="W45">
        <f>HYPERLINK("https://klasma.github.io/Logging_0862/artfynd/A 58297-2021 artfynd.xlsx", "A 58297-2021")</f>
        <v/>
      </c>
      <c r="X45">
        <f>HYPERLINK("https://klasma.github.io/Logging_0862/kartor/A 58297-2021 karta.png", "A 58297-2021")</f>
        <v/>
      </c>
      <c r="Y45">
        <f>HYPERLINK("https://klasma.github.io/Logging_0862/kartor_geotiff/A 58297-2021 georefererad karta.tif", "A 58297-2021")</f>
        <v/>
      </c>
      <c r="AA45">
        <f>HYPERLINK("https://klasma.github.io/Logging_0862/klagomål/A 58297-2021 FSC-klagomål.docx", "A 58297-2021")</f>
        <v/>
      </c>
      <c r="AB45">
        <f>HYPERLINK("https://klasma.github.io/Logging_0862/klagomålsmail/A 58297-2021 FSC-klagomål mail.docx", "A 58297-2021")</f>
        <v/>
      </c>
      <c r="AC45">
        <f>HYPERLINK("https://klasma.github.io/Logging_0862/tillsyn/A 58297-2021 tillsynsbegäran.docx", "A 58297-2021")</f>
        <v/>
      </c>
      <c r="AD45">
        <f>HYPERLINK("https://klasma.github.io/Logging_0862/tillsynsmail/A 58297-2021 tillsynsbegäran mail.docx", "A 58297-2021")</f>
        <v/>
      </c>
    </row>
    <row r="46" ht="15" customHeight="1">
      <c r="A46" t="inlineStr">
        <is>
          <t>A 58883-2022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44895</v>
      </c>
      <c r="E46" s="1" t="n">
        <v>46313</v>
      </c>
      <c r="F46" t="inlineStr">
        <is>
          <t>KALMAR LÄN</t>
        </is>
      </c>
      <c r="G46" t="inlineStr">
        <is>
          <t>EMMABODA</t>
        </is>
      </c>
      <c r="I46" t="n">
        <v>2.5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</v>
      </c>
      <c r="U46" t="n">
        <v>0</v>
      </c>
      <c r="V46" s="2" t="inlineStr">
        <is>
          <t>Blåmossa</t>
        </is>
      </c>
      <c r="W46">
        <f>HYPERLINK("https://klasma.github.io/Logging_0862/artfynd/A 58883-2022 artfynd.xlsx", "A 58883-2022")</f>
        <v/>
      </c>
      <c r="X46">
        <f>HYPERLINK("https://klasma.github.io/Logging_0862/kartor/A 58883-2022 karta.png", "A 58883-2022")</f>
        <v/>
      </c>
      <c r="Y46">
        <f>HYPERLINK("https://klasma.github.io/Logging_0862/kartor_geotiff/A 58883-2022 georefererad karta.tif", "A 58883-2022")</f>
        <v/>
      </c>
      <c r="AA46">
        <f>HYPERLINK("https://klasma.github.io/Logging_0862/klagomål/A 58883-2022 FSC-klagomål.docx", "A 58883-2022")</f>
        <v/>
      </c>
      <c r="AB46">
        <f>HYPERLINK("https://klasma.github.io/Logging_0862/klagomålsmail/A 58883-2022 FSC-klagomål mail.docx", "A 58883-2022")</f>
        <v/>
      </c>
      <c r="AC46">
        <f>HYPERLINK("https://klasma.github.io/Logging_0862/tillsyn/A 58883-2022 tillsynsbegäran.docx", "A 58883-2022")</f>
        <v/>
      </c>
      <c r="AD46">
        <f>HYPERLINK("https://klasma.github.io/Logging_0862/tillsynsmail/A 58883-2022 tillsynsbegäran mail.docx", "A 58883-2022")</f>
        <v/>
      </c>
    </row>
    <row r="47" ht="15" customHeight="1">
      <c r="A47" t="inlineStr">
        <is>
          <t>S 2956-2024</t>
        </is>
      </c>
      <c r="B47" t="inlineStr">
        <is>
          <t>samrådsanmälan</t>
        </is>
      </c>
      <c r="C47" t="inlineStr">
        <is>
          <t>Askåterföring</t>
        </is>
      </c>
      <c r="D47" s="1" t="n">
        <v>45509</v>
      </c>
      <c r="E47" s="1" t="n">
        <v>46313</v>
      </c>
      <c r="F47" t="inlineStr">
        <is>
          <t>KALMAR LÄN</t>
        </is>
      </c>
      <c r="G47" t="inlineStr">
        <is>
          <t>EMMABODA</t>
        </is>
      </c>
      <c r="I47" t="n">
        <v>84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s="2" t="inlineStr">
        <is>
          <t>Trubbdaggkåpa</t>
        </is>
      </c>
      <c r="W47">
        <f>HYPERLINK("https://klasma.github.io/Logging_0862/artfynd/S 2956-2024 artfynd.xlsx", "S 2956-2024")</f>
        <v/>
      </c>
      <c r="X47">
        <f>HYPERLINK("https://klasma.github.io/Logging_0862/kartor/S 2956-2024 karta.png", "S 2956-2024")</f>
        <v/>
      </c>
      <c r="Y47">
        <f>HYPERLINK("https://klasma.github.io/Logging_0862/kartor_geotiff/S 2956-2024 georefererad karta.tif", "S 2956-2024")</f>
        <v/>
      </c>
      <c r="AA47">
        <f>HYPERLINK("https://klasma.github.io/Logging_0862/klagomål/S 2956-2024 FSC-klagomål.docx", "S 2956-2024")</f>
        <v/>
      </c>
      <c r="AB47">
        <f>HYPERLINK("https://klasma.github.io/Logging_0862/klagomålsmail/S 2956-2024 FSC-klagomål mail.docx", "S 2956-2024")</f>
        <v/>
      </c>
      <c r="AC47">
        <f>HYPERLINK("https://klasma.github.io/Logging_0862/tillsyn/S 2956-2024 tillsynsbegäran.docx", "S 2956-2024")</f>
        <v/>
      </c>
      <c r="AD47">
        <f>HYPERLINK("https://klasma.github.io/Logging_0862/tillsynsmail/S 2956-2024 tillsynsbegäran mail.docx", "S 2956-2024")</f>
        <v/>
      </c>
    </row>
    <row r="48" ht="15" customHeight="1">
      <c r="A48" t="inlineStr">
        <is>
          <t>S 1032-2024</t>
        </is>
      </c>
      <c r="B48" t="inlineStr">
        <is>
          <t>samrådsanmälan</t>
        </is>
      </c>
      <c r="C48" t="inlineStr">
        <is>
          <t>Askåterföring</t>
        </is>
      </c>
      <c r="D48" s="1" t="n">
        <v>45387</v>
      </c>
      <c r="E48" s="1" t="n">
        <v>46313</v>
      </c>
      <c r="F48" t="inlineStr">
        <is>
          <t>KALMAR LÄN</t>
        </is>
      </c>
      <c r="G48" t="inlineStr">
        <is>
          <t>EMMABODA</t>
        </is>
      </c>
      <c r="I48" t="n">
        <v>20.3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1</v>
      </c>
      <c r="U48" t="n">
        <v>0</v>
      </c>
      <c r="V48" s="2" t="inlineStr">
        <is>
          <t>Spillkråka</t>
        </is>
      </c>
      <c r="W48">
        <f>HYPERLINK("https://klasma.github.io/Logging_0862/artfynd/S 1032-2024 artfynd.xlsx", "S 1032-2024")</f>
        <v/>
      </c>
      <c r="X48">
        <f>HYPERLINK("https://klasma.github.io/Logging_0862/kartor/S 1032-2024 karta.png", "S 1032-2024")</f>
        <v/>
      </c>
      <c r="Y48">
        <f>HYPERLINK("https://klasma.github.io/Logging_0862/kartor_geotiff/S 1032-2024 georefererad karta.tif", "S 1032-2024")</f>
        <v/>
      </c>
      <c r="AA48">
        <f>HYPERLINK("https://klasma.github.io/Logging_0862/klagomål/S 1032-2024 FSC-klagomål.docx", "S 1032-2024")</f>
        <v/>
      </c>
      <c r="AB48">
        <f>HYPERLINK("https://klasma.github.io/Logging_0862/klagomålsmail/S 1032-2024 FSC-klagomål mail.docx", "S 1032-2024")</f>
        <v/>
      </c>
      <c r="AC48">
        <f>HYPERLINK("https://klasma.github.io/Logging_0862/tillsyn/S 1032-2024 tillsynsbegäran.docx", "S 1032-2024")</f>
        <v/>
      </c>
      <c r="AD48">
        <f>HYPERLINK("https://klasma.github.io/Logging_0862/tillsynsmail/S 1032-2024 tillsynsbegäran mail.docx", "S 1032-2024")</f>
        <v/>
      </c>
      <c r="AE48">
        <f>HYPERLINK("https://klasma.github.io/Logging_0862/fåglar/S 1032-2024 prioriterade fågelarter.docx", "S 1032-2024")</f>
        <v/>
      </c>
    </row>
    <row r="49" ht="15" customHeight="1">
      <c r="A49" t="inlineStr">
        <is>
          <t>S 523-2022</t>
        </is>
      </c>
      <c r="B49" t="inlineStr">
        <is>
          <t>samrådsanmälan</t>
        </is>
      </c>
      <c r="C49" t="inlineStr">
        <is>
          <t>Askåterföring</t>
        </is>
      </c>
      <c r="D49" s="1" t="n">
        <v>44588</v>
      </c>
      <c r="E49" s="1" t="n">
        <v>46313</v>
      </c>
      <c r="F49" t="inlineStr">
        <is>
          <t>KALMAR LÄN</t>
        </is>
      </c>
      <c r="G49" t="inlineStr">
        <is>
          <t>EMMABODA</t>
        </is>
      </c>
      <c r="I49" t="n">
        <v>21.6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s="2" t="inlineStr">
        <is>
          <t>Revig blodrot</t>
        </is>
      </c>
      <c r="W49">
        <f>HYPERLINK("https://klasma.github.io/Logging_0862/artfynd/S 523-2022 artfynd.xlsx", "S 523-2022")</f>
        <v/>
      </c>
      <c r="X49">
        <f>HYPERLINK("https://klasma.github.io/Logging_0862/kartor/S 523-2022 karta.png", "S 523-2022")</f>
        <v/>
      </c>
      <c r="Y49">
        <f>HYPERLINK("https://klasma.github.io/Logging_0862/kartor_geotiff/S 523-2022 georefererad karta.tif", "S 523-2022")</f>
        <v/>
      </c>
      <c r="AA49">
        <f>HYPERLINK("https://klasma.github.io/Logging_0862/klagomål/S 523-2022 FSC-klagomål.docx", "S 523-2022")</f>
        <v/>
      </c>
      <c r="AB49">
        <f>HYPERLINK("https://klasma.github.io/Logging_0862/klagomålsmail/S 523-2022 FSC-klagomål mail.docx", "S 523-2022")</f>
        <v/>
      </c>
      <c r="AC49">
        <f>HYPERLINK("https://klasma.github.io/Logging_0862/tillsyn/S 523-2022 tillsynsbegäran.docx", "S 523-2022")</f>
        <v/>
      </c>
      <c r="AD49">
        <f>HYPERLINK("https://klasma.github.io/Logging_0862/tillsynsmail/S 523-2022 tillsynsbegäran mail.docx", "S 523-2022")</f>
        <v/>
      </c>
    </row>
    <row r="50" ht="15" customHeight="1">
      <c r="A50" t="inlineStr">
        <is>
          <t>S 4798-2024</t>
        </is>
      </c>
      <c r="B50" t="inlineStr">
        <is>
          <t>samrådsanmälan</t>
        </is>
      </c>
      <c r="C50" t="inlineStr">
        <is>
          <t>Askåterföring</t>
        </is>
      </c>
      <c r="D50" s="1" t="n">
        <v>45611</v>
      </c>
      <c r="E50" s="1" t="n">
        <v>46313</v>
      </c>
      <c r="F50" t="inlineStr">
        <is>
          <t>KALMAR LÄN</t>
        </is>
      </c>
      <c r="G50" t="inlineStr">
        <is>
          <t>EMMABODA</t>
        </is>
      </c>
      <c r="I50" t="n">
        <v>10.2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1</v>
      </c>
      <c r="U50" t="n">
        <v>1</v>
      </c>
      <c r="V50" s="2" t="inlineStr">
        <is>
          <t>Tjäder</t>
        </is>
      </c>
      <c r="W50">
        <f>HYPERLINK("https://klasma.github.io/Logging_0862/artfynd/S 4798-2024 artfynd.xlsx", "S 4798-2024")</f>
        <v/>
      </c>
      <c r="X50">
        <f>HYPERLINK("https://klasma.github.io/Logging_0862/kartor/S 4798-2024 karta.png", "S 4798-2024")</f>
        <v/>
      </c>
      <c r="Y50">
        <f>HYPERLINK("https://klasma.github.io/Logging_0862/kartor_geotiff/S 4798-2024 georefererad karta.tif", "S 4798-2024")</f>
        <v/>
      </c>
      <c r="AA50">
        <f>HYPERLINK("https://klasma.github.io/Logging_0862/klagomål/S 4798-2024 FSC-klagomål.docx", "S 4798-2024")</f>
        <v/>
      </c>
      <c r="AB50">
        <f>HYPERLINK("https://klasma.github.io/Logging_0862/klagomålsmail/S 4798-2024 FSC-klagomål mail.docx", "S 4798-2024")</f>
        <v/>
      </c>
      <c r="AC50">
        <f>HYPERLINK("https://klasma.github.io/Logging_0862/tillsyn/S 4798-2024 tillsynsbegäran.docx", "S 4798-2024")</f>
        <v/>
      </c>
      <c r="AD50">
        <f>HYPERLINK("https://klasma.github.io/Logging_0862/tillsynsmail/S 4798-2024 tillsynsbegäran mail.docx", "S 4798-2024")</f>
        <v/>
      </c>
      <c r="AE50">
        <f>HYPERLINK("https://klasma.github.io/Logging_0862/fåglar/S 4798-2024 prioriterade fågelarter.docx", "S 4798-2024")</f>
        <v/>
      </c>
    </row>
    <row r="51" ht="15" customHeight="1">
      <c r="A51" t="inlineStr">
        <is>
          <t>S 362-2024</t>
        </is>
      </c>
      <c r="B51" t="inlineStr">
        <is>
          <t>samrådsanmälan</t>
        </is>
      </c>
      <c r="C51" t="inlineStr">
        <is>
          <t>Askåterföring</t>
        </is>
      </c>
      <c r="D51" s="1" t="n">
        <v>45330</v>
      </c>
      <c r="E51" s="1" t="n">
        <v>46313</v>
      </c>
      <c r="F51" t="inlineStr">
        <is>
          <t>KALMAR LÄN</t>
        </is>
      </c>
      <c r="G51" t="inlineStr">
        <is>
          <t>EMMABODA</t>
        </is>
      </c>
      <c r="I51" t="n">
        <v>21.7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s="2" t="inlineStr">
        <is>
          <t>Knärot</t>
        </is>
      </c>
      <c r="W51">
        <f>HYPERLINK("https://klasma.github.io/Logging_0862/artfynd/S 362-2024 artfynd.xlsx", "S 362-2024")</f>
        <v/>
      </c>
      <c r="X51">
        <f>HYPERLINK("https://klasma.github.io/Logging_0862/kartor/S 362-2024 karta.png", "S 362-2024")</f>
        <v/>
      </c>
      <c r="Y51">
        <f>HYPERLINK("https://klasma.github.io/Logging_0862/kartor_geotiff/S 362-2024 georefererad karta.tif", "S 362-2024")</f>
        <v/>
      </c>
      <c r="Z51">
        <f>HYPERLINK("https://klasma.github.io/Logging_0862/knärot/S 362-2024 karta knärot.png", "S 362-2024")</f>
        <v/>
      </c>
      <c r="AA51">
        <f>HYPERLINK("https://klasma.github.io/Logging_0862/klagomål/S 362-2024 FSC-klagomål.docx", "S 362-2024")</f>
        <v/>
      </c>
      <c r="AB51">
        <f>HYPERLINK("https://klasma.github.io/Logging_0862/klagomålsmail/S 362-2024 FSC-klagomål mail.docx", "S 362-2024")</f>
        <v/>
      </c>
      <c r="AC51">
        <f>HYPERLINK("https://klasma.github.io/Logging_0862/tillsyn/S 362-2024 tillsynsbegäran.docx", "S 362-2024")</f>
        <v/>
      </c>
      <c r="AD51">
        <f>HYPERLINK("https://klasma.github.io/Logging_0862/tillsynsmail/S 362-2024 tillsynsbegäran mail.docx", "S 362-2024")</f>
        <v/>
      </c>
    </row>
    <row r="52" ht="15" customHeight="1">
      <c r="A52" t="inlineStr">
        <is>
          <t>S 5807-2022</t>
        </is>
      </c>
      <c r="B52" t="inlineStr">
        <is>
          <t>samrådsanmälan</t>
        </is>
      </c>
      <c r="C52" t="inlineStr">
        <is>
          <t>Askåterföring</t>
        </is>
      </c>
      <c r="D52" s="1" t="n">
        <v>44852</v>
      </c>
      <c r="E52" s="1" t="n">
        <v>46313</v>
      </c>
      <c r="F52" t="inlineStr">
        <is>
          <t>KALMAR LÄN</t>
        </is>
      </c>
      <c r="G52" t="inlineStr">
        <is>
          <t>EMMABODA</t>
        </is>
      </c>
      <c r="I52" t="n">
        <v>169.1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1</v>
      </c>
      <c r="U52" t="n">
        <v>1</v>
      </c>
      <c r="V52" s="2" t="inlineStr">
        <is>
          <t>Tjäder</t>
        </is>
      </c>
      <c r="W52">
        <f>HYPERLINK("https://klasma.github.io/Logging_0862/artfynd/S 5807-2022 artfynd.xlsx", "S 5807-2022")</f>
        <v/>
      </c>
      <c r="X52">
        <f>HYPERLINK("https://klasma.github.io/Logging_0862/kartor/S 5807-2022 karta.png", "S 5807-2022")</f>
        <v/>
      </c>
      <c r="Y52">
        <f>HYPERLINK("https://klasma.github.io/Logging_0862/kartor_geotiff/S 5807-2022 georefererad karta.tif", "S 5807-2022")</f>
        <v/>
      </c>
      <c r="AA52">
        <f>HYPERLINK("https://klasma.github.io/Logging_0862/klagomål/S 5807-2022 FSC-klagomål.docx", "S 5807-2022")</f>
        <v/>
      </c>
      <c r="AB52">
        <f>HYPERLINK("https://klasma.github.io/Logging_0862/klagomålsmail/S 5807-2022 FSC-klagomål mail.docx", "S 5807-2022")</f>
        <v/>
      </c>
      <c r="AC52">
        <f>HYPERLINK("https://klasma.github.io/Logging_0862/tillsyn/S 5807-2022 tillsynsbegäran.docx", "S 5807-2022")</f>
        <v/>
      </c>
      <c r="AD52">
        <f>HYPERLINK("https://klasma.github.io/Logging_0862/tillsynsmail/S 5807-2022 tillsynsbegäran mail.docx", "S 5807-2022")</f>
        <v/>
      </c>
      <c r="AE52">
        <f>HYPERLINK("https://klasma.github.io/Logging_0862/fåglar/S 5807-2022 prioriterade fågelarter.docx", "S 5807-2022")</f>
        <v/>
      </c>
    </row>
    <row r="53" ht="15" customHeight="1">
      <c r="A53" t="inlineStr">
        <is>
          <t>S 1924-2024</t>
        </is>
      </c>
      <c r="B53" t="inlineStr">
        <is>
          <t>samrådsanmälan</t>
        </is>
      </c>
      <c r="C53" t="inlineStr">
        <is>
          <t>Askåterföring</t>
        </is>
      </c>
      <c r="D53" s="1" t="n">
        <v>45442</v>
      </c>
      <c r="E53" s="1" t="n">
        <v>46313</v>
      </c>
      <c r="F53" t="inlineStr">
        <is>
          <t>KALMAR LÄN</t>
        </is>
      </c>
      <c r="G53" t="inlineStr">
        <is>
          <t>EMMABODA</t>
        </is>
      </c>
      <c r="I53" t="n">
        <v>129.3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1</v>
      </c>
      <c r="U53" t="n">
        <v>1</v>
      </c>
      <c r="V53" s="2" t="inlineStr">
        <is>
          <t>Åkerkulla</t>
        </is>
      </c>
      <c r="W53">
        <f>HYPERLINK("https://klasma.github.io/Logging_0862/artfynd/S 1924-2024 artfynd.xlsx", "S 1924-2024")</f>
        <v/>
      </c>
      <c r="X53">
        <f>HYPERLINK("https://klasma.github.io/Logging_0862/kartor/S 1924-2024 karta.png", "S 1924-2024")</f>
        <v/>
      </c>
      <c r="Y53">
        <f>HYPERLINK("https://klasma.github.io/Logging_0862/kartor_geotiff/S 1924-2024 georefererad karta.tif", "S 1924-2024")</f>
        <v/>
      </c>
      <c r="AA53">
        <f>HYPERLINK("https://klasma.github.io/Logging_0862/klagomål/S 1924-2024 FSC-klagomål.docx", "S 1924-2024")</f>
        <v/>
      </c>
      <c r="AB53">
        <f>HYPERLINK("https://klasma.github.io/Logging_0862/klagomålsmail/S 1924-2024 FSC-klagomål mail.docx", "S 1924-2024")</f>
        <v/>
      </c>
      <c r="AC53">
        <f>HYPERLINK("https://klasma.github.io/Logging_0862/tillsyn/S 1924-2024 tillsynsbegäran.docx", "S 1924-2024")</f>
        <v/>
      </c>
      <c r="AD53">
        <f>HYPERLINK("https://klasma.github.io/Logging_0862/tillsynsmail/S 1924-2024 tillsynsbegäran mail.docx", "S 1924-2024")</f>
        <v/>
      </c>
    </row>
    <row r="54" ht="15" customHeight="1">
      <c r="A54" t="inlineStr">
        <is>
          <t>S 2684-2023</t>
        </is>
      </c>
      <c r="B54" t="inlineStr">
        <is>
          <t>samrådsanmälan</t>
        </is>
      </c>
      <c r="C54" t="inlineStr">
        <is>
          <t>Askåterföring</t>
        </is>
      </c>
      <c r="D54" s="1" t="n">
        <v>45153</v>
      </c>
      <c r="E54" s="1" t="n">
        <v>46313</v>
      </c>
      <c r="F54" t="inlineStr">
        <is>
          <t>KALMAR LÄN</t>
        </is>
      </c>
      <c r="G54" t="inlineStr">
        <is>
          <t>EMMABODA</t>
        </is>
      </c>
      <c r="I54" t="n">
        <v>186.1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1</v>
      </c>
      <c r="S54" t="n">
        <v>1</v>
      </c>
      <c r="T54" t="n">
        <v>2</v>
      </c>
      <c r="U54" t="n">
        <v>0</v>
      </c>
      <c r="V54" s="2" t="inlineStr">
        <is>
          <t>Slåttergubbe</t>
        </is>
      </c>
      <c r="W54">
        <f>HYPERLINK("https://klasma.github.io/Logging_0862/artfynd/S 2684-2023 artfynd.xlsx", "S 2684-2023")</f>
        <v/>
      </c>
      <c r="X54">
        <f>HYPERLINK("https://klasma.github.io/Logging_0862/kartor/S 2684-2023 karta.png", "S 2684-2023")</f>
        <v/>
      </c>
      <c r="Y54">
        <f>HYPERLINK("https://klasma.github.io/Logging_0862/kartor_geotiff/S 2684-2023 georefererad karta.tif", "S 2684-2023")</f>
        <v/>
      </c>
      <c r="AA54">
        <f>HYPERLINK("https://klasma.github.io/Logging_0862/klagomål/S 2684-2023 FSC-klagomål.docx", "S 2684-2023")</f>
        <v/>
      </c>
      <c r="AB54">
        <f>HYPERLINK("https://klasma.github.io/Logging_0862/klagomålsmail/S 2684-2023 FSC-klagomål mail.docx", "S 2684-2023")</f>
        <v/>
      </c>
      <c r="AC54">
        <f>HYPERLINK("https://klasma.github.io/Logging_0862/tillsyn/S 2684-2023 tillsynsbegäran.docx", "S 2684-2023")</f>
        <v/>
      </c>
      <c r="AD54">
        <f>HYPERLINK("https://klasma.github.io/Logging_0862/tillsynsmail/S 2684-2023 tillsynsbegäran mail.docx", "S 2684-2023")</f>
        <v/>
      </c>
    </row>
    <row r="55" ht="15" customHeight="1">
      <c r="A55" t="inlineStr">
        <is>
          <t>S 1009-2024</t>
        </is>
      </c>
      <c r="B55" t="inlineStr">
        <is>
          <t>samrådsanmälan</t>
        </is>
      </c>
      <c r="C55" t="inlineStr">
        <is>
          <t>Askåterföring</t>
        </is>
      </c>
      <c r="D55" s="1" t="n">
        <v>45386</v>
      </c>
      <c r="E55" s="1" t="n">
        <v>46313</v>
      </c>
      <c r="F55" t="inlineStr">
        <is>
          <t>KALMAR LÄN</t>
        </is>
      </c>
      <c r="G55" t="inlineStr">
        <is>
          <t>EMMABODA</t>
        </is>
      </c>
      <c r="I55" t="n">
        <v>37.9</v>
      </c>
      <c r="J55" t="n">
        <v>1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1</v>
      </c>
      <c r="U55" t="n">
        <v>0</v>
      </c>
      <c r="V55" s="2" t="inlineStr">
        <is>
          <t>Grön sköldmossa</t>
        </is>
      </c>
      <c r="W55">
        <f>HYPERLINK("https://klasma.github.io/Logging_0862/artfynd/S 1009-2024 artfynd.xlsx", "S 1009-2024")</f>
        <v/>
      </c>
      <c r="X55">
        <f>HYPERLINK("https://klasma.github.io/Logging_0862/kartor/S 1009-2024 karta.png", "S 1009-2024")</f>
        <v/>
      </c>
      <c r="Y55">
        <f>HYPERLINK("https://klasma.github.io/Logging_0862/kartor_geotiff/S 1009-2024 georefererad karta.tif", "S 1009-2024")</f>
        <v/>
      </c>
      <c r="AA55">
        <f>HYPERLINK("https://klasma.github.io/Logging_0862/klagomål/S 1009-2024 FSC-klagomål.docx", "S 1009-2024")</f>
        <v/>
      </c>
      <c r="AB55">
        <f>HYPERLINK("https://klasma.github.io/Logging_0862/klagomålsmail/S 1009-2024 FSC-klagomål mail.docx", "S 1009-2024")</f>
        <v/>
      </c>
      <c r="AC55">
        <f>HYPERLINK("https://klasma.github.io/Logging_0862/tillsyn/S 1009-2024 tillsynsbegäran.docx", "S 1009-2024")</f>
        <v/>
      </c>
      <c r="AD55">
        <f>HYPERLINK("https://klasma.github.io/Logging_0862/tillsynsmail/S 1009-2024 tillsynsbegäran mail.docx", "S 1009-2024")</f>
        <v/>
      </c>
    </row>
    <row r="56" ht="15" customHeight="1">
      <c r="A56" t="inlineStr">
        <is>
          <t>S 272-2025</t>
        </is>
      </c>
      <c r="B56" t="inlineStr">
        <is>
          <t>samrådsanmälan</t>
        </is>
      </c>
      <c r="C56" t="inlineStr">
        <is>
          <t>Askåterföring</t>
        </is>
      </c>
      <c r="D56" s="1" t="n">
        <v>45685</v>
      </c>
      <c r="E56" s="1" t="n">
        <v>46313</v>
      </c>
      <c r="F56" t="inlineStr">
        <is>
          <t>KALMAR LÄN</t>
        </is>
      </c>
      <c r="G56" t="inlineStr">
        <is>
          <t>EMMABODA</t>
        </is>
      </c>
      <c r="I56" t="n">
        <v>34.1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1</v>
      </c>
      <c r="U56" t="n">
        <v>0</v>
      </c>
      <c r="V56" s="2" t="inlineStr">
        <is>
          <t>Trädlärka</t>
        </is>
      </c>
      <c r="W56">
        <f>HYPERLINK("https://klasma.github.io/Logging_0862/artfynd/S 272-2025 artfynd.xlsx", "S 272-2025")</f>
        <v/>
      </c>
      <c r="X56">
        <f>HYPERLINK("https://klasma.github.io/Logging_0862/kartor/S 272-2025 karta.png", "S 272-2025")</f>
        <v/>
      </c>
      <c r="Y56">
        <f>HYPERLINK("https://klasma.github.io/Logging_0862/kartor_geotiff/S 272-2025 georefererad karta.tif", "S 272-2025")</f>
        <v/>
      </c>
      <c r="AA56">
        <f>HYPERLINK("https://klasma.github.io/Logging_0862/klagomål/S 272-2025 FSC-klagomål.docx", "S 272-2025")</f>
        <v/>
      </c>
      <c r="AB56">
        <f>HYPERLINK("https://klasma.github.io/Logging_0862/klagomålsmail/S 272-2025 FSC-klagomål mail.docx", "S 272-2025")</f>
        <v/>
      </c>
      <c r="AC56">
        <f>HYPERLINK("https://klasma.github.io/Logging_0862/tillsyn/S 272-2025 tillsynsbegäran.docx", "S 272-2025")</f>
        <v/>
      </c>
      <c r="AD56">
        <f>HYPERLINK("https://klasma.github.io/Logging_0862/tillsynsmail/S 272-2025 tillsynsbegäran mail.docx", "S 272-2025")</f>
        <v/>
      </c>
      <c r="AE56">
        <f>HYPERLINK("https://klasma.github.io/Logging_0862/fåglar/S 272-2025 prioriterade fågelarter.docx", "S 272-2025")</f>
        <v/>
      </c>
    </row>
    <row r="57" ht="15" customHeight="1">
      <c r="A57" t="inlineStr">
        <is>
          <t>S 1773-2025</t>
        </is>
      </c>
      <c r="B57" t="inlineStr">
        <is>
          <t>samrådsanmälan</t>
        </is>
      </c>
      <c r="C57" t="inlineStr">
        <is>
          <t>Askåterföring</t>
        </is>
      </c>
      <c r="D57" s="1" t="n">
        <v>45813</v>
      </c>
      <c r="E57" s="1" t="n">
        <v>46313</v>
      </c>
      <c r="F57" t="inlineStr">
        <is>
          <t>KALMAR LÄN</t>
        </is>
      </c>
      <c r="G57" t="inlineStr">
        <is>
          <t>EMMABODA</t>
        </is>
      </c>
      <c r="I57" t="n">
        <v>36.9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s="2" t="inlineStr">
        <is>
          <t>Lappuggla</t>
        </is>
      </c>
      <c r="W57">
        <f>HYPERLINK("https://klasma.github.io/Logging_0862/artfynd/S 1773-2025 artfynd.xlsx", "S 1773-2025")</f>
        <v/>
      </c>
      <c r="X57">
        <f>HYPERLINK("https://klasma.github.io/Logging_0862/kartor/S 1773-2025 karta.png", "S 1773-2025")</f>
        <v/>
      </c>
      <c r="Y57">
        <f>HYPERLINK("https://klasma.github.io/Logging_0862/kartor_geotiff/S 1773-2025 georefererad karta.tif", "S 1773-2025")</f>
        <v/>
      </c>
      <c r="AA57">
        <f>HYPERLINK("https://klasma.github.io/Logging_0862/klagomål/S 1773-2025 FSC-klagomål.docx", "S 1773-2025")</f>
        <v/>
      </c>
      <c r="AB57">
        <f>HYPERLINK("https://klasma.github.io/Logging_0862/klagomålsmail/S 1773-2025 FSC-klagomål mail.docx", "S 1773-2025")</f>
        <v/>
      </c>
      <c r="AC57">
        <f>HYPERLINK("https://klasma.github.io/Logging_0862/tillsyn/S 1773-2025 tillsynsbegäran.docx", "S 1773-2025")</f>
        <v/>
      </c>
      <c r="AD57">
        <f>HYPERLINK("https://klasma.github.io/Logging_0862/tillsynsmail/S 1773-2025 tillsynsbegäran mail.docx", "S 1773-2025")</f>
        <v/>
      </c>
      <c r="AE57">
        <f>HYPERLINK("https://klasma.github.io/Logging_0862/fåglar/S 1773-2025 prioriterade fågelarter.docx", "S 1773-2025")</f>
        <v/>
      </c>
    </row>
    <row r="58" ht="15" customHeight="1">
      <c r="A58" t="inlineStr">
        <is>
          <t>S 2373-2026</t>
        </is>
      </c>
      <c r="B58" t="inlineStr">
        <is>
          <t>samrådsanmälan</t>
        </is>
      </c>
      <c r="C58" t="inlineStr">
        <is>
          <t>Askåterföring</t>
        </is>
      </c>
      <c r="D58" s="1" t="n">
        <v>46275</v>
      </c>
      <c r="E58" s="1" t="n">
        <v>46313</v>
      </c>
      <c r="F58" t="inlineStr">
        <is>
          <t>KALMAR LÄN</t>
        </is>
      </c>
      <c r="G58" t="inlineStr">
        <is>
          <t>EMMABODA</t>
        </is>
      </c>
      <c r="I58" t="n">
        <v>50.4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1</v>
      </c>
      <c r="U58" t="n">
        <v>0</v>
      </c>
      <c r="V58" s="2" t="inlineStr">
        <is>
          <t>Spillkråka</t>
        </is>
      </c>
      <c r="W58">
        <f>HYPERLINK("https://klasma.github.io/Logging_0862/artfynd/S 2373-2026 artfynd.xlsx", "S 2373-2026")</f>
        <v/>
      </c>
      <c r="X58">
        <f>HYPERLINK("https://klasma.github.io/Logging_0862/kartor/S 2373-2026 karta.png", "S 2373-2026")</f>
        <v/>
      </c>
      <c r="Y58">
        <f>HYPERLINK("https://klasma.github.io/Logging_0862/kartor_geotiff/S 2373-2026 georefererad karta.tif", "S 2373-2026")</f>
        <v/>
      </c>
      <c r="AA58">
        <f>HYPERLINK("https://klasma.github.io/Logging_0862/klagomål/S 2373-2026 FSC-klagomål.docx", "S 2373-2026")</f>
        <v/>
      </c>
      <c r="AB58">
        <f>HYPERLINK("https://klasma.github.io/Logging_0862/klagomålsmail/S 2373-2026 FSC-klagomål mail.docx", "S 2373-2026")</f>
        <v/>
      </c>
      <c r="AC58">
        <f>HYPERLINK("https://klasma.github.io/Logging_0862/tillsyn/S 2373-2026 tillsynsbegäran.docx", "S 2373-2026")</f>
        <v/>
      </c>
      <c r="AD58">
        <f>HYPERLINK("https://klasma.github.io/Logging_0862/tillsynsmail/S 2373-2026 tillsynsbegäran mail.docx", "S 2373-2026")</f>
        <v/>
      </c>
      <c r="AE58">
        <f>HYPERLINK("https://klasma.github.io/Logging_0862/fåglar/S 2373-2026 prioriterade fågelarter.docx", "S 2373-2026")</f>
        <v/>
      </c>
    </row>
    <row r="59" ht="15" customHeight="1">
      <c r="A59" t="inlineStr">
        <is>
          <t>A 68897-2021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44530</v>
      </c>
      <c r="E59" s="1" t="n">
        <v>46313</v>
      </c>
      <c r="F59" t="inlineStr">
        <is>
          <t>KALMAR LÄN</t>
        </is>
      </c>
      <c r="G59" t="inlineStr">
        <is>
          <t>EMMABODA</t>
        </is>
      </c>
      <c r="I59" t="n">
        <v>1.2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58463-2021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44488</v>
      </c>
      <c r="E60" s="1" t="n">
        <v>46313</v>
      </c>
      <c r="F60" t="inlineStr">
        <is>
          <t>KALMAR LÄN</t>
        </is>
      </c>
      <c r="G60" t="inlineStr">
        <is>
          <t>EMMABODA</t>
        </is>
      </c>
      <c r="I60" t="n">
        <v>3.1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30744-2022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44764</v>
      </c>
      <c r="E61" s="1" t="n">
        <v>46313</v>
      </c>
      <c r="F61" t="inlineStr">
        <is>
          <t>KALMAR LÄN</t>
        </is>
      </c>
      <c r="G61" t="inlineStr">
        <is>
          <t>EMMABODA</t>
        </is>
      </c>
      <c r="I61" t="n">
        <v>0.5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68900-2021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44530</v>
      </c>
      <c r="E62" s="1" t="n">
        <v>46313</v>
      </c>
      <c r="F62" t="inlineStr">
        <is>
          <t>KALMAR LÄN</t>
        </is>
      </c>
      <c r="G62" t="inlineStr">
        <is>
          <t>EMMABODA</t>
        </is>
      </c>
      <c r="I62" t="n">
        <v>3.9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60528-2021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44496</v>
      </c>
      <c r="E63" s="1" t="n">
        <v>46313</v>
      </c>
      <c r="F63" t="inlineStr">
        <is>
          <t>KALMAR LÄN</t>
        </is>
      </c>
      <c r="G63" t="inlineStr">
        <is>
          <t>EMMABODA</t>
        </is>
      </c>
      <c r="I63" t="n">
        <v>1.6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68509-2021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44529</v>
      </c>
      <c r="E64" s="1" t="n">
        <v>46313</v>
      </c>
      <c r="F64" t="inlineStr">
        <is>
          <t>KALMAR LÄN</t>
        </is>
      </c>
      <c r="G64" t="inlineStr">
        <is>
          <t>EMMABODA</t>
        </is>
      </c>
      <c r="I64" t="n">
        <v>0.6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59012-2021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44490</v>
      </c>
      <c r="E65" s="1" t="n">
        <v>46313</v>
      </c>
      <c r="F65" t="inlineStr">
        <is>
          <t>KALMAR LÄN</t>
        </is>
      </c>
      <c r="G65" t="inlineStr">
        <is>
          <t>EMMABODA</t>
        </is>
      </c>
      <c r="I65" t="n">
        <v>2.3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6445-2022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44601</v>
      </c>
      <c r="E66" s="1" t="n">
        <v>46313</v>
      </c>
      <c r="F66" t="inlineStr">
        <is>
          <t>KALMAR LÄN</t>
        </is>
      </c>
      <c r="G66" t="inlineStr">
        <is>
          <t>EMMABODA</t>
        </is>
      </c>
      <c r="I66" t="n">
        <v>0.5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6298-2022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44600</v>
      </c>
      <c r="E67" s="1" t="n">
        <v>46313</v>
      </c>
      <c r="F67" t="inlineStr">
        <is>
          <t>KALMAR LÄN</t>
        </is>
      </c>
      <c r="G67" t="inlineStr">
        <is>
          <t>EMMABODA</t>
        </is>
      </c>
      <c r="I67" t="n">
        <v>0.8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63189-2021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44507</v>
      </c>
      <c r="E68" s="1" t="n">
        <v>46313</v>
      </c>
      <c r="F68" t="inlineStr">
        <is>
          <t>KALMAR LÄN</t>
        </is>
      </c>
      <c r="G68" t="inlineStr">
        <is>
          <t>EMMABODA</t>
        </is>
      </c>
      <c r="I68" t="n">
        <v>0.5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63193-2021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44507</v>
      </c>
      <c r="E69" s="1" t="n">
        <v>46313</v>
      </c>
      <c r="F69" t="inlineStr">
        <is>
          <t>KALMAR LÄN</t>
        </is>
      </c>
      <c r="G69" t="inlineStr">
        <is>
          <t>EMMABODA</t>
        </is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63194-2021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44507</v>
      </c>
      <c r="E70" s="1" t="n">
        <v>46313</v>
      </c>
      <c r="F70" t="inlineStr">
        <is>
          <t>KALMAR LÄN</t>
        </is>
      </c>
      <c r="G70" t="inlineStr">
        <is>
          <t>EMMABODA</t>
        </is>
      </c>
      <c r="I70" t="n">
        <v>5.2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24984-2022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44728</v>
      </c>
      <c r="E71" s="1" t="n">
        <v>46313</v>
      </c>
      <c r="F71" t="inlineStr">
        <is>
          <t>KALMAR LÄN</t>
        </is>
      </c>
      <c r="G71" t="inlineStr">
        <is>
          <t>EMMABODA</t>
        </is>
      </c>
      <c r="I71" t="n">
        <v>0.3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6135-2022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44599</v>
      </c>
      <c r="E72" s="1" t="n">
        <v>46313</v>
      </c>
      <c r="F72" t="inlineStr">
        <is>
          <t>KALMAR LÄN</t>
        </is>
      </c>
      <c r="G72" t="inlineStr">
        <is>
          <t>EMMABODA</t>
        </is>
      </c>
      <c r="I72" t="n">
        <v>0.4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60541-2021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44496</v>
      </c>
      <c r="E73" s="1" t="n">
        <v>46313</v>
      </c>
      <c r="F73" t="inlineStr">
        <is>
          <t>KALMAR LÄN</t>
        </is>
      </c>
      <c r="G73" t="inlineStr">
        <is>
          <t>EMMABODA</t>
        </is>
      </c>
      <c r="I73" t="n">
        <v>1.7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19163-2022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44691</v>
      </c>
      <c r="E74" s="1" t="n">
        <v>46313</v>
      </c>
      <c r="F74" t="inlineStr">
        <is>
          <t>KALMAR LÄN</t>
        </is>
      </c>
      <c r="G74" t="inlineStr">
        <is>
          <t>EMMABODA</t>
        </is>
      </c>
      <c r="I74" t="n">
        <v>2.4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10954-2022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44628</v>
      </c>
      <c r="E75" s="1" t="n">
        <v>46313</v>
      </c>
      <c r="F75" t="inlineStr">
        <is>
          <t>KALMAR LÄN</t>
        </is>
      </c>
      <c r="G75" t="inlineStr">
        <is>
          <t>EMMABODA</t>
        </is>
      </c>
      <c r="I75" t="n">
        <v>0.4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62735-2021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44504</v>
      </c>
      <c r="E76" s="1" t="n">
        <v>46313</v>
      </c>
      <c r="F76" t="inlineStr">
        <is>
          <t>KALMAR LÄN</t>
        </is>
      </c>
      <c r="G76" t="inlineStr">
        <is>
          <t>EMMABODA</t>
        </is>
      </c>
      <c r="I76" t="n">
        <v>0.7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65141-2021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44515</v>
      </c>
      <c r="E77" s="1" t="n">
        <v>46313</v>
      </c>
      <c r="F77" t="inlineStr">
        <is>
          <t>KALMAR LÄN</t>
        </is>
      </c>
      <c r="G77" t="inlineStr">
        <is>
          <t>EMMABODA</t>
        </is>
      </c>
      <c r="I77" t="n">
        <v>0.6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46721-2022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44851</v>
      </c>
      <c r="E78" s="1" t="n">
        <v>46313</v>
      </c>
      <c r="F78" t="inlineStr">
        <is>
          <t>KALMAR LÄN</t>
        </is>
      </c>
      <c r="G78" t="inlineStr">
        <is>
          <t>EMMABODA</t>
        </is>
      </c>
      <c r="I78" t="n">
        <v>0.6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49159-2022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44860</v>
      </c>
      <c r="E79" s="1" t="n">
        <v>46313</v>
      </c>
      <c r="F79" t="inlineStr">
        <is>
          <t>KALMAR LÄN</t>
        </is>
      </c>
      <c r="G79" t="inlineStr">
        <is>
          <t>EMMABODA</t>
        </is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13518-2022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44648</v>
      </c>
      <c r="E80" s="1" t="n">
        <v>46313</v>
      </c>
      <c r="F80" t="inlineStr">
        <is>
          <t>KALMAR LÄN</t>
        </is>
      </c>
      <c r="G80" t="inlineStr">
        <is>
          <t>EMMABODA</t>
        </is>
      </c>
      <c r="I80" t="n">
        <v>0.7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67184-2021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44523</v>
      </c>
      <c r="E81" s="1" t="n">
        <v>46313</v>
      </c>
      <c r="F81" t="inlineStr">
        <is>
          <t>KALMAR LÄN</t>
        </is>
      </c>
      <c r="G81" t="inlineStr">
        <is>
          <t>EMMABODA</t>
        </is>
      </c>
      <c r="I81" t="n">
        <v>1.6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10962-2022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44628</v>
      </c>
      <c r="E82" s="1" t="n">
        <v>46313</v>
      </c>
      <c r="F82" t="inlineStr">
        <is>
          <t>KALMAR LÄN</t>
        </is>
      </c>
      <c r="G82" t="inlineStr">
        <is>
          <t>EMMABODA</t>
        </is>
      </c>
      <c r="I82" t="n">
        <v>0.7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33452-2022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44788</v>
      </c>
      <c r="E83" s="1" t="n">
        <v>46313</v>
      </c>
      <c r="F83" t="inlineStr">
        <is>
          <t>KALMAR LÄN</t>
        </is>
      </c>
      <c r="G83" t="inlineStr">
        <is>
          <t>EMMABODA</t>
        </is>
      </c>
      <c r="I83" t="n">
        <v>0.6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10736-2022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44627</v>
      </c>
      <c r="E84" s="1" t="n">
        <v>46313</v>
      </c>
      <c r="F84" t="inlineStr">
        <is>
          <t>KALMAR LÄN</t>
        </is>
      </c>
      <c r="G84" t="inlineStr">
        <is>
          <t>EMMABODA</t>
        </is>
      </c>
      <c r="I84" t="n">
        <v>0.5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61180-2021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44498</v>
      </c>
      <c r="E85" s="1" t="n">
        <v>46313</v>
      </c>
      <c r="F85" t="inlineStr">
        <is>
          <t>KALMAR LÄN</t>
        </is>
      </c>
      <c r="G85" t="inlineStr">
        <is>
          <t>EMMABODA</t>
        </is>
      </c>
      <c r="I85" t="n">
        <v>0.7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31033-2022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44768</v>
      </c>
      <c r="E86" s="1" t="n">
        <v>46313</v>
      </c>
      <c r="F86" t="inlineStr">
        <is>
          <t>KALMAR LÄN</t>
        </is>
      </c>
      <c r="G86" t="inlineStr">
        <is>
          <t>EMMABODA</t>
        </is>
      </c>
      <c r="I86" t="n">
        <v>0.8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46776-2022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44851</v>
      </c>
      <c r="E87" s="1" t="n">
        <v>46313</v>
      </c>
      <c r="F87" t="inlineStr">
        <is>
          <t>KALMAR LÄN</t>
        </is>
      </c>
      <c r="G87" t="inlineStr">
        <is>
          <t>EMMABODA</t>
        </is>
      </c>
      <c r="I87" t="n">
        <v>0.7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68368-2021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44529</v>
      </c>
      <c r="E88" s="1" t="n">
        <v>46313</v>
      </c>
      <c r="F88" t="inlineStr">
        <is>
          <t>KALMAR LÄN</t>
        </is>
      </c>
      <c r="G88" t="inlineStr">
        <is>
          <t>EMMABODA</t>
        </is>
      </c>
      <c r="I88" t="n">
        <v>0.5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38448-2022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44813</v>
      </c>
      <c r="E89" s="1" t="n">
        <v>46313</v>
      </c>
      <c r="F89" t="inlineStr">
        <is>
          <t>KALMAR LÄN</t>
        </is>
      </c>
      <c r="G89" t="inlineStr">
        <is>
          <t>EMMABODA</t>
        </is>
      </c>
      <c r="I89" t="n">
        <v>0.8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37405-2022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44809</v>
      </c>
      <c r="E90" s="1" t="n">
        <v>46313</v>
      </c>
      <c r="F90" t="inlineStr">
        <is>
          <t>KALMAR LÄN</t>
        </is>
      </c>
      <c r="G90" t="inlineStr">
        <is>
          <t>EMMABODA</t>
        </is>
      </c>
      <c r="I90" t="n">
        <v>5.6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31291-2022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44771</v>
      </c>
      <c r="E91" s="1" t="n">
        <v>46313</v>
      </c>
      <c r="F91" t="inlineStr">
        <is>
          <t>KALMAR LÄN</t>
        </is>
      </c>
      <c r="G91" t="inlineStr">
        <is>
          <t>EMMABODA</t>
        </is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3859-2022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44587</v>
      </c>
      <c r="E92" s="1" t="n">
        <v>46313</v>
      </c>
      <c r="F92" t="inlineStr">
        <is>
          <t>KALMAR LÄN</t>
        </is>
      </c>
      <c r="G92" t="inlineStr">
        <is>
          <t>EMMABODA</t>
        </is>
      </c>
      <c r="I92" t="n">
        <v>0.6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60540-2021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44496</v>
      </c>
      <c r="E93" s="1" t="n">
        <v>46313</v>
      </c>
      <c r="F93" t="inlineStr">
        <is>
          <t>KALMAR LÄN</t>
        </is>
      </c>
      <c r="G93" t="inlineStr">
        <is>
          <t>EMMABODA</t>
        </is>
      </c>
      <c r="I93" t="n">
        <v>1.4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63181-2021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44507</v>
      </c>
      <c r="E94" s="1" t="n">
        <v>46313</v>
      </c>
      <c r="F94" t="inlineStr">
        <is>
          <t>KALMAR LÄN</t>
        </is>
      </c>
      <c r="G94" t="inlineStr">
        <is>
          <t>EMMABODA</t>
        </is>
      </c>
      <c r="I94" t="n">
        <v>3.7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63191-2021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44507</v>
      </c>
      <c r="E95" s="1" t="n">
        <v>46313</v>
      </c>
      <c r="F95" t="inlineStr">
        <is>
          <t>KALMAR LÄN</t>
        </is>
      </c>
      <c r="G95" t="inlineStr">
        <is>
          <t>EMMABODA</t>
        </is>
      </c>
      <c r="I95" t="n">
        <v>1.5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58126-2021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44487</v>
      </c>
      <c r="E96" s="1" t="n">
        <v>46313</v>
      </c>
      <c r="F96" t="inlineStr">
        <is>
          <t>KALMAR LÄN</t>
        </is>
      </c>
      <c r="G96" t="inlineStr">
        <is>
          <t>EMMABODA</t>
        </is>
      </c>
      <c r="H96" t="inlineStr">
        <is>
          <t>Kommuner</t>
        </is>
      </c>
      <c r="I96" t="n">
        <v>1.6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14374-2022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44652</v>
      </c>
      <c r="E97" s="1" t="n">
        <v>46313</v>
      </c>
      <c r="F97" t="inlineStr">
        <is>
          <t>KALMAR LÄN</t>
        </is>
      </c>
      <c r="G97" t="inlineStr">
        <is>
          <t>EMMABODA</t>
        </is>
      </c>
      <c r="I97" t="n">
        <v>0.5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6347-2022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44600</v>
      </c>
      <c r="E98" s="1" t="n">
        <v>46313</v>
      </c>
      <c r="F98" t="inlineStr">
        <is>
          <t>KALMAR LÄN</t>
        </is>
      </c>
      <c r="G98" t="inlineStr">
        <is>
          <t>EMMABODA</t>
        </is>
      </c>
      <c r="I98" t="n">
        <v>0.6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10960-2022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44628</v>
      </c>
      <c r="E99" s="1" t="n">
        <v>46313</v>
      </c>
      <c r="F99" t="inlineStr">
        <is>
          <t>KALMAR LÄN</t>
        </is>
      </c>
      <c r="G99" t="inlineStr">
        <is>
          <t>EMMABODA</t>
        </is>
      </c>
      <c r="I99" t="n">
        <v>0.7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6259-2022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44600</v>
      </c>
      <c r="E100" s="1" t="n">
        <v>46313</v>
      </c>
      <c r="F100" t="inlineStr">
        <is>
          <t>KALMAR LÄN</t>
        </is>
      </c>
      <c r="G100" t="inlineStr">
        <is>
          <t>EMMABODA</t>
        </is>
      </c>
      <c r="I100" t="n">
        <v>1.5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47109-2022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44852</v>
      </c>
      <c r="E101" s="1" t="n">
        <v>46313</v>
      </c>
      <c r="F101" t="inlineStr">
        <is>
          <t>KALMAR LÄN</t>
        </is>
      </c>
      <c r="G101" t="inlineStr">
        <is>
          <t>EMMABODA</t>
        </is>
      </c>
      <c r="I101" t="n">
        <v>0.7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61590-2021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44501</v>
      </c>
      <c r="E102" s="1" t="n">
        <v>46313</v>
      </c>
      <c r="F102" t="inlineStr">
        <is>
          <t>KALMAR LÄN</t>
        </is>
      </c>
      <c r="G102" t="inlineStr">
        <is>
          <t>EMMABODA</t>
        </is>
      </c>
      <c r="I102" t="n">
        <v>0.6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44068-2022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44839</v>
      </c>
      <c r="E103" s="1" t="n">
        <v>46313</v>
      </c>
      <c r="F103" t="inlineStr">
        <is>
          <t>KALMAR LÄN</t>
        </is>
      </c>
      <c r="G103" t="inlineStr">
        <is>
          <t>EMMABODA</t>
        </is>
      </c>
      <c r="I103" t="n">
        <v>0.5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9052-2022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44615</v>
      </c>
      <c r="E104" s="1" t="n">
        <v>46313</v>
      </c>
      <c r="F104" t="inlineStr">
        <is>
          <t>KALMAR LÄN</t>
        </is>
      </c>
      <c r="G104" t="inlineStr">
        <is>
          <t>EMMABODA</t>
        </is>
      </c>
      <c r="H104" t="inlineStr">
        <is>
          <t>Kommuner</t>
        </is>
      </c>
      <c r="I104" t="n">
        <v>5.9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10219-2022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44622</v>
      </c>
      <c r="E105" s="1" t="n">
        <v>46313</v>
      </c>
      <c r="F105" t="inlineStr">
        <is>
          <t>KALMAR LÄN</t>
        </is>
      </c>
      <c r="G105" t="inlineStr">
        <is>
          <t>EMMABODA</t>
        </is>
      </c>
      <c r="I105" t="n">
        <v>0.5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67653-2021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44524</v>
      </c>
      <c r="E106" s="1" t="n">
        <v>46313</v>
      </c>
      <c r="F106" t="inlineStr">
        <is>
          <t>KALMAR LÄN</t>
        </is>
      </c>
      <c r="G106" t="inlineStr">
        <is>
          <t>EMMABODA</t>
        </is>
      </c>
      <c r="I106" t="n">
        <v>0.8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22189-2022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44712</v>
      </c>
      <c r="E107" s="1" t="n">
        <v>46313</v>
      </c>
      <c r="F107" t="inlineStr">
        <is>
          <t>KALMAR LÄN</t>
        </is>
      </c>
      <c r="G107" t="inlineStr">
        <is>
          <t>EMMABODA</t>
        </is>
      </c>
      <c r="I107" t="n">
        <v>0.5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27660-2022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44743</v>
      </c>
      <c r="E108" s="1" t="n">
        <v>46313</v>
      </c>
      <c r="F108" t="inlineStr">
        <is>
          <t>KALMAR LÄN</t>
        </is>
      </c>
      <c r="G108" t="inlineStr">
        <is>
          <t>EMMABODA</t>
        </is>
      </c>
      <c r="I108" t="n">
        <v>1.9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23829-2022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44722</v>
      </c>
      <c r="E109" s="1" t="n">
        <v>46313</v>
      </c>
      <c r="F109" t="inlineStr">
        <is>
          <t>KALMAR LÄN</t>
        </is>
      </c>
      <c r="G109" t="inlineStr">
        <is>
          <t>EMMABODA</t>
        </is>
      </c>
      <c r="I109" t="n">
        <v>0.5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69857-2021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44532</v>
      </c>
      <c r="E110" s="1" t="n">
        <v>46313</v>
      </c>
      <c r="F110" t="inlineStr">
        <is>
          <t>KALMAR LÄN</t>
        </is>
      </c>
      <c r="G110" t="inlineStr">
        <is>
          <t>EMMABODA</t>
        </is>
      </c>
      <c r="H110" t="inlineStr">
        <is>
          <t>Sveaskog</t>
        </is>
      </c>
      <c r="I110" t="n">
        <v>1.3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5016-2022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44593</v>
      </c>
      <c r="E111" s="1" t="n">
        <v>46313</v>
      </c>
      <c r="F111" t="inlineStr">
        <is>
          <t>KALMAR LÄN</t>
        </is>
      </c>
      <c r="G111" t="inlineStr">
        <is>
          <t>EMMABODA</t>
        </is>
      </c>
      <c r="I111" t="n">
        <v>0.2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20504-2022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44699</v>
      </c>
      <c r="E112" s="1" t="n">
        <v>46313</v>
      </c>
      <c r="F112" t="inlineStr">
        <is>
          <t>KALMAR LÄN</t>
        </is>
      </c>
      <c r="G112" t="inlineStr">
        <is>
          <t>EMMABODA</t>
        </is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14381-2022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44652</v>
      </c>
      <c r="E113" s="1" t="n">
        <v>46313</v>
      </c>
      <c r="F113" t="inlineStr">
        <is>
          <t>KALMAR LÄN</t>
        </is>
      </c>
      <c r="G113" t="inlineStr">
        <is>
          <t>EMMABODA</t>
        </is>
      </c>
      <c r="I113" t="n">
        <v>2.2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40934-2022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44820</v>
      </c>
      <c r="E114" s="1" t="n">
        <v>46313</v>
      </c>
      <c r="F114" t="inlineStr">
        <is>
          <t>KALMAR LÄN</t>
        </is>
      </c>
      <c r="G114" t="inlineStr">
        <is>
          <t>EMMABODA</t>
        </is>
      </c>
      <c r="H114" t="inlineStr">
        <is>
          <t>Övriga Aktiebolag</t>
        </is>
      </c>
      <c r="I114" t="n">
        <v>1.5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46207-2022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44847</v>
      </c>
      <c r="E115" s="1" t="n">
        <v>46313</v>
      </c>
      <c r="F115" t="inlineStr">
        <is>
          <t>KALMAR LÄN</t>
        </is>
      </c>
      <c r="G115" t="inlineStr">
        <is>
          <t>EMMABODA</t>
        </is>
      </c>
      <c r="I115" t="n">
        <v>0.9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27678-2022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44743</v>
      </c>
      <c r="E116" s="1" t="n">
        <v>46313</v>
      </c>
      <c r="F116" t="inlineStr">
        <is>
          <t>KALMAR LÄN</t>
        </is>
      </c>
      <c r="G116" t="inlineStr">
        <is>
          <t>EMMABODA</t>
        </is>
      </c>
      <c r="I116" t="n">
        <v>0.9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58312-2021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44488</v>
      </c>
      <c r="E117" s="1" t="n">
        <v>46313</v>
      </c>
      <c r="F117" t="inlineStr">
        <is>
          <t>KALMAR LÄN</t>
        </is>
      </c>
      <c r="G117" t="inlineStr">
        <is>
          <t>EMMABODA</t>
        </is>
      </c>
      <c r="H117" t="inlineStr">
        <is>
          <t>Kommuner</t>
        </is>
      </c>
      <c r="I117" t="n">
        <v>2.6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4393-2022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44589</v>
      </c>
      <c r="E118" s="1" t="n">
        <v>46313</v>
      </c>
      <c r="F118" t="inlineStr">
        <is>
          <t>KALMAR LÄN</t>
        </is>
      </c>
      <c r="G118" t="inlineStr">
        <is>
          <t>EMMABODA</t>
        </is>
      </c>
      <c r="I118" t="n">
        <v>0.7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73552-2021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44551</v>
      </c>
      <c r="E119" s="1" t="n">
        <v>46313</v>
      </c>
      <c r="F119" t="inlineStr">
        <is>
          <t>KALMAR LÄN</t>
        </is>
      </c>
      <c r="G119" t="inlineStr">
        <is>
          <t>EMMABODA</t>
        </is>
      </c>
      <c r="H119" t="inlineStr">
        <is>
          <t>Kommuner</t>
        </is>
      </c>
      <c r="I119" t="n">
        <v>0.5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6262-2022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44600</v>
      </c>
      <c r="E120" s="1" t="n">
        <v>46313</v>
      </c>
      <c r="F120" t="inlineStr">
        <is>
          <t>KALMAR LÄN</t>
        </is>
      </c>
      <c r="G120" t="inlineStr">
        <is>
          <t>EMMABODA</t>
        </is>
      </c>
      <c r="I120" t="n">
        <v>3.4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24268-2022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44725</v>
      </c>
      <c r="E121" s="1" t="n">
        <v>46313</v>
      </c>
      <c r="F121" t="inlineStr">
        <is>
          <t>KALMAR LÄN</t>
        </is>
      </c>
      <c r="G121" t="inlineStr">
        <is>
          <t>EMMABODA</t>
        </is>
      </c>
      <c r="I121" t="n">
        <v>0.6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6264-2022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44600</v>
      </c>
      <c r="E122" s="1" t="n">
        <v>46313</v>
      </c>
      <c r="F122" t="inlineStr">
        <is>
          <t>KALMAR LÄN</t>
        </is>
      </c>
      <c r="G122" t="inlineStr">
        <is>
          <t>EMMABODA</t>
        </is>
      </c>
      <c r="I122" t="n">
        <v>1.4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14693-2022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44655</v>
      </c>
      <c r="E123" s="1" t="n">
        <v>46313</v>
      </c>
      <c r="F123" t="inlineStr">
        <is>
          <t>KALMAR LÄN</t>
        </is>
      </c>
      <c r="G123" t="inlineStr">
        <is>
          <t>EMMABODA</t>
        </is>
      </c>
      <c r="I123" t="n">
        <v>0.6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68952-2021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44530</v>
      </c>
      <c r="E124" s="1" t="n">
        <v>46313</v>
      </c>
      <c r="F124" t="inlineStr">
        <is>
          <t>KALMAR LÄN</t>
        </is>
      </c>
      <c r="G124" t="inlineStr">
        <is>
          <t>EMMABODA</t>
        </is>
      </c>
      <c r="I124" t="n">
        <v>3.9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9246-2023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44980</v>
      </c>
      <c r="E125" s="1" t="n">
        <v>46313</v>
      </c>
      <c r="F125" t="inlineStr">
        <is>
          <t>KALMAR LÄN</t>
        </is>
      </c>
      <c r="G125" t="inlineStr">
        <is>
          <t>EMMABODA</t>
        </is>
      </c>
      <c r="I125" t="n">
        <v>7.8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33457-2022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44788</v>
      </c>
      <c r="E126" s="1" t="n">
        <v>46313</v>
      </c>
      <c r="F126" t="inlineStr">
        <is>
          <t>KALMAR LÄN</t>
        </is>
      </c>
      <c r="G126" t="inlineStr">
        <is>
          <t>EMMABODA</t>
        </is>
      </c>
      <c r="I126" t="n">
        <v>1.4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22150-2024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45445</v>
      </c>
      <c r="E127" s="1" t="n">
        <v>46313</v>
      </c>
      <c r="F127" t="inlineStr">
        <is>
          <t>KALMAR LÄN</t>
        </is>
      </c>
      <c r="G127" t="inlineStr">
        <is>
          <t>EMMABODA</t>
        </is>
      </c>
      <c r="I127" t="n">
        <v>1.2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14670-2024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45397</v>
      </c>
      <c r="E128" s="1" t="n">
        <v>46313</v>
      </c>
      <c r="F128" t="inlineStr">
        <is>
          <t>KALMAR LÄN</t>
        </is>
      </c>
      <c r="G128" t="inlineStr">
        <is>
          <t>EMMABODA</t>
        </is>
      </c>
      <c r="I128" t="n">
        <v>0.8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18947-2022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44690</v>
      </c>
      <c r="E129" s="1" t="n">
        <v>46313</v>
      </c>
      <c r="F129" t="inlineStr">
        <is>
          <t>KALMAR LÄN</t>
        </is>
      </c>
      <c r="G129" t="inlineStr">
        <is>
          <t>EMMABODA</t>
        </is>
      </c>
      <c r="I129" t="n">
        <v>1.1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24228-2023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45079</v>
      </c>
      <c r="E130" s="1" t="n">
        <v>46313</v>
      </c>
      <c r="F130" t="inlineStr">
        <is>
          <t>KALMAR LÄN</t>
        </is>
      </c>
      <c r="G130" t="inlineStr">
        <is>
          <t>EMMABODA</t>
        </is>
      </c>
      <c r="I130" t="n">
        <v>1.2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49584-2023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45211</v>
      </c>
      <c r="E131" s="1" t="n">
        <v>46313</v>
      </c>
      <c r="F131" t="inlineStr">
        <is>
          <t>KALMAR LÄN</t>
        </is>
      </c>
      <c r="G131" t="inlineStr">
        <is>
          <t>EMMABODA</t>
        </is>
      </c>
      <c r="I131" t="n">
        <v>1.4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4175-2023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44953</v>
      </c>
      <c r="E132" s="1" t="n">
        <v>46313</v>
      </c>
      <c r="F132" t="inlineStr">
        <is>
          <t>KALMAR LÄN</t>
        </is>
      </c>
      <c r="G132" t="inlineStr">
        <is>
          <t>EMMABODA</t>
        </is>
      </c>
      <c r="I132" t="n">
        <v>0.8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25417-2023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45089</v>
      </c>
      <c r="E133" s="1" t="n">
        <v>46313</v>
      </c>
      <c r="F133" t="inlineStr">
        <is>
          <t>KALMAR LÄN</t>
        </is>
      </c>
      <c r="G133" t="inlineStr">
        <is>
          <t>EMMABODA</t>
        </is>
      </c>
      <c r="I133" t="n">
        <v>0.5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58689-2023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45251</v>
      </c>
      <c r="E134" s="1" t="n">
        <v>46313</v>
      </c>
      <c r="F134" t="inlineStr">
        <is>
          <t>KALMAR LÄN</t>
        </is>
      </c>
      <c r="G134" t="inlineStr">
        <is>
          <t>EMMABODA</t>
        </is>
      </c>
      <c r="I134" t="n">
        <v>1.7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58156-2021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44487</v>
      </c>
      <c r="E135" s="1" t="n">
        <v>46313</v>
      </c>
      <c r="F135" t="inlineStr">
        <is>
          <t>KALMAR LÄN</t>
        </is>
      </c>
      <c r="G135" t="inlineStr">
        <is>
          <t>EMMABODA</t>
        </is>
      </c>
      <c r="I135" t="n">
        <v>2.2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48352-2024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45590</v>
      </c>
      <c r="E136" s="1" t="n">
        <v>46313</v>
      </c>
      <c r="F136" t="inlineStr">
        <is>
          <t>KALMAR LÄN</t>
        </is>
      </c>
      <c r="G136" t="inlineStr">
        <is>
          <t>EMMABODA</t>
        </is>
      </c>
      <c r="I136" t="n">
        <v>0.4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16805-2024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45411</v>
      </c>
      <c r="E137" s="1" t="n">
        <v>46313</v>
      </c>
      <c r="F137" t="inlineStr">
        <is>
          <t>KALMAR LÄN</t>
        </is>
      </c>
      <c r="G137" t="inlineStr">
        <is>
          <t>EMMABODA</t>
        </is>
      </c>
      <c r="I137" t="n">
        <v>0.5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28295-2023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45099</v>
      </c>
      <c r="E138" s="1" t="n">
        <v>46313</v>
      </c>
      <c r="F138" t="inlineStr">
        <is>
          <t>KALMAR LÄN</t>
        </is>
      </c>
      <c r="G138" t="inlineStr">
        <is>
          <t>EMMABODA</t>
        </is>
      </c>
      <c r="I138" t="n">
        <v>0.9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17975-2023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45040</v>
      </c>
      <c r="E139" s="1" t="n">
        <v>46313</v>
      </c>
      <c r="F139" t="inlineStr">
        <is>
          <t>KALMAR LÄN</t>
        </is>
      </c>
      <c r="G139" t="inlineStr">
        <is>
          <t>EMMABODA</t>
        </is>
      </c>
      <c r="I139" t="n">
        <v>1.3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45060-2023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45191</v>
      </c>
      <c r="E140" s="1" t="n">
        <v>46313</v>
      </c>
      <c r="F140" t="inlineStr">
        <is>
          <t>KALMAR LÄN</t>
        </is>
      </c>
      <c r="G140" t="inlineStr">
        <is>
          <t>EMMABODA</t>
        </is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15960-2023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45022</v>
      </c>
      <c r="E141" s="1" t="n">
        <v>46313</v>
      </c>
      <c r="F141" t="inlineStr">
        <is>
          <t>KALMAR LÄN</t>
        </is>
      </c>
      <c r="G141" t="inlineStr">
        <is>
          <t>EMMABODA</t>
        </is>
      </c>
      <c r="I141" t="n">
        <v>3.7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15962-2023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45022</v>
      </c>
      <c r="E142" s="1" t="n">
        <v>46313</v>
      </c>
      <c r="F142" t="inlineStr">
        <is>
          <t>KALMAR LÄN</t>
        </is>
      </c>
      <c r="G142" t="inlineStr">
        <is>
          <t>EMMABODA</t>
        </is>
      </c>
      <c r="I142" t="n">
        <v>2.4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14083-2024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45392</v>
      </c>
      <c r="E143" s="1" t="n">
        <v>46313</v>
      </c>
      <c r="F143" t="inlineStr">
        <is>
          <t>KALMAR LÄN</t>
        </is>
      </c>
      <c r="G143" t="inlineStr">
        <is>
          <t>EMMABODA</t>
        </is>
      </c>
      <c r="I143" t="n">
        <v>0.9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14377-2022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44652</v>
      </c>
      <c r="E144" s="1" t="n">
        <v>46313</v>
      </c>
      <c r="F144" t="inlineStr">
        <is>
          <t>KALMAR LÄN</t>
        </is>
      </c>
      <c r="G144" t="inlineStr">
        <is>
          <t>EMMABODA</t>
        </is>
      </c>
      <c r="I144" t="n">
        <v>0.5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43746-2023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45187</v>
      </c>
      <c r="E145" s="1" t="n">
        <v>46313</v>
      </c>
      <c r="F145" t="inlineStr">
        <is>
          <t>KALMAR LÄN</t>
        </is>
      </c>
      <c r="G145" t="inlineStr">
        <is>
          <t>EMMABODA</t>
        </is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33052-2023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45126</v>
      </c>
      <c r="E146" s="1" t="n">
        <v>46313</v>
      </c>
      <c r="F146" t="inlineStr">
        <is>
          <t>KALMAR LÄN</t>
        </is>
      </c>
      <c r="G146" t="inlineStr">
        <is>
          <t>EMMABODA</t>
        </is>
      </c>
      <c r="I146" t="n">
        <v>0.6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55174-2023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45237</v>
      </c>
      <c r="E147" s="1" t="n">
        <v>46313</v>
      </c>
      <c r="F147" t="inlineStr">
        <is>
          <t>KALMAR LÄN</t>
        </is>
      </c>
      <c r="G147" t="inlineStr">
        <is>
          <t>EMMABODA</t>
        </is>
      </c>
      <c r="I147" t="n">
        <v>0.6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37637-2023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45159</v>
      </c>
      <c r="E148" s="1" t="n">
        <v>46313</v>
      </c>
      <c r="F148" t="inlineStr">
        <is>
          <t>KALMAR LÄN</t>
        </is>
      </c>
      <c r="G148" t="inlineStr">
        <is>
          <t>EMMABODA</t>
        </is>
      </c>
      <c r="I148" t="n">
        <v>2.4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51135-2023</t>
        </is>
      </c>
      <c r="B149" t="inlineStr">
        <is>
          <t>avverkningsanmälan</t>
        </is>
      </c>
      <c r="C149" t="inlineStr">
        <is>
          <t>Avverkning för annat ändamål</t>
        </is>
      </c>
      <c r="D149" s="1" t="n">
        <v>45219</v>
      </c>
      <c r="E149" s="1" t="n">
        <v>46313</v>
      </c>
      <c r="F149" t="inlineStr">
        <is>
          <t>KALMAR LÄN</t>
        </is>
      </c>
      <c r="G149" t="inlineStr">
        <is>
          <t>EMMABODA</t>
        </is>
      </c>
      <c r="I149" t="n">
        <v>0.6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59227-2024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45637</v>
      </c>
      <c r="E150" s="1" t="n">
        <v>46313</v>
      </c>
      <c r="F150" t="inlineStr">
        <is>
          <t>KALMAR LÄN</t>
        </is>
      </c>
      <c r="G150" t="inlineStr">
        <is>
          <t>EMMABODA</t>
        </is>
      </c>
      <c r="I150" t="n">
        <v>3.7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19395-2023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45049</v>
      </c>
      <c r="E151" s="1" t="n">
        <v>46313</v>
      </c>
      <c r="F151" t="inlineStr">
        <is>
          <t>KALMAR LÄN</t>
        </is>
      </c>
      <c r="G151" t="inlineStr">
        <is>
          <t>EMMABODA</t>
        </is>
      </c>
      <c r="I151" t="n">
        <v>1.4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53686-2023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45230</v>
      </c>
      <c r="E152" s="1" t="n">
        <v>46313</v>
      </c>
      <c r="F152" t="inlineStr">
        <is>
          <t>KALMAR LÄN</t>
        </is>
      </c>
      <c r="G152" t="inlineStr">
        <is>
          <t>EMMABODA</t>
        </is>
      </c>
      <c r="I152" t="n">
        <v>0.5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8002-2023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44973</v>
      </c>
      <c r="E153" s="1" t="n">
        <v>46313</v>
      </c>
      <c r="F153" t="inlineStr">
        <is>
          <t>KALMAR LÄN</t>
        </is>
      </c>
      <c r="G153" t="inlineStr">
        <is>
          <t>EMMABODA</t>
        </is>
      </c>
      <c r="H153" t="inlineStr">
        <is>
          <t>Kommuner</t>
        </is>
      </c>
      <c r="I153" t="n">
        <v>2.4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27551-2024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45474</v>
      </c>
      <c r="E154" s="1" t="n">
        <v>46313</v>
      </c>
      <c r="F154" t="inlineStr">
        <is>
          <t>KALMAR LÄN</t>
        </is>
      </c>
      <c r="G154" t="inlineStr">
        <is>
          <t>EMMABODA</t>
        </is>
      </c>
      <c r="I154" t="n">
        <v>0.5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6535-2024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45341</v>
      </c>
      <c r="E155" s="1" t="n">
        <v>46313</v>
      </c>
      <c r="F155" t="inlineStr">
        <is>
          <t>KALMAR LÄN</t>
        </is>
      </c>
      <c r="G155" t="inlineStr">
        <is>
          <t>EMMABODA</t>
        </is>
      </c>
      <c r="I155" t="n">
        <v>1.4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66658-2021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44519</v>
      </c>
      <c r="E156" s="1" t="n">
        <v>46313</v>
      </c>
      <c r="F156" t="inlineStr">
        <is>
          <t>KALMAR LÄN</t>
        </is>
      </c>
      <c r="G156" t="inlineStr">
        <is>
          <t>EMMABODA</t>
        </is>
      </c>
      <c r="I156" t="n">
        <v>6.3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17826-2022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44683</v>
      </c>
      <c r="E157" s="1" t="n">
        <v>46313</v>
      </c>
      <c r="F157" t="inlineStr">
        <is>
          <t>KALMAR LÄN</t>
        </is>
      </c>
      <c r="G157" t="inlineStr">
        <is>
          <t>EMMABODA</t>
        </is>
      </c>
      <c r="I157" t="n">
        <v>0.6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41296-2024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45559</v>
      </c>
      <c r="E158" s="1" t="n">
        <v>46313</v>
      </c>
      <c r="F158" t="inlineStr">
        <is>
          <t>KALMAR LÄN</t>
        </is>
      </c>
      <c r="G158" t="inlineStr">
        <is>
          <t>EMMABODA</t>
        </is>
      </c>
      <c r="I158" t="n">
        <v>0.5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1172-2022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44572</v>
      </c>
      <c r="E159" s="1" t="n">
        <v>46313</v>
      </c>
      <c r="F159" t="inlineStr">
        <is>
          <t>KALMAR LÄN</t>
        </is>
      </c>
      <c r="G159" t="inlineStr">
        <is>
          <t>EMMABODA</t>
        </is>
      </c>
      <c r="I159" t="n">
        <v>3.2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2166-2024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45309</v>
      </c>
      <c r="E160" s="1" t="n">
        <v>46313</v>
      </c>
      <c r="F160" t="inlineStr">
        <is>
          <t>KALMAR LÄN</t>
        </is>
      </c>
      <c r="G160" t="inlineStr">
        <is>
          <t>EMMABODA</t>
        </is>
      </c>
      <c r="I160" t="n">
        <v>4.1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765-2025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45665</v>
      </c>
      <c r="E161" s="1" t="n">
        <v>46313</v>
      </c>
      <c r="F161" t="inlineStr">
        <is>
          <t>KALMAR LÄN</t>
        </is>
      </c>
      <c r="G161" t="inlineStr">
        <is>
          <t>EMMABODA</t>
        </is>
      </c>
      <c r="I161" t="n">
        <v>0.5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14079-2024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45392</v>
      </c>
      <c r="E162" s="1" t="n">
        <v>46313</v>
      </c>
      <c r="F162" t="inlineStr">
        <is>
          <t>KALMAR LÄN</t>
        </is>
      </c>
      <c r="G162" t="inlineStr">
        <is>
          <t>EMMABODA</t>
        </is>
      </c>
      <c r="I162" t="n">
        <v>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49623-2023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45211</v>
      </c>
      <c r="E163" s="1" t="n">
        <v>46313</v>
      </c>
      <c r="F163" t="inlineStr">
        <is>
          <t>KALMAR LÄN</t>
        </is>
      </c>
      <c r="G163" t="inlineStr">
        <is>
          <t>EMMABODA</t>
        </is>
      </c>
      <c r="I163" t="n">
        <v>0.5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49627-2023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45211</v>
      </c>
      <c r="E164" s="1" t="n">
        <v>46313</v>
      </c>
      <c r="F164" t="inlineStr">
        <is>
          <t>KALMAR LÄN</t>
        </is>
      </c>
      <c r="G164" t="inlineStr">
        <is>
          <t>EMMABODA</t>
        </is>
      </c>
      <c r="I164" t="n">
        <v>2.4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39101-2023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45164</v>
      </c>
      <c r="E165" s="1" t="n">
        <v>46313</v>
      </c>
      <c r="F165" t="inlineStr">
        <is>
          <t>KALMAR LÄN</t>
        </is>
      </c>
      <c r="G165" t="inlineStr">
        <is>
          <t>EMMABODA</t>
        </is>
      </c>
      <c r="I165" t="n">
        <v>1.1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35848-2023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45148</v>
      </c>
      <c r="E166" s="1" t="n">
        <v>46313</v>
      </c>
      <c r="F166" t="inlineStr">
        <is>
          <t>KALMAR LÄN</t>
        </is>
      </c>
      <c r="G166" t="inlineStr">
        <is>
          <t>EMMABODA</t>
        </is>
      </c>
      <c r="I166" t="n">
        <v>2.3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39230-2023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45166</v>
      </c>
      <c r="E167" s="1" t="n">
        <v>46313</v>
      </c>
      <c r="F167" t="inlineStr">
        <is>
          <t>KALMAR LÄN</t>
        </is>
      </c>
      <c r="G167" t="inlineStr">
        <is>
          <t>EMMABODA</t>
        </is>
      </c>
      <c r="I167" t="n">
        <v>1.6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57402-2022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44896</v>
      </c>
      <c r="E168" s="1" t="n">
        <v>46313</v>
      </c>
      <c r="F168" t="inlineStr">
        <is>
          <t>KALMAR LÄN</t>
        </is>
      </c>
      <c r="G168" t="inlineStr">
        <is>
          <t>EMMABODA</t>
        </is>
      </c>
      <c r="I168" t="n">
        <v>1.6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8688-2023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44978</v>
      </c>
      <c r="E169" s="1" t="n">
        <v>46313</v>
      </c>
      <c r="F169" t="inlineStr">
        <is>
          <t>KALMAR LÄN</t>
        </is>
      </c>
      <c r="G169" t="inlineStr">
        <is>
          <t>EMMABODA</t>
        </is>
      </c>
      <c r="I169" t="n">
        <v>0.6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8689-2023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44978</v>
      </c>
      <c r="E170" s="1" t="n">
        <v>46313</v>
      </c>
      <c r="F170" t="inlineStr">
        <is>
          <t>KALMAR LÄN</t>
        </is>
      </c>
      <c r="G170" t="inlineStr">
        <is>
          <t>EMMABODA</t>
        </is>
      </c>
      <c r="I170" t="n">
        <v>1.1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27710-2024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45475</v>
      </c>
      <c r="E171" s="1" t="n">
        <v>46313</v>
      </c>
      <c r="F171" t="inlineStr">
        <is>
          <t>KALMAR LÄN</t>
        </is>
      </c>
      <c r="G171" t="inlineStr">
        <is>
          <t>EMMABODA</t>
        </is>
      </c>
      <c r="I171" t="n">
        <v>0.7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26486-2022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44739</v>
      </c>
      <c r="E172" s="1" t="n">
        <v>46313</v>
      </c>
      <c r="F172" t="inlineStr">
        <is>
          <t>KALMAR LÄN</t>
        </is>
      </c>
      <c r="G172" t="inlineStr">
        <is>
          <t>EMMABODA</t>
        </is>
      </c>
      <c r="I172" t="n">
        <v>1.5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8481-2024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45355</v>
      </c>
      <c r="E173" s="1" t="n">
        <v>46313</v>
      </c>
      <c r="F173" t="inlineStr">
        <is>
          <t>KALMAR LÄN</t>
        </is>
      </c>
      <c r="G173" t="inlineStr">
        <is>
          <t>EMMABODA</t>
        </is>
      </c>
      <c r="I173" t="n">
        <v>0.5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45292-2023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45188</v>
      </c>
      <c r="E174" s="1" t="n">
        <v>46313</v>
      </c>
      <c r="F174" t="inlineStr">
        <is>
          <t>KALMAR LÄN</t>
        </is>
      </c>
      <c r="G174" t="inlineStr">
        <is>
          <t>EMMABODA</t>
        </is>
      </c>
      <c r="H174" t="inlineStr">
        <is>
          <t>Kyrkan</t>
        </is>
      </c>
      <c r="I174" t="n">
        <v>0.5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18291-2024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45422</v>
      </c>
      <c r="E175" s="1" t="n">
        <v>46313</v>
      </c>
      <c r="F175" t="inlineStr">
        <is>
          <t>KALMAR LÄN</t>
        </is>
      </c>
      <c r="G175" t="inlineStr">
        <is>
          <t>EMMABODA</t>
        </is>
      </c>
      <c r="I175" t="n">
        <v>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14415-2024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45394</v>
      </c>
      <c r="E176" s="1" t="n">
        <v>46313</v>
      </c>
      <c r="F176" t="inlineStr">
        <is>
          <t>KALMAR LÄN</t>
        </is>
      </c>
      <c r="G176" t="inlineStr">
        <is>
          <t>EMMABODA</t>
        </is>
      </c>
      <c r="I176" t="n">
        <v>3.2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51650-2024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45606</v>
      </c>
      <c r="E177" s="1" t="n">
        <v>46313</v>
      </c>
      <c r="F177" t="inlineStr">
        <is>
          <t>KALMAR LÄN</t>
        </is>
      </c>
      <c r="G177" t="inlineStr">
        <is>
          <t>EMMABODA</t>
        </is>
      </c>
      <c r="I177" t="n">
        <v>2.3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3344-2023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44949</v>
      </c>
      <c r="E178" s="1" t="n">
        <v>46313</v>
      </c>
      <c r="F178" t="inlineStr">
        <is>
          <t>KALMAR LÄN</t>
        </is>
      </c>
      <c r="G178" t="inlineStr">
        <is>
          <t>EMMABODA</t>
        </is>
      </c>
      <c r="I178" t="n">
        <v>1.2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10699-2024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45369</v>
      </c>
      <c r="E179" s="1" t="n">
        <v>46313</v>
      </c>
      <c r="F179" t="inlineStr">
        <is>
          <t>KALMAR LÄN</t>
        </is>
      </c>
      <c r="G179" t="inlineStr">
        <is>
          <t>EMMABODA</t>
        </is>
      </c>
      <c r="I179" t="n">
        <v>0.5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9577-2023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44982</v>
      </c>
      <c r="E180" s="1" t="n">
        <v>46313</v>
      </c>
      <c r="F180" t="inlineStr">
        <is>
          <t>KALMAR LÄN</t>
        </is>
      </c>
      <c r="G180" t="inlineStr">
        <is>
          <t>EMMABODA</t>
        </is>
      </c>
      <c r="I180" t="n">
        <v>1.1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34032-2022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44791</v>
      </c>
      <c r="E181" s="1" t="n">
        <v>46313</v>
      </c>
      <c r="F181" t="inlineStr">
        <is>
          <t>KALMAR LÄN</t>
        </is>
      </c>
      <c r="G181" t="inlineStr">
        <is>
          <t>EMMABODA</t>
        </is>
      </c>
      <c r="I181" t="n">
        <v>1.4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43256-2022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44834</v>
      </c>
      <c r="E182" s="1" t="n">
        <v>46313</v>
      </c>
      <c r="F182" t="inlineStr">
        <is>
          <t>KALMAR LÄN</t>
        </is>
      </c>
      <c r="G182" t="inlineStr">
        <is>
          <t>EMMABODA</t>
        </is>
      </c>
      <c r="I182" t="n">
        <v>4.6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15410-2023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45019</v>
      </c>
      <c r="E183" s="1" t="n">
        <v>46313</v>
      </c>
      <c r="F183" t="inlineStr">
        <is>
          <t>KALMAR LÄN</t>
        </is>
      </c>
      <c r="G183" t="inlineStr">
        <is>
          <t>EMMABODA</t>
        </is>
      </c>
      <c r="I183" t="n">
        <v>0.5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32561-2022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44783</v>
      </c>
      <c r="E184" s="1" t="n">
        <v>46313</v>
      </c>
      <c r="F184" t="inlineStr">
        <is>
          <t>KALMAR LÄN</t>
        </is>
      </c>
      <c r="G184" t="inlineStr">
        <is>
          <t>EMMABODA</t>
        </is>
      </c>
      <c r="I184" t="n">
        <v>1.6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7840-2024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45349</v>
      </c>
      <c r="E185" s="1" t="n">
        <v>46313</v>
      </c>
      <c r="F185" t="inlineStr">
        <is>
          <t>KALMAR LÄN</t>
        </is>
      </c>
      <c r="G185" t="inlineStr">
        <is>
          <t>EMMABODA</t>
        </is>
      </c>
      <c r="I185" t="n">
        <v>1.8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58136-2021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44487</v>
      </c>
      <c r="E186" s="1" t="n">
        <v>46313</v>
      </c>
      <c r="F186" t="inlineStr">
        <is>
          <t>KALMAR LÄN</t>
        </is>
      </c>
      <c r="G186" t="inlineStr">
        <is>
          <t>EMMABODA</t>
        </is>
      </c>
      <c r="H186" t="inlineStr">
        <is>
          <t>Kommuner</t>
        </is>
      </c>
      <c r="I186" t="n">
        <v>1.9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15700-2023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45021</v>
      </c>
      <c r="E187" s="1" t="n">
        <v>46313</v>
      </c>
      <c r="F187" t="inlineStr">
        <is>
          <t>KALMAR LÄN</t>
        </is>
      </c>
      <c r="G187" t="inlineStr">
        <is>
          <t>EMMABODA</t>
        </is>
      </c>
      <c r="I187" t="n">
        <v>1.7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6299-2022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44600</v>
      </c>
      <c r="E188" s="1" t="n">
        <v>46313</v>
      </c>
      <c r="F188" t="inlineStr">
        <is>
          <t>KALMAR LÄN</t>
        </is>
      </c>
      <c r="G188" t="inlineStr">
        <is>
          <t>EMMABODA</t>
        </is>
      </c>
      <c r="I188" t="n">
        <v>2.1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17712-2024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45415</v>
      </c>
      <c r="E189" s="1" t="n">
        <v>46313</v>
      </c>
      <c r="F189" t="inlineStr">
        <is>
          <t>KALMAR LÄN</t>
        </is>
      </c>
      <c r="G189" t="inlineStr">
        <is>
          <t>EMMABODA</t>
        </is>
      </c>
      <c r="I189" t="n">
        <v>5.1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5073-2022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44593</v>
      </c>
      <c r="E190" s="1" t="n">
        <v>46313</v>
      </c>
      <c r="F190" t="inlineStr">
        <is>
          <t>KALMAR LÄN</t>
        </is>
      </c>
      <c r="G190" t="inlineStr">
        <is>
          <t>EMMABODA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14160-2025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45740</v>
      </c>
      <c r="E191" s="1" t="n">
        <v>46313</v>
      </c>
      <c r="F191" t="inlineStr">
        <is>
          <t>KALMAR LÄN</t>
        </is>
      </c>
      <c r="G191" t="inlineStr">
        <is>
          <t>EMMABODA</t>
        </is>
      </c>
      <c r="I191" t="n">
        <v>0.6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27746-2024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45475</v>
      </c>
      <c r="E192" s="1" t="n">
        <v>46313</v>
      </c>
      <c r="F192" t="inlineStr">
        <is>
          <t>KALMAR LÄN</t>
        </is>
      </c>
      <c r="G192" t="inlineStr">
        <is>
          <t>EMMABODA</t>
        </is>
      </c>
      <c r="I192" t="n">
        <v>0.5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13244-2025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45735</v>
      </c>
      <c r="E193" s="1" t="n">
        <v>46313</v>
      </c>
      <c r="F193" t="inlineStr">
        <is>
          <t>KALMAR LÄN</t>
        </is>
      </c>
      <c r="G193" t="inlineStr">
        <is>
          <t>EMMABODA</t>
        </is>
      </c>
      <c r="I193" t="n">
        <v>0.4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17838-2023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45037</v>
      </c>
      <c r="E194" s="1" t="n">
        <v>46313</v>
      </c>
      <c r="F194" t="inlineStr">
        <is>
          <t>KALMAR LÄN</t>
        </is>
      </c>
      <c r="G194" t="inlineStr">
        <is>
          <t>EMMABODA</t>
        </is>
      </c>
      <c r="I194" t="n">
        <v>8.300000000000001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18946-2022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44690</v>
      </c>
      <c r="E195" s="1" t="n">
        <v>46313</v>
      </c>
      <c r="F195" t="inlineStr">
        <is>
          <t>KALMAR LÄN</t>
        </is>
      </c>
      <c r="G195" t="inlineStr">
        <is>
          <t>EMMABODA</t>
        </is>
      </c>
      <c r="I195" t="n">
        <v>2.5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37093-2023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45155</v>
      </c>
      <c r="E196" s="1" t="n">
        <v>46313</v>
      </c>
      <c r="F196" t="inlineStr">
        <is>
          <t>KALMAR LÄN</t>
        </is>
      </c>
      <c r="G196" t="inlineStr">
        <is>
          <t>EMMABODA</t>
        </is>
      </c>
      <c r="I196" t="n">
        <v>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59914-2024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45641</v>
      </c>
      <c r="E197" s="1" t="n">
        <v>46313</v>
      </c>
      <c r="F197" t="inlineStr">
        <is>
          <t>KALMAR LÄN</t>
        </is>
      </c>
      <c r="G197" t="inlineStr">
        <is>
          <t>EMMABODA</t>
        </is>
      </c>
      <c r="I197" t="n">
        <v>0.3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27705-2024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45475</v>
      </c>
      <c r="E198" s="1" t="n">
        <v>46313</v>
      </c>
      <c r="F198" t="inlineStr">
        <is>
          <t>KALMAR LÄN</t>
        </is>
      </c>
      <c r="G198" t="inlineStr">
        <is>
          <t>EMMABODA</t>
        </is>
      </c>
      <c r="I198" t="n">
        <v>0.5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5018-2022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44593</v>
      </c>
      <c r="E199" s="1" t="n">
        <v>46313</v>
      </c>
      <c r="F199" t="inlineStr">
        <is>
          <t>KALMAR LÄN</t>
        </is>
      </c>
      <c r="G199" t="inlineStr">
        <is>
          <t>EMMABODA</t>
        </is>
      </c>
      <c r="I199" t="n">
        <v>2.3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35522-2022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44799</v>
      </c>
      <c r="E200" s="1" t="n">
        <v>46313</v>
      </c>
      <c r="F200" t="inlineStr">
        <is>
          <t>KALMAR LÄN</t>
        </is>
      </c>
      <c r="G200" t="inlineStr">
        <is>
          <t>EMMABODA</t>
        </is>
      </c>
      <c r="I200" t="n">
        <v>1.1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33065-2023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45126</v>
      </c>
      <c r="E201" s="1" t="n">
        <v>46313</v>
      </c>
      <c r="F201" t="inlineStr">
        <is>
          <t>KALMAR LÄN</t>
        </is>
      </c>
      <c r="G201" t="inlineStr">
        <is>
          <t>EMMABODA</t>
        </is>
      </c>
      <c r="I201" t="n">
        <v>1.1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37060-2023</t>
        </is>
      </c>
      <c r="B202" t="inlineStr">
        <is>
          <t>avverkningsanmälan</t>
        </is>
      </c>
      <c r="C202" t="inlineStr">
        <is>
          <t>Avverkning för annat ändamål</t>
        </is>
      </c>
      <c r="D202" s="1" t="n">
        <v>45155</v>
      </c>
      <c r="E202" s="1" t="n">
        <v>46313</v>
      </c>
      <c r="F202" t="inlineStr">
        <is>
          <t>KALMAR LÄN</t>
        </is>
      </c>
      <c r="G202" t="inlineStr">
        <is>
          <t>EMMABODA</t>
        </is>
      </c>
      <c r="I202" t="n">
        <v>0.6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33070-2023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45126</v>
      </c>
      <c r="E203" s="1" t="n">
        <v>46313</v>
      </c>
      <c r="F203" t="inlineStr">
        <is>
          <t>KALMAR LÄN</t>
        </is>
      </c>
      <c r="G203" t="inlineStr">
        <is>
          <t>EMMABODA</t>
        </is>
      </c>
      <c r="I203" t="n">
        <v>0.6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52610-2023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45225</v>
      </c>
      <c r="E204" s="1" t="n">
        <v>46313</v>
      </c>
      <c r="F204" t="inlineStr">
        <is>
          <t>KALMAR LÄN</t>
        </is>
      </c>
      <c r="G204" t="inlineStr">
        <is>
          <t>EMMABODA</t>
        </is>
      </c>
      <c r="I204" t="n">
        <v>2.3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62733-2021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44504</v>
      </c>
      <c r="E205" s="1" t="n">
        <v>46313</v>
      </c>
      <c r="F205" t="inlineStr">
        <is>
          <t>KALMAR LÄN</t>
        </is>
      </c>
      <c r="G205" t="inlineStr">
        <is>
          <t>EMMABODA</t>
        </is>
      </c>
      <c r="I205" t="n">
        <v>4.5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47120-2022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44852</v>
      </c>
      <c r="E206" s="1" t="n">
        <v>46313</v>
      </c>
      <c r="F206" t="inlineStr">
        <is>
          <t>KALMAR LÄN</t>
        </is>
      </c>
      <c r="G206" t="inlineStr">
        <is>
          <t>EMMABODA</t>
        </is>
      </c>
      <c r="I206" t="n">
        <v>1.9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46065-2023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45190</v>
      </c>
      <c r="E207" s="1" t="n">
        <v>46313</v>
      </c>
      <c r="F207" t="inlineStr">
        <is>
          <t>KALMAR LÄN</t>
        </is>
      </c>
      <c r="G207" t="inlineStr">
        <is>
          <t>EMMABODA</t>
        </is>
      </c>
      <c r="I207" t="n">
        <v>2.6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19854-2024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45433</v>
      </c>
      <c r="E208" s="1" t="n">
        <v>46313</v>
      </c>
      <c r="F208" t="inlineStr">
        <is>
          <t>KALMAR LÄN</t>
        </is>
      </c>
      <c r="G208" t="inlineStr">
        <is>
          <t>EMMABODA</t>
        </is>
      </c>
      <c r="I208" t="n">
        <v>0.6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21798-2023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45067</v>
      </c>
      <c r="E209" s="1" t="n">
        <v>46313</v>
      </c>
      <c r="F209" t="inlineStr">
        <is>
          <t>KALMAR LÄN</t>
        </is>
      </c>
      <c r="G209" t="inlineStr">
        <is>
          <t>EMMABODA</t>
        </is>
      </c>
      <c r="I209" t="n">
        <v>0.6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4198-2023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44953</v>
      </c>
      <c r="E210" s="1" t="n">
        <v>46313</v>
      </c>
      <c r="F210" t="inlineStr">
        <is>
          <t>KALMAR LÄN</t>
        </is>
      </c>
      <c r="G210" t="inlineStr">
        <is>
          <t>EMMABODA</t>
        </is>
      </c>
      <c r="I210" t="n">
        <v>1.2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4035-2024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45323</v>
      </c>
      <c r="E211" s="1" t="n">
        <v>46313</v>
      </c>
      <c r="F211" t="inlineStr">
        <is>
          <t>KALMAR LÄN</t>
        </is>
      </c>
      <c r="G211" t="inlineStr">
        <is>
          <t>EMMABODA</t>
        </is>
      </c>
      <c r="I211" t="n">
        <v>1.1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29755-2023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45107</v>
      </c>
      <c r="E212" s="1" t="n">
        <v>46313</v>
      </c>
      <c r="F212" t="inlineStr">
        <is>
          <t>KALMAR LÄN</t>
        </is>
      </c>
      <c r="G212" t="inlineStr">
        <is>
          <t>EMMABODA</t>
        </is>
      </c>
      <c r="I212" t="n">
        <v>0.5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25090-2022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44729</v>
      </c>
      <c r="E213" s="1" t="n">
        <v>46313</v>
      </c>
      <c r="F213" t="inlineStr">
        <is>
          <t>KALMAR LÄN</t>
        </is>
      </c>
      <c r="G213" t="inlineStr">
        <is>
          <t>EMMABODA</t>
        </is>
      </c>
      <c r="I213" t="n">
        <v>1.4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9662-2023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44984</v>
      </c>
      <c r="E214" s="1" t="n">
        <v>46313</v>
      </c>
      <c r="F214" t="inlineStr">
        <is>
          <t>KALMAR LÄN</t>
        </is>
      </c>
      <c r="G214" t="inlineStr">
        <is>
          <t>EMMABODA</t>
        </is>
      </c>
      <c r="I214" t="n">
        <v>1.9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63180-2021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44507</v>
      </c>
      <c r="E215" s="1" t="n">
        <v>46313</v>
      </c>
      <c r="F215" t="inlineStr">
        <is>
          <t>KALMAR LÄN</t>
        </is>
      </c>
      <c r="G215" t="inlineStr">
        <is>
          <t>EMMABODA</t>
        </is>
      </c>
      <c r="I215" t="n">
        <v>3.3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44432-2023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45189</v>
      </c>
      <c r="E216" s="1" t="n">
        <v>46313</v>
      </c>
      <c r="F216" t="inlineStr">
        <is>
          <t>KALMAR LÄN</t>
        </is>
      </c>
      <c r="G216" t="inlineStr">
        <is>
          <t>EMMABODA</t>
        </is>
      </c>
      <c r="I216" t="n">
        <v>1.1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20164-2024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45434</v>
      </c>
      <c r="E217" s="1" t="n">
        <v>46313</v>
      </c>
      <c r="F217" t="inlineStr">
        <is>
          <t>KALMAR LÄN</t>
        </is>
      </c>
      <c r="G217" t="inlineStr">
        <is>
          <t>EMMABODA</t>
        </is>
      </c>
      <c r="I217" t="n">
        <v>1.7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19210-2023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45048</v>
      </c>
      <c r="E218" s="1" t="n">
        <v>46313</v>
      </c>
      <c r="F218" t="inlineStr">
        <is>
          <t>KALMAR LÄN</t>
        </is>
      </c>
      <c r="G218" t="inlineStr">
        <is>
          <t>EMMABODA</t>
        </is>
      </c>
      <c r="I218" t="n">
        <v>1.1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45214-2023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45191</v>
      </c>
      <c r="E219" s="1" t="n">
        <v>46313</v>
      </c>
      <c r="F219" t="inlineStr">
        <is>
          <t>KALMAR LÄN</t>
        </is>
      </c>
      <c r="G219" t="inlineStr">
        <is>
          <t>EMMABODA</t>
        </is>
      </c>
      <c r="I219" t="n">
        <v>1.3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9775-2022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44619</v>
      </c>
      <c r="E220" s="1" t="n">
        <v>46313</v>
      </c>
      <c r="F220" t="inlineStr">
        <is>
          <t>KALMAR LÄN</t>
        </is>
      </c>
      <c r="G220" t="inlineStr">
        <is>
          <t>EMMABODA</t>
        </is>
      </c>
      <c r="I220" t="n">
        <v>3.5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17525-2023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45036</v>
      </c>
      <c r="E221" s="1" t="n">
        <v>46313</v>
      </c>
      <c r="F221" t="inlineStr">
        <is>
          <t>KALMAR LÄN</t>
        </is>
      </c>
      <c r="G221" t="inlineStr">
        <is>
          <t>EMMABODA</t>
        </is>
      </c>
      <c r="I221" t="n">
        <v>0.5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59468-2022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44907</v>
      </c>
      <c r="E222" s="1" t="n">
        <v>46313</v>
      </c>
      <c r="F222" t="inlineStr">
        <is>
          <t>KALMAR LÄN</t>
        </is>
      </c>
      <c r="G222" t="inlineStr">
        <is>
          <t>EMMABODA</t>
        </is>
      </c>
      <c r="I222" t="n">
        <v>2.7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63219-2023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45273</v>
      </c>
      <c r="E223" s="1" t="n">
        <v>46313</v>
      </c>
      <c r="F223" t="inlineStr">
        <is>
          <t>KALMAR LÄN</t>
        </is>
      </c>
      <c r="G223" t="inlineStr">
        <is>
          <t>EMMABODA</t>
        </is>
      </c>
      <c r="H223" t="inlineStr">
        <is>
          <t>Kommuner</t>
        </is>
      </c>
      <c r="I223" t="n">
        <v>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53252-2023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45229</v>
      </c>
      <c r="E224" s="1" t="n">
        <v>46313</v>
      </c>
      <c r="F224" t="inlineStr">
        <is>
          <t>KALMAR LÄN</t>
        </is>
      </c>
      <c r="G224" t="inlineStr">
        <is>
          <t>EMMABODA</t>
        </is>
      </c>
      <c r="I224" t="n">
        <v>0.6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33606-2023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45132</v>
      </c>
      <c r="E225" s="1" t="n">
        <v>46313</v>
      </c>
      <c r="F225" t="inlineStr">
        <is>
          <t>KALMAR LÄN</t>
        </is>
      </c>
      <c r="G225" t="inlineStr">
        <is>
          <t>EMMABODA</t>
        </is>
      </c>
      <c r="I225" t="n">
        <v>2.5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24795-2023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45084</v>
      </c>
      <c r="E226" s="1" t="n">
        <v>46313</v>
      </c>
      <c r="F226" t="inlineStr">
        <is>
          <t>KALMAR LÄN</t>
        </is>
      </c>
      <c r="G226" t="inlineStr">
        <is>
          <t>EMMABODA</t>
        </is>
      </c>
      <c r="I226" t="n">
        <v>0.5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49625-2023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45211</v>
      </c>
      <c r="E227" s="1" t="n">
        <v>46313</v>
      </c>
      <c r="F227" t="inlineStr">
        <is>
          <t>KALMAR LÄN</t>
        </is>
      </c>
      <c r="G227" t="inlineStr">
        <is>
          <t>EMMABODA</t>
        </is>
      </c>
      <c r="I227" t="n">
        <v>2.2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28437-2023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45102</v>
      </c>
      <c r="E228" s="1" t="n">
        <v>46313</v>
      </c>
      <c r="F228" t="inlineStr">
        <is>
          <t>KALMAR LÄN</t>
        </is>
      </c>
      <c r="G228" t="inlineStr">
        <is>
          <t>EMMABODA</t>
        </is>
      </c>
      <c r="I228" t="n">
        <v>1.1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28441-2023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45102</v>
      </c>
      <c r="E229" s="1" t="n">
        <v>46313</v>
      </c>
      <c r="F229" t="inlineStr">
        <is>
          <t>KALMAR LÄN</t>
        </is>
      </c>
      <c r="G229" t="inlineStr">
        <is>
          <t>EMMABODA</t>
        </is>
      </c>
      <c r="I229" t="n">
        <v>2.2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44067-2022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44839</v>
      </c>
      <c r="E230" s="1" t="n">
        <v>46313</v>
      </c>
      <c r="F230" t="inlineStr">
        <is>
          <t>KALMAR LÄN</t>
        </is>
      </c>
      <c r="G230" t="inlineStr">
        <is>
          <t>EMMABODA</t>
        </is>
      </c>
      <c r="I230" t="n">
        <v>1.9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66662-2021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44519</v>
      </c>
      <c r="E231" s="1" t="n">
        <v>46313</v>
      </c>
      <c r="F231" t="inlineStr">
        <is>
          <t>KALMAR LÄN</t>
        </is>
      </c>
      <c r="G231" t="inlineStr">
        <is>
          <t>EMMABODA</t>
        </is>
      </c>
      <c r="I231" t="n">
        <v>2.6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15913-2025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45749</v>
      </c>
      <c r="E232" s="1" t="n">
        <v>46313</v>
      </c>
      <c r="F232" t="inlineStr">
        <is>
          <t>KALMAR LÄN</t>
        </is>
      </c>
      <c r="G232" t="inlineStr">
        <is>
          <t>EMMABODA</t>
        </is>
      </c>
      <c r="I232" t="n">
        <v>2.6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39411-2024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45551</v>
      </c>
      <c r="E233" s="1" t="n">
        <v>46313</v>
      </c>
      <c r="F233" t="inlineStr">
        <is>
          <t>KALMAR LÄN</t>
        </is>
      </c>
      <c r="G233" t="inlineStr">
        <is>
          <t>EMMABODA</t>
        </is>
      </c>
      <c r="H233" t="inlineStr">
        <is>
          <t>Sveaskog</t>
        </is>
      </c>
      <c r="I233" t="n">
        <v>2.2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15448-2024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45401</v>
      </c>
      <c r="E234" s="1" t="n">
        <v>46313</v>
      </c>
      <c r="F234" t="inlineStr">
        <is>
          <t>KALMAR LÄN</t>
        </is>
      </c>
      <c r="G234" t="inlineStr">
        <is>
          <t>EMMABODA</t>
        </is>
      </c>
      <c r="I234" t="n">
        <v>3.2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3290-2024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45317</v>
      </c>
      <c r="E235" s="1" t="n">
        <v>46313</v>
      </c>
      <c r="F235" t="inlineStr">
        <is>
          <t>KALMAR LÄN</t>
        </is>
      </c>
      <c r="G235" t="inlineStr">
        <is>
          <t>EMMABODA</t>
        </is>
      </c>
      <c r="I235" t="n">
        <v>0.5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58640-2024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45632</v>
      </c>
      <c r="E236" s="1" t="n">
        <v>46313</v>
      </c>
      <c r="F236" t="inlineStr">
        <is>
          <t>KALMAR LÄN</t>
        </is>
      </c>
      <c r="G236" t="inlineStr">
        <is>
          <t>EMMABODA</t>
        </is>
      </c>
      <c r="I236" t="n">
        <v>2.5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44533-2024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45574</v>
      </c>
      <c r="E237" s="1" t="n">
        <v>46313</v>
      </c>
      <c r="F237" t="inlineStr">
        <is>
          <t>KALMAR LÄN</t>
        </is>
      </c>
      <c r="G237" t="inlineStr">
        <is>
          <t>EMMABODA</t>
        </is>
      </c>
      <c r="I237" t="n">
        <v>0.7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28217-2025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45818</v>
      </c>
      <c r="E238" s="1" t="n">
        <v>46313</v>
      </c>
      <c r="F238" t="inlineStr">
        <is>
          <t>KALMAR LÄN</t>
        </is>
      </c>
      <c r="G238" t="inlineStr">
        <is>
          <t>EMMABODA</t>
        </is>
      </c>
      <c r="I238" t="n">
        <v>7.1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8974-2023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44979</v>
      </c>
      <c r="E239" s="1" t="n">
        <v>46313</v>
      </c>
      <c r="F239" t="inlineStr">
        <is>
          <t>KALMAR LÄN</t>
        </is>
      </c>
      <c r="G239" t="inlineStr">
        <is>
          <t>EMMABODA</t>
        </is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44145-2025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45915</v>
      </c>
      <c r="E240" s="1" t="n">
        <v>46313</v>
      </c>
      <c r="F240" t="inlineStr">
        <is>
          <t>KALMAR LÄN</t>
        </is>
      </c>
      <c r="G240" t="inlineStr">
        <is>
          <t>EMMABODA</t>
        </is>
      </c>
      <c r="H240" t="inlineStr">
        <is>
          <t>Övriga Aktiebolag</t>
        </is>
      </c>
      <c r="I240" t="n">
        <v>4.2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9688-2025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45716</v>
      </c>
      <c r="E241" s="1" t="n">
        <v>46313</v>
      </c>
      <c r="F241" t="inlineStr">
        <is>
          <t>KALMAR LÄN</t>
        </is>
      </c>
      <c r="G241" t="inlineStr">
        <is>
          <t>EMMABODA</t>
        </is>
      </c>
      <c r="I241" t="n">
        <v>0.9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54085-2024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45615</v>
      </c>
      <c r="E242" s="1" t="n">
        <v>46313</v>
      </c>
      <c r="F242" t="inlineStr">
        <is>
          <t>KALMAR LÄN</t>
        </is>
      </c>
      <c r="G242" t="inlineStr">
        <is>
          <t>EMMABODA</t>
        </is>
      </c>
      <c r="I242" t="n">
        <v>0.5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26971-2023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45091</v>
      </c>
      <c r="E243" s="1" t="n">
        <v>46313</v>
      </c>
      <c r="F243" t="inlineStr">
        <is>
          <t>KALMAR LÄN</t>
        </is>
      </c>
      <c r="G243" t="inlineStr">
        <is>
          <t>EMMABODA</t>
        </is>
      </c>
      <c r="I243" t="n">
        <v>5.5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38883-2025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45887</v>
      </c>
      <c r="E244" s="1" t="n">
        <v>46313</v>
      </c>
      <c r="F244" t="inlineStr">
        <is>
          <t>KALMAR LÄN</t>
        </is>
      </c>
      <c r="G244" t="inlineStr">
        <is>
          <t>EMMABODA</t>
        </is>
      </c>
      <c r="I244" t="n">
        <v>0.9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38873-2025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45887</v>
      </c>
      <c r="E245" s="1" t="n">
        <v>46313</v>
      </c>
      <c r="F245" t="inlineStr">
        <is>
          <t>KALMAR LÄN</t>
        </is>
      </c>
      <c r="G245" t="inlineStr">
        <is>
          <t>EMMABODA</t>
        </is>
      </c>
      <c r="I245" t="n">
        <v>0.8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28682-2025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45819</v>
      </c>
      <c r="E246" s="1" t="n">
        <v>46313</v>
      </c>
      <c r="F246" t="inlineStr">
        <is>
          <t>KALMAR LÄN</t>
        </is>
      </c>
      <c r="G246" t="inlineStr">
        <is>
          <t>EMMABODA</t>
        </is>
      </c>
      <c r="I246" t="n">
        <v>1.8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34245-2024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45524</v>
      </c>
      <c r="E247" s="1" t="n">
        <v>46313</v>
      </c>
      <c r="F247" t="inlineStr">
        <is>
          <t>KALMAR LÄN</t>
        </is>
      </c>
      <c r="G247" t="inlineStr">
        <is>
          <t>EMMABODA</t>
        </is>
      </c>
      <c r="I247" t="n">
        <v>6.9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28212-2025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45818</v>
      </c>
      <c r="E248" s="1" t="n">
        <v>46313</v>
      </c>
      <c r="F248" t="inlineStr">
        <is>
          <t>KALMAR LÄN</t>
        </is>
      </c>
      <c r="G248" t="inlineStr">
        <is>
          <t>EMMABODA</t>
        </is>
      </c>
      <c r="I248" t="n">
        <v>3.7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6690-2025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45700</v>
      </c>
      <c r="E249" s="1" t="n">
        <v>46313</v>
      </c>
      <c r="F249" t="inlineStr">
        <is>
          <t>KALMAR LÄN</t>
        </is>
      </c>
      <c r="G249" t="inlineStr">
        <is>
          <t>EMMABODA</t>
        </is>
      </c>
      <c r="I249" t="n">
        <v>5.3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32656-2023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45121</v>
      </c>
      <c r="E250" s="1" t="n">
        <v>46313</v>
      </c>
      <c r="F250" t="inlineStr">
        <is>
          <t>KALMAR LÄN</t>
        </is>
      </c>
      <c r="G250" t="inlineStr">
        <is>
          <t>EMMABODA</t>
        </is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45226-2023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45191</v>
      </c>
      <c r="E251" s="1" t="n">
        <v>46313</v>
      </c>
      <c r="F251" t="inlineStr">
        <is>
          <t>KALMAR LÄN</t>
        </is>
      </c>
      <c r="G251" t="inlineStr">
        <is>
          <t>EMMABODA</t>
        </is>
      </c>
      <c r="I251" t="n">
        <v>1.1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62164-2025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46006</v>
      </c>
      <c r="E252" s="1" t="n">
        <v>46313</v>
      </c>
      <c r="F252" t="inlineStr">
        <is>
          <t>KALMAR LÄN</t>
        </is>
      </c>
      <c r="G252" t="inlineStr">
        <is>
          <t>EMMABODA</t>
        </is>
      </c>
      <c r="I252" t="n">
        <v>3.6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8971-2023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44979</v>
      </c>
      <c r="E253" s="1" t="n">
        <v>46313</v>
      </c>
      <c r="F253" t="inlineStr">
        <is>
          <t>KALMAR LÄN</t>
        </is>
      </c>
      <c r="G253" t="inlineStr">
        <is>
          <t>EMMABODA</t>
        </is>
      </c>
      <c r="I253" t="n">
        <v>1.3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31070-2023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45113</v>
      </c>
      <c r="E254" s="1" t="n">
        <v>46313</v>
      </c>
      <c r="F254" t="inlineStr">
        <is>
          <t>KALMAR LÄN</t>
        </is>
      </c>
      <c r="G254" t="inlineStr">
        <is>
          <t>EMMABODA</t>
        </is>
      </c>
      <c r="I254" t="n">
        <v>0.4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31078-2023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45113</v>
      </c>
      <c r="E255" s="1" t="n">
        <v>46313</v>
      </c>
      <c r="F255" t="inlineStr">
        <is>
          <t>KALMAR LÄN</t>
        </is>
      </c>
      <c r="G255" t="inlineStr">
        <is>
          <t>EMMABODA</t>
        </is>
      </c>
      <c r="I255" t="n">
        <v>0.8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55815-2025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45972</v>
      </c>
      <c r="E256" s="1" t="n">
        <v>46313</v>
      </c>
      <c r="F256" t="inlineStr">
        <is>
          <t>KALMAR LÄN</t>
        </is>
      </c>
      <c r="G256" t="inlineStr">
        <is>
          <t>EMMABODA</t>
        </is>
      </c>
      <c r="I256" t="n">
        <v>5.3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39736-2023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45167</v>
      </c>
      <c r="E257" s="1" t="n">
        <v>46313</v>
      </c>
      <c r="F257" t="inlineStr">
        <is>
          <t>KALMAR LÄN</t>
        </is>
      </c>
      <c r="G257" t="inlineStr">
        <is>
          <t>EMMABODA</t>
        </is>
      </c>
      <c r="I257" t="n">
        <v>0.5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54056-2024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45615</v>
      </c>
      <c r="E258" s="1" t="n">
        <v>46313</v>
      </c>
      <c r="F258" t="inlineStr">
        <is>
          <t>KALMAR LÄN</t>
        </is>
      </c>
      <c r="G258" t="inlineStr">
        <is>
          <t>EMMABODA</t>
        </is>
      </c>
      <c r="I258" t="n">
        <v>2.1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54855-2025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45966</v>
      </c>
      <c r="E259" s="1" t="n">
        <v>46313</v>
      </c>
      <c r="F259" t="inlineStr">
        <is>
          <t>KALMAR LÄN</t>
        </is>
      </c>
      <c r="G259" t="inlineStr">
        <is>
          <t>EMMABODA</t>
        </is>
      </c>
      <c r="I259" t="n">
        <v>1.7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6283-2026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46055</v>
      </c>
      <c r="E260" s="1" t="n">
        <v>46313</v>
      </c>
      <c r="F260" t="inlineStr">
        <is>
          <t>KALMAR LÄN</t>
        </is>
      </c>
      <c r="G260" t="inlineStr">
        <is>
          <t>EMMABODA</t>
        </is>
      </c>
      <c r="I260" t="n">
        <v>1.4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49274-2025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45938</v>
      </c>
      <c r="E261" s="1" t="n">
        <v>46313</v>
      </c>
      <c r="F261" t="inlineStr">
        <is>
          <t>KALMAR LÄN</t>
        </is>
      </c>
      <c r="G261" t="inlineStr">
        <is>
          <t>EMMABODA</t>
        </is>
      </c>
      <c r="I261" t="n">
        <v>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22099-2023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45069</v>
      </c>
      <c r="E262" s="1" t="n">
        <v>46313</v>
      </c>
      <c r="F262" t="inlineStr">
        <is>
          <t>KALMAR LÄN</t>
        </is>
      </c>
      <c r="G262" t="inlineStr">
        <is>
          <t>EMMABODA</t>
        </is>
      </c>
      <c r="I262" t="n">
        <v>0.5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22117-2023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45069</v>
      </c>
      <c r="E263" s="1" t="n">
        <v>46313</v>
      </c>
      <c r="F263" t="inlineStr">
        <is>
          <t>KALMAR LÄN</t>
        </is>
      </c>
      <c r="G263" t="inlineStr">
        <is>
          <t>EMMABODA</t>
        </is>
      </c>
      <c r="I263" t="n">
        <v>5.2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56693-2025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45976</v>
      </c>
      <c r="E264" s="1" t="n">
        <v>46313</v>
      </c>
      <c r="F264" t="inlineStr">
        <is>
          <t>KALMAR LÄN</t>
        </is>
      </c>
      <c r="G264" t="inlineStr">
        <is>
          <t>EMMABODA</t>
        </is>
      </c>
      <c r="I264" t="n">
        <v>7.2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15446-2024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45401</v>
      </c>
      <c r="E265" s="1" t="n">
        <v>46313</v>
      </c>
      <c r="F265" t="inlineStr">
        <is>
          <t>KALMAR LÄN</t>
        </is>
      </c>
      <c r="G265" t="inlineStr">
        <is>
          <t>EMMABODA</t>
        </is>
      </c>
      <c r="I265" t="n">
        <v>1.5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7568-2024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45348</v>
      </c>
      <c r="E266" s="1" t="n">
        <v>46313</v>
      </c>
      <c r="F266" t="inlineStr">
        <is>
          <t>KALMAR LÄN</t>
        </is>
      </c>
      <c r="G266" t="inlineStr">
        <is>
          <t>EMMABODA</t>
        </is>
      </c>
      <c r="I266" t="n">
        <v>1.4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3666-2026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46043</v>
      </c>
      <c r="E267" s="1" t="n">
        <v>46313</v>
      </c>
      <c r="F267" t="inlineStr">
        <is>
          <t>KALMAR LÄN</t>
        </is>
      </c>
      <c r="G267" t="inlineStr">
        <is>
          <t>EMMABODA</t>
        </is>
      </c>
      <c r="I267" t="n">
        <v>1.3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56691-2025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45976</v>
      </c>
      <c r="E268" s="1" t="n">
        <v>46313</v>
      </c>
      <c r="F268" t="inlineStr">
        <is>
          <t>KALMAR LÄN</t>
        </is>
      </c>
      <c r="G268" t="inlineStr">
        <is>
          <t>EMMABODA</t>
        </is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14547-2025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45741</v>
      </c>
      <c r="E269" s="1" t="n">
        <v>46313</v>
      </c>
      <c r="F269" t="inlineStr">
        <is>
          <t>KALMAR LÄN</t>
        </is>
      </c>
      <c r="G269" t="inlineStr">
        <is>
          <t>EMMABODA</t>
        </is>
      </c>
      <c r="I269" t="n">
        <v>1.4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16521-2024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45408</v>
      </c>
      <c r="E270" s="1" t="n">
        <v>46313</v>
      </c>
      <c r="F270" t="inlineStr">
        <is>
          <t>KALMAR LÄN</t>
        </is>
      </c>
      <c r="G270" t="inlineStr">
        <is>
          <t>EMMABODA</t>
        </is>
      </c>
      <c r="I270" t="n">
        <v>1.4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61143-2024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45645</v>
      </c>
      <c r="E271" s="1" t="n">
        <v>46313</v>
      </c>
      <c r="F271" t="inlineStr">
        <is>
          <t>KALMAR LÄN</t>
        </is>
      </c>
      <c r="G271" t="inlineStr">
        <is>
          <t>EMMABODA</t>
        </is>
      </c>
      <c r="I271" t="n">
        <v>1.3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11941-2024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45376</v>
      </c>
      <c r="E272" s="1" t="n">
        <v>46313</v>
      </c>
      <c r="F272" t="inlineStr">
        <is>
          <t>KALMAR LÄN</t>
        </is>
      </c>
      <c r="G272" t="inlineStr">
        <is>
          <t>EMMABODA</t>
        </is>
      </c>
      <c r="I272" t="n">
        <v>2.1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17934-2022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44683</v>
      </c>
      <c r="E273" s="1" t="n">
        <v>46313</v>
      </c>
      <c r="F273" t="inlineStr">
        <is>
          <t>KALMAR LÄN</t>
        </is>
      </c>
      <c r="G273" t="inlineStr">
        <is>
          <t>EMMABODA</t>
        </is>
      </c>
      <c r="I273" t="n">
        <v>1.1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57183-2024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45629</v>
      </c>
      <c r="E274" s="1" t="n">
        <v>46313</v>
      </c>
      <c r="F274" t="inlineStr">
        <is>
          <t>KALMAR LÄN</t>
        </is>
      </c>
      <c r="G274" t="inlineStr">
        <is>
          <t>EMMABODA</t>
        </is>
      </c>
      <c r="I274" t="n">
        <v>4.6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3754-2025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45681</v>
      </c>
      <c r="E275" s="1" t="n">
        <v>46313</v>
      </c>
      <c r="F275" t="inlineStr">
        <is>
          <t>KALMAR LÄN</t>
        </is>
      </c>
      <c r="G275" t="inlineStr">
        <is>
          <t>EMMABODA</t>
        </is>
      </c>
      <c r="I275" t="n">
        <v>1.2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42967-2025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45909</v>
      </c>
      <c r="E276" s="1" t="n">
        <v>46313</v>
      </c>
      <c r="F276" t="inlineStr">
        <is>
          <t>KALMAR LÄN</t>
        </is>
      </c>
      <c r="G276" t="inlineStr">
        <is>
          <t>EMMABODA</t>
        </is>
      </c>
      <c r="I276" t="n">
        <v>4.6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42833-2025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45908</v>
      </c>
      <c r="E277" s="1" t="n">
        <v>46313</v>
      </c>
      <c r="F277" t="inlineStr">
        <is>
          <t>KALMAR LÄN</t>
        </is>
      </c>
      <c r="G277" t="inlineStr">
        <is>
          <t>EMMABODA</t>
        </is>
      </c>
      <c r="I277" t="n">
        <v>0.5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24867-2024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45461</v>
      </c>
      <c r="E278" s="1" t="n">
        <v>46313</v>
      </c>
      <c r="F278" t="inlineStr">
        <is>
          <t>KALMAR LÄN</t>
        </is>
      </c>
      <c r="G278" t="inlineStr">
        <is>
          <t>EMMABODA</t>
        </is>
      </c>
      <c r="I278" t="n">
        <v>1.5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7842-2024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45349</v>
      </c>
      <c r="E279" s="1" t="n">
        <v>46313</v>
      </c>
      <c r="F279" t="inlineStr">
        <is>
          <t>KALMAR LÄN</t>
        </is>
      </c>
      <c r="G279" t="inlineStr">
        <is>
          <t>EMMABODA</t>
        </is>
      </c>
      <c r="I279" t="n">
        <v>1.4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44093-2025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45915</v>
      </c>
      <c r="E280" s="1" t="n">
        <v>46313</v>
      </c>
      <c r="F280" t="inlineStr">
        <is>
          <t>KALMAR LÄN</t>
        </is>
      </c>
      <c r="G280" t="inlineStr">
        <is>
          <t>EMMABODA</t>
        </is>
      </c>
      <c r="I280" t="n">
        <v>0.8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44097-2025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45915</v>
      </c>
      <c r="E281" s="1" t="n">
        <v>46313</v>
      </c>
      <c r="F281" t="inlineStr">
        <is>
          <t>KALMAR LÄN</t>
        </is>
      </c>
      <c r="G281" t="inlineStr">
        <is>
          <t>EMMABODA</t>
        </is>
      </c>
      <c r="I281" t="n">
        <v>3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20877-2026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46142</v>
      </c>
      <c r="E282" s="1" t="n">
        <v>46313</v>
      </c>
      <c r="F282" t="inlineStr">
        <is>
          <t>KALMAR LÄN</t>
        </is>
      </c>
      <c r="G282" t="inlineStr">
        <is>
          <t>EMMABODA</t>
        </is>
      </c>
      <c r="I282" t="n">
        <v>0.4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44089-2025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45915</v>
      </c>
      <c r="E283" s="1" t="n">
        <v>46313</v>
      </c>
      <c r="F283" t="inlineStr">
        <is>
          <t>KALMAR LÄN</t>
        </is>
      </c>
      <c r="G283" t="inlineStr">
        <is>
          <t>EMMABODA</t>
        </is>
      </c>
      <c r="I283" t="n">
        <v>5.3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67543-2021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44524</v>
      </c>
      <c r="E284" s="1" t="n">
        <v>46313</v>
      </c>
      <c r="F284" t="inlineStr">
        <is>
          <t>KALMAR LÄN</t>
        </is>
      </c>
      <c r="G284" t="inlineStr">
        <is>
          <t>EMMABODA</t>
        </is>
      </c>
      <c r="I284" t="n">
        <v>4.7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26254-2023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45091</v>
      </c>
      <c r="E285" s="1" t="n">
        <v>46313</v>
      </c>
      <c r="F285" t="inlineStr">
        <is>
          <t>KALMAR LÄN</t>
        </is>
      </c>
      <c r="G285" t="inlineStr">
        <is>
          <t>EMMABODA</t>
        </is>
      </c>
      <c r="I285" t="n">
        <v>2.7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45306-2025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45921</v>
      </c>
      <c r="E286" s="1" t="n">
        <v>46313</v>
      </c>
      <c r="F286" t="inlineStr">
        <is>
          <t>KALMAR LÄN</t>
        </is>
      </c>
      <c r="G286" t="inlineStr">
        <is>
          <t>EMMABODA</t>
        </is>
      </c>
      <c r="I286" t="n">
        <v>2.3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57791-2022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44897</v>
      </c>
      <c r="E287" s="1" t="n">
        <v>46313</v>
      </c>
      <c r="F287" t="inlineStr">
        <is>
          <t>KALMAR LÄN</t>
        </is>
      </c>
      <c r="G287" t="inlineStr">
        <is>
          <t>EMMABODA</t>
        </is>
      </c>
      <c r="I287" t="n">
        <v>1.1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31093-2023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45113</v>
      </c>
      <c r="E288" s="1" t="n">
        <v>46313</v>
      </c>
      <c r="F288" t="inlineStr">
        <is>
          <t>KALMAR LÄN</t>
        </is>
      </c>
      <c r="G288" t="inlineStr">
        <is>
          <t>EMMABODA</t>
        </is>
      </c>
      <c r="I288" t="n">
        <v>0.4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5846-2024</t>
        </is>
      </c>
      <c r="B289" t="inlineStr">
        <is>
          <t>avverkningsanmälan</t>
        </is>
      </c>
      <c r="C289" t="inlineStr">
        <is>
          <t>Avverkning för annat ändamål</t>
        </is>
      </c>
      <c r="D289" s="1" t="n">
        <v>45335</v>
      </c>
      <c r="E289" s="1" t="n">
        <v>46313</v>
      </c>
      <c r="F289" t="inlineStr">
        <is>
          <t>KALMAR LÄN</t>
        </is>
      </c>
      <c r="G289" t="inlineStr">
        <is>
          <t>EMMABODA</t>
        </is>
      </c>
      <c r="I289" t="n">
        <v>0.6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5880-2024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45335</v>
      </c>
      <c r="E290" s="1" t="n">
        <v>46313</v>
      </c>
      <c r="F290" t="inlineStr">
        <is>
          <t>KALMAR LÄN</t>
        </is>
      </c>
      <c r="G290" t="inlineStr">
        <is>
          <t>EMMABODA</t>
        </is>
      </c>
      <c r="I290" t="n">
        <v>0.6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46862-2023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45200</v>
      </c>
      <c r="E291" s="1" t="n">
        <v>46313</v>
      </c>
      <c r="F291" t="inlineStr">
        <is>
          <t>KALMAR LÄN</t>
        </is>
      </c>
      <c r="G291" t="inlineStr">
        <is>
          <t>EMMABODA</t>
        </is>
      </c>
      <c r="I291" t="n">
        <v>0.7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17001-2025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45755</v>
      </c>
      <c r="E292" s="1" t="n">
        <v>46313</v>
      </c>
      <c r="F292" t="inlineStr">
        <is>
          <t>KALMAR LÄN</t>
        </is>
      </c>
      <c r="G292" t="inlineStr">
        <is>
          <t>EMMABODA</t>
        </is>
      </c>
      <c r="I292" t="n">
        <v>0.7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22390-2023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45070</v>
      </c>
      <c r="E293" s="1" t="n">
        <v>46313</v>
      </c>
      <c r="F293" t="inlineStr">
        <is>
          <t>KALMAR LÄN</t>
        </is>
      </c>
      <c r="G293" t="inlineStr">
        <is>
          <t>EMMABODA</t>
        </is>
      </c>
      <c r="I293" t="n">
        <v>2.3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47519-2025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45931</v>
      </c>
      <c r="E294" s="1" t="n">
        <v>46313</v>
      </c>
      <c r="F294" t="inlineStr">
        <is>
          <t>KALMAR LÄN</t>
        </is>
      </c>
      <c r="G294" t="inlineStr">
        <is>
          <t>EMMABODA</t>
        </is>
      </c>
      <c r="I294" t="n">
        <v>1.1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22700-2025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45789</v>
      </c>
      <c r="E295" s="1" t="n">
        <v>46313</v>
      </c>
      <c r="F295" t="inlineStr">
        <is>
          <t>KALMAR LÄN</t>
        </is>
      </c>
      <c r="G295" t="inlineStr">
        <is>
          <t>EMMABODA</t>
        </is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51488-2023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45222</v>
      </c>
      <c r="E296" s="1" t="n">
        <v>46313</v>
      </c>
      <c r="F296" t="inlineStr">
        <is>
          <t>KALMAR LÄN</t>
        </is>
      </c>
      <c r="G296" t="inlineStr">
        <is>
          <t>EMMABODA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2643-2023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44944</v>
      </c>
      <c r="E297" s="1" t="n">
        <v>46313</v>
      </c>
      <c r="F297" t="inlineStr">
        <is>
          <t>KALMAR LÄN</t>
        </is>
      </c>
      <c r="G297" t="inlineStr">
        <is>
          <t>EMMABODA</t>
        </is>
      </c>
      <c r="I297" t="n">
        <v>1.2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49285-2025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45938</v>
      </c>
      <c r="E298" s="1" t="n">
        <v>46313</v>
      </c>
      <c r="F298" t="inlineStr">
        <is>
          <t>KALMAR LÄN</t>
        </is>
      </c>
      <c r="G298" t="inlineStr">
        <is>
          <t>EMMABODA</t>
        </is>
      </c>
      <c r="I298" t="n">
        <v>0.4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49388-2025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45938</v>
      </c>
      <c r="E299" s="1" t="n">
        <v>46313</v>
      </c>
      <c r="F299" t="inlineStr">
        <is>
          <t>KALMAR LÄN</t>
        </is>
      </c>
      <c r="G299" t="inlineStr">
        <is>
          <t>EMMABODA</t>
        </is>
      </c>
      <c r="I299" t="n">
        <v>4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11061-2024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45370</v>
      </c>
      <c r="E300" s="1" t="n">
        <v>46313</v>
      </c>
      <c r="F300" t="inlineStr">
        <is>
          <t>KALMAR LÄN</t>
        </is>
      </c>
      <c r="G300" t="inlineStr">
        <is>
          <t>EMMABODA</t>
        </is>
      </c>
      <c r="I300" t="n">
        <v>1.5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15329-2024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45400</v>
      </c>
      <c r="E301" s="1" t="n">
        <v>46313</v>
      </c>
      <c r="F301" t="inlineStr">
        <is>
          <t>KALMAR LÄN</t>
        </is>
      </c>
      <c r="G301" t="inlineStr">
        <is>
          <t>EMMABODA</t>
        </is>
      </c>
      <c r="I301" t="n">
        <v>1.1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49281-2025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45938</v>
      </c>
      <c r="E302" s="1" t="n">
        <v>46313</v>
      </c>
      <c r="F302" t="inlineStr">
        <is>
          <t>KALMAR LÄN</t>
        </is>
      </c>
      <c r="G302" t="inlineStr">
        <is>
          <t>EMMABODA</t>
        </is>
      </c>
      <c r="I302" t="n">
        <v>0.7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49294-2025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45938</v>
      </c>
      <c r="E303" s="1" t="n">
        <v>46313</v>
      </c>
      <c r="F303" t="inlineStr">
        <is>
          <t>KALMAR LÄN</t>
        </is>
      </c>
      <c r="G303" t="inlineStr">
        <is>
          <t>EMMABODA</t>
        </is>
      </c>
      <c r="I303" t="n">
        <v>7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59764-2022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44900</v>
      </c>
      <c r="E304" s="1" t="n">
        <v>46313</v>
      </c>
      <c r="F304" t="inlineStr">
        <is>
          <t>KALMAR LÄN</t>
        </is>
      </c>
      <c r="G304" t="inlineStr">
        <is>
          <t>EMMABODA</t>
        </is>
      </c>
      <c r="I304" t="n">
        <v>2.8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62197-2022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44922</v>
      </c>
      <c r="E305" s="1" t="n">
        <v>46313</v>
      </c>
      <c r="F305" t="inlineStr">
        <is>
          <t>KALMAR LÄN</t>
        </is>
      </c>
      <c r="G305" t="inlineStr">
        <is>
          <t>EMMABODA</t>
        </is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32242-2022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44781</v>
      </c>
      <c r="E306" s="1" t="n">
        <v>46313</v>
      </c>
      <c r="F306" t="inlineStr">
        <is>
          <t>KALMAR LÄN</t>
        </is>
      </c>
      <c r="G306" t="inlineStr">
        <is>
          <t>EMMABODA</t>
        </is>
      </c>
      <c r="I306" t="n">
        <v>2.4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25783-2024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45466</v>
      </c>
      <c r="E307" s="1" t="n">
        <v>46313</v>
      </c>
      <c r="F307" t="inlineStr">
        <is>
          <t>KALMAR LÄN</t>
        </is>
      </c>
      <c r="G307" t="inlineStr">
        <is>
          <t>EMMABODA</t>
        </is>
      </c>
      <c r="I307" t="n">
        <v>1.7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41441-2025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45901</v>
      </c>
      <c r="E308" s="1" t="n">
        <v>46313</v>
      </c>
      <c r="F308" t="inlineStr">
        <is>
          <t>KALMAR LÄN</t>
        </is>
      </c>
      <c r="G308" t="inlineStr">
        <is>
          <t>EMMABODA</t>
        </is>
      </c>
      <c r="I308" t="n">
        <v>7.2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22602-2026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46155</v>
      </c>
      <c r="E309" s="1" t="n">
        <v>46313</v>
      </c>
      <c r="F309" t="inlineStr">
        <is>
          <t>KALMAR LÄN</t>
        </is>
      </c>
      <c r="G309" t="inlineStr">
        <is>
          <t>EMMABODA</t>
        </is>
      </c>
      <c r="I309" t="n">
        <v>7.7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52274-2025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45953</v>
      </c>
      <c r="E310" s="1" t="n">
        <v>46313</v>
      </c>
      <c r="F310" t="inlineStr">
        <is>
          <t>KALMAR LÄN</t>
        </is>
      </c>
      <c r="G310" t="inlineStr">
        <is>
          <t>EMMABODA</t>
        </is>
      </c>
      <c r="I310" t="n">
        <v>1.2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8058-2025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45707</v>
      </c>
      <c r="E311" s="1" t="n">
        <v>46313</v>
      </c>
      <c r="F311" t="inlineStr">
        <is>
          <t>KALMAR LÄN</t>
        </is>
      </c>
      <c r="G311" t="inlineStr">
        <is>
          <t>EMMABODA</t>
        </is>
      </c>
      <c r="I311" t="n">
        <v>1.1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9262-2026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46069</v>
      </c>
      <c r="E312" s="1" t="n">
        <v>46313</v>
      </c>
      <c r="F312" t="inlineStr">
        <is>
          <t>KALMAR LÄN</t>
        </is>
      </c>
      <c r="G312" t="inlineStr">
        <is>
          <t>EMMABODA</t>
        </is>
      </c>
      <c r="H312" t="inlineStr">
        <is>
          <t>Kyrkan</t>
        </is>
      </c>
      <c r="I312" t="n">
        <v>1.9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9684-2025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45716</v>
      </c>
      <c r="E313" s="1" t="n">
        <v>46313</v>
      </c>
      <c r="F313" t="inlineStr">
        <is>
          <t>KALMAR LÄN</t>
        </is>
      </c>
      <c r="G313" t="inlineStr">
        <is>
          <t>EMMABODA</t>
        </is>
      </c>
      <c r="I313" t="n">
        <v>0.5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4400-2024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45327</v>
      </c>
      <c r="E314" s="1" t="n">
        <v>46313</v>
      </c>
      <c r="F314" t="inlineStr">
        <is>
          <t>KALMAR LÄN</t>
        </is>
      </c>
      <c r="G314" t="inlineStr">
        <is>
          <t>EMMABODA</t>
        </is>
      </c>
      <c r="I314" t="n">
        <v>2.4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52206-2023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45217</v>
      </c>
      <c r="E315" s="1" t="n">
        <v>46313</v>
      </c>
      <c r="F315" t="inlineStr">
        <is>
          <t>KALMAR LÄN</t>
        </is>
      </c>
      <c r="G315" t="inlineStr">
        <is>
          <t>EMMABODA</t>
        </is>
      </c>
      <c r="I315" t="n">
        <v>4.1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53534-2025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45960</v>
      </c>
      <c r="E316" s="1" t="n">
        <v>46313</v>
      </c>
      <c r="F316" t="inlineStr">
        <is>
          <t>KALMAR LÄN</t>
        </is>
      </c>
      <c r="G316" t="inlineStr">
        <is>
          <t>EMMABODA</t>
        </is>
      </c>
      <c r="I316" t="n">
        <v>0.5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18478-2024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45425</v>
      </c>
      <c r="E317" s="1" t="n">
        <v>46313</v>
      </c>
      <c r="F317" t="inlineStr">
        <is>
          <t>KALMAR LÄN</t>
        </is>
      </c>
      <c r="G317" t="inlineStr">
        <is>
          <t>EMMABODA</t>
        </is>
      </c>
      <c r="I317" t="n">
        <v>6.3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3871-2023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44951</v>
      </c>
      <c r="E318" s="1" t="n">
        <v>46313</v>
      </c>
      <c r="F318" t="inlineStr">
        <is>
          <t>KALMAR LÄN</t>
        </is>
      </c>
      <c r="G318" t="inlineStr">
        <is>
          <t>EMMABODA</t>
        </is>
      </c>
      <c r="I318" t="n">
        <v>0.8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54117-2025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45964</v>
      </c>
      <c r="E319" s="1" t="n">
        <v>46313</v>
      </c>
      <c r="F319" t="inlineStr">
        <is>
          <t>KALMAR LÄN</t>
        </is>
      </c>
      <c r="G319" t="inlineStr">
        <is>
          <t>EMMABODA</t>
        </is>
      </c>
      <c r="I319" t="n">
        <v>2.6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22841-2026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46160</v>
      </c>
      <c r="E320" s="1" t="n">
        <v>46313</v>
      </c>
      <c r="F320" t="inlineStr">
        <is>
          <t>KALMAR LÄN</t>
        </is>
      </c>
      <c r="G320" t="inlineStr">
        <is>
          <t>EMMABODA</t>
        </is>
      </c>
      <c r="I320" t="n">
        <v>0.5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54177-2025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45964</v>
      </c>
      <c r="E321" s="1" t="n">
        <v>46313</v>
      </c>
      <c r="F321" t="inlineStr">
        <is>
          <t>KALMAR LÄN</t>
        </is>
      </c>
      <c r="G321" t="inlineStr">
        <is>
          <t>EMMABODA</t>
        </is>
      </c>
      <c r="I321" t="n">
        <v>0.5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54982-2025</t>
        </is>
      </c>
      <c r="B322" t="inlineStr">
        <is>
          <t>avverkningsanmälan</t>
        </is>
      </c>
      <c r="C322" t="inlineStr">
        <is>
          <t>Avverkning för att bevara och utveckla /försöksver</t>
        </is>
      </c>
      <c r="D322" s="1" t="n">
        <v>45967</v>
      </c>
      <c r="E322" s="1" t="n">
        <v>46313</v>
      </c>
      <c r="F322" t="inlineStr">
        <is>
          <t>KALMAR LÄN</t>
        </is>
      </c>
      <c r="G322" t="inlineStr">
        <is>
          <t>EMMABODA</t>
        </is>
      </c>
      <c r="I322" t="n">
        <v>0.8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54983-2025</t>
        </is>
      </c>
      <c r="B323" t="inlineStr">
        <is>
          <t>avverkningsanmälan</t>
        </is>
      </c>
      <c r="C323" t="inlineStr">
        <is>
          <t>Avverkning för att bevara och utveckla /försöksver</t>
        </is>
      </c>
      <c r="D323" s="1" t="n">
        <v>45967</v>
      </c>
      <c r="E323" s="1" t="n">
        <v>46313</v>
      </c>
      <c r="F323" t="inlineStr">
        <is>
          <t>KALMAR LÄN</t>
        </is>
      </c>
      <c r="G323" t="inlineStr">
        <is>
          <t>EMMABODA</t>
        </is>
      </c>
      <c r="I323" t="n">
        <v>2.9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28159-2023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45099</v>
      </c>
      <c r="E324" s="1" t="n">
        <v>46313</v>
      </c>
      <c r="F324" t="inlineStr">
        <is>
          <t>KALMAR LÄN</t>
        </is>
      </c>
      <c r="G324" t="inlineStr">
        <is>
          <t>EMMABODA</t>
        </is>
      </c>
      <c r="I324" t="n">
        <v>3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22837-2026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46160</v>
      </c>
      <c r="E325" s="1" t="n">
        <v>46313</v>
      </c>
      <c r="F325" t="inlineStr">
        <is>
          <t>KALMAR LÄN</t>
        </is>
      </c>
      <c r="G325" t="inlineStr">
        <is>
          <t>EMMABODA</t>
        </is>
      </c>
      <c r="I325" t="n">
        <v>0.7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48957-2023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45204</v>
      </c>
      <c r="E326" s="1" t="n">
        <v>46313</v>
      </c>
      <c r="F326" t="inlineStr">
        <is>
          <t>KALMAR LÄN</t>
        </is>
      </c>
      <c r="G326" t="inlineStr">
        <is>
          <t>EMMABODA</t>
        </is>
      </c>
      <c r="H326" t="inlineStr">
        <is>
          <t>Övriga Aktiebolag</t>
        </is>
      </c>
      <c r="I326" t="n">
        <v>2.6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41734-2025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45902</v>
      </c>
      <c r="E327" s="1" t="n">
        <v>46313</v>
      </c>
      <c r="F327" t="inlineStr">
        <is>
          <t>KALMAR LÄN</t>
        </is>
      </c>
      <c r="G327" t="inlineStr">
        <is>
          <t>EMMABODA</t>
        </is>
      </c>
      <c r="I327" t="n">
        <v>1.7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41948-2024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45561</v>
      </c>
      <c r="E328" s="1" t="n">
        <v>46313</v>
      </c>
      <c r="F328" t="inlineStr">
        <is>
          <t>KALMAR LÄN</t>
        </is>
      </c>
      <c r="G328" t="inlineStr">
        <is>
          <t>EMMABODA</t>
        </is>
      </c>
      <c r="H328" t="inlineStr">
        <is>
          <t>Övriga Aktiebolag</t>
        </is>
      </c>
      <c r="I328" t="n">
        <v>2.6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55381-2025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45971</v>
      </c>
      <c r="E329" s="1" t="n">
        <v>46313</v>
      </c>
      <c r="F329" t="inlineStr">
        <is>
          <t>KALMAR LÄN</t>
        </is>
      </c>
      <c r="G329" t="inlineStr">
        <is>
          <t>EMMABODA</t>
        </is>
      </c>
      <c r="I329" t="n">
        <v>0.7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23295-2026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46162</v>
      </c>
      <c r="E330" s="1" t="n">
        <v>46313</v>
      </c>
      <c r="F330" t="inlineStr">
        <is>
          <t>KALMAR LÄN</t>
        </is>
      </c>
      <c r="G330" t="inlineStr">
        <is>
          <t>EMMABODA</t>
        </is>
      </c>
      <c r="I330" t="n">
        <v>0.7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60142-2023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45258</v>
      </c>
      <c r="E331" s="1" t="n">
        <v>46313</v>
      </c>
      <c r="F331" t="inlineStr">
        <is>
          <t>KALMAR LÄN</t>
        </is>
      </c>
      <c r="G331" t="inlineStr">
        <is>
          <t>EMMABODA</t>
        </is>
      </c>
      <c r="I331" t="n">
        <v>0.7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23292-2026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46162</v>
      </c>
      <c r="E332" s="1" t="n">
        <v>46313</v>
      </c>
      <c r="F332" t="inlineStr">
        <is>
          <t>KALMAR LÄN</t>
        </is>
      </c>
      <c r="G332" t="inlineStr">
        <is>
          <t>EMMABODA</t>
        </is>
      </c>
      <c r="I332" t="n">
        <v>0.7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7834-2024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45349</v>
      </c>
      <c r="E333" s="1" t="n">
        <v>46313</v>
      </c>
      <c r="F333" t="inlineStr">
        <is>
          <t>KALMAR LÄN</t>
        </is>
      </c>
      <c r="G333" t="inlineStr">
        <is>
          <t>EMMABODA</t>
        </is>
      </c>
      <c r="I333" t="n">
        <v>1.6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2350-2024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45310</v>
      </c>
      <c r="E334" s="1" t="n">
        <v>46313</v>
      </c>
      <c r="F334" t="inlineStr">
        <is>
          <t>KALMAR LÄN</t>
        </is>
      </c>
      <c r="G334" t="inlineStr">
        <is>
          <t>EMMABODA</t>
        </is>
      </c>
      <c r="I334" t="n">
        <v>3.1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14167-2025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45740</v>
      </c>
      <c r="E335" s="1" t="n">
        <v>46313</v>
      </c>
      <c r="F335" t="inlineStr">
        <is>
          <t>KALMAR LÄN</t>
        </is>
      </c>
      <c r="G335" t="inlineStr">
        <is>
          <t>EMMABODA</t>
        </is>
      </c>
      <c r="I335" t="n">
        <v>0.6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57200-2025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45979</v>
      </c>
      <c r="E336" s="1" t="n">
        <v>46313</v>
      </c>
      <c r="F336" t="inlineStr">
        <is>
          <t>KALMAR LÄN</t>
        </is>
      </c>
      <c r="G336" t="inlineStr">
        <is>
          <t>EMMABODA</t>
        </is>
      </c>
      <c r="I336" t="n">
        <v>6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44215-2024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45573</v>
      </c>
      <c r="E337" s="1" t="n">
        <v>46313</v>
      </c>
      <c r="F337" t="inlineStr">
        <is>
          <t>KALMAR LÄN</t>
        </is>
      </c>
      <c r="G337" t="inlineStr">
        <is>
          <t>EMMABODA</t>
        </is>
      </c>
      <c r="I337" t="n">
        <v>2.6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24779-2022</t>
        </is>
      </c>
      <c r="B338" t="inlineStr">
        <is>
          <t>avverkningsanmälan</t>
        </is>
      </c>
      <c r="C338" t="inlineStr">
        <is>
          <t>Föryngringsavverkning</t>
        </is>
      </c>
      <c r="D338" s="1" t="n">
        <v>44728</v>
      </c>
      <c r="E338" s="1" t="n">
        <v>46313</v>
      </c>
      <c r="F338" t="inlineStr">
        <is>
          <t>KALMAR LÄN</t>
        </is>
      </c>
      <c r="G338" t="inlineStr">
        <is>
          <t>EMMABODA</t>
        </is>
      </c>
      <c r="I338" t="n">
        <v>1.3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60141-2023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45258</v>
      </c>
      <c r="E339" s="1" t="n">
        <v>46313</v>
      </c>
      <c r="F339" t="inlineStr">
        <is>
          <t>KALMAR LÄN</t>
        </is>
      </c>
      <c r="G339" t="inlineStr">
        <is>
          <t>EMMABODA</t>
        </is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60143-2023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45258</v>
      </c>
      <c r="E340" s="1" t="n">
        <v>46313</v>
      </c>
      <c r="F340" t="inlineStr">
        <is>
          <t>KALMAR LÄN</t>
        </is>
      </c>
      <c r="G340" t="inlineStr">
        <is>
          <t>EMMABODA</t>
        </is>
      </c>
      <c r="I340" t="n">
        <v>0.6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50309-2024</t>
        </is>
      </c>
      <c r="B341" t="inlineStr">
        <is>
          <t>avverkningsanmälan</t>
        </is>
      </c>
      <c r="C341" t="inlineStr">
        <is>
          <t>Föryngringsavverkning</t>
        </is>
      </c>
      <c r="D341" s="1" t="n">
        <v>45600</v>
      </c>
      <c r="E341" s="1" t="n">
        <v>46313</v>
      </c>
      <c r="F341" t="inlineStr">
        <is>
          <t>KALMAR LÄN</t>
        </is>
      </c>
      <c r="G341" t="inlineStr">
        <is>
          <t>EMMABODA</t>
        </is>
      </c>
      <c r="I341" t="n">
        <v>3.1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578-2023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44930</v>
      </c>
      <c r="E342" s="1" t="n">
        <v>46313</v>
      </c>
      <c r="F342" t="inlineStr">
        <is>
          <t>KALMAR LÄN</t>
        </is>
      </c>
      <c r="G342" t="inlineStr">
        <is>
          <t>EMMABODA</t>
        </is>
      </c>
      <c r="I342" t="n">
        <v>0.6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15292-2024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45400</v>
      </c>
      <c r="E343" s="1" t="n">
        <v>46313</v>
      </c>
      <c r="F343" t="inlineStr">
        <is>
          <t>KALMAR LÄN</t>
        </is>
      </c>
      <c r="G343" t="inlineStr">
        <is>
          <t>EMMABODA</t>
        </is>
      </c>
      <c r="I343" t="n">
        <v>2.2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20102-2022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44698</v>
      </c>
      <c r="E344" s="1" t="n">
        <v>46313</v>
      </c>
      <c r="F344" t="inlineStr">
        <is>
          <t>KALMAR LÄN</t>
        </is>
      </c>
      <c r="G344" t="inlineStr">
        <is>
          <t>EMMABODA</t>
        </is>
      </c>
      <c r="I344" t="n">
        <v>1.7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16236-2023</t>
        </is>
      </c>
      <c r="B345" t="inlineStr">
        <is>
          <t>avverkningsanmälan</t>
        </is>
      </c>
      <c r="C345" t="inlineStr">
        <is>
          <t>Avverkning för annat ändamål</t>
        </is>
      </c>
      <c r="D345" s="1" t="n">
        <v>45028</v>
      </c>
      <c r="E345" s="1" t="n">
        <v>46313</v>
      </c>
      <c r="F345" t="inlineStr">
        <is>
          <t>KALMAR LÄN</t>
        </is>
      </c>
      <c r="G345" t="inlineStr">
        <is>
          <t>EMMABODA</t>
        </is>
      </c>
      <c r="I345" t="n">
        <v>0.7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14068-2024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45392</v>
      </c>
      <c r="E346" s="1" t="n">
        <v>46313</v>
      </c>
      <c r="F346" t="inlineStr">
        <is>
          <t>KALMAR LÄN</t>
        </is>
      </c>
      <c r="G346" t="inlineStr">
        <is>
          <t>EMMABODA</t>
        </is>
      </c>
      <c r="I346" t="n">
        <v>2.2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59400-2025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45989</v>
      </c>
      <c r="E347" s="1" t="n">
        <v>46313</v>
      </c>
      <c r="F347" t="inlineStr">
        <is>
          <t>KALMAR LÄN</t>
        </is>
      </c>
      <c r="G347" t="inlineStr">
        <is>
          <t>EMMABODA</t>
        </is>
      </c>
      <c r="I347" t="n">
        <v>0.6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35490-2024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45531</v>
      </c>
      <c r="E348" s="1" t="n">
        <v>46313</v>
      </c>
      <c r="F348" t="inlineStr">
        <is>
          <t>KALMAR LÄN</t>
        </is>
      </c>
      <c r="G348" t="inlineStr">
        <is>
          <t>EMMABODA</t>
        </is>
      </c>
      <c r="I348" t="n">
        <v>1.4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57916-2022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44900</v>
      </c>
      <c r="E349" s="1" t="n">
        <v>46313</v>
      </c>
      <c r="F349" t="inlineStr">
        <is>
          <t>KALMAR LÄN</t>
        </is>
      </c>
      <c r="G349" t="inlineStr">
        <is>
          <t>EMMABODA</t>
        </is>
      </c>
      <c r="I349" t="n">
        <v>4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46192-2023</t>
        </is>
      </c>
      <c r="B350" t="inlineStr">
        <is>
          <t>avverkningsanmälan</t>
        </is>
      </c>
      <c r="C350" t="inlineStr">
        <is>
          <t>Föryngringsavverkning</t>
        </is>
      </c>
      <c r="D350" s="1" t="n">
        <v>45196</v>
      </c>
      <c r="E350" s="1" t="n">
        <v>46313</v>
      </c>
      <c r="F350" t="inlineStr">
        <is>
          <t>KALMAR LÄN</t>
        </is>
      </c>
      <c r="G350" t="inlineStr">
        <is>
          <t>EMMABODA</t>
        </is>
      </c>
      <c r="I350" t="n">
        <v>1.5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3666-2022</t>
        </is>
      </c>
      <c r="B351" t="inlineStr">
        <is>
          <t>avverkningsanmälan</t>
        </is>
      </c>
      <c r="C351" t="inlineStr">
        <is>
          <t>Föryngringsavverkning</t>
        </is>
      </c>
      <c r="D351" s="1" t="n">
        <v>44586</v>
      </c>
      <c r="E351" s="1" t="n">
        <v>46313</v>
      </c>
      <c r="F351" t="inlineStr">
        <is>
          <t>KALMAR LÄN</t>
        </is>
      </c>
      <c r="G351" t="inlineStr">
        <is>
          <t>EMMABODA</t>
        </is>
      </c>
      <c r="I351" t="n">
        <v>1.7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38123-2023</t>
        </is>
      </c>
      <c r="B352" t="inlineStr">
        <is>
          <t>avverkningsanmälan</t>
        </is>
      </c>
      <c r="C352" t="inlineStr">
        <is>
          <t>Föryngringsavverkning</t>
        </is>
      </c>
      <c r="D352" s="1" t="n">
        <v>45161</v>
      </c>
      <c r="E352" s="1" t="n">
        <v>46313</v>
      </c>
      <c r="F352" t="inlineStr">
        <is>
          <t>KALMAR LÄN</t>
        </is>
      </c>
      <c r="G352" t="inlineStr">
        <is>
          <t>EMMABODA</t>
        </is>
      </c>
      <c r="H352" t="inlineStr">
        <is>
          <t>Kommuner</t>
        </is>
      </c>
      <c r="I352" t="n">
        <v>2.6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42279-2023</t>
        </is>
      </c>
      <c r="B353" t="inlineStr">
        <is>
          <t>avverkningsanmälan</t>
        </is>
      </c>
      <c r="C353" t="inlineStr">
        <is>
          <t>Föryngringsavverkning</t>
        </is>
      </c>
      <c r="D353" s="1" t="n">
        <v>45180</v>
      </c>
      <c r="E353" s="1" t="n">
        <v>46313</v>
      </c>
      <c r="F353" t="inlineStr">
        <is>
          <t>KALMAR LÄN</t>
        </is>
      </c>
      <c r="G353" t="inlineStr">
        <is>
          <t>EMMABODA</t>
        </is>
      </c>
      <c r="I353" t="n">
        <v>4.4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58623-2025</t>
        </is>
      </c>
      <c r="B354" t="inlineStr">
        <is>
          <t>avverkningsanmälan</t>
        </is>
      </c>
      <c r="C354" t="inlineStr">
        <is>
          <t>Föryngringsavverkning</t>
        </is>
      </c>
      <c r="D354" s="1" t="n">
        <v>45986</v>
      </c>
      <c r="E354" s="1" t="n">
        <v>46313</v>
      </c>
      <c r="F354" t="inlineStr">
        <is>
          <t>KALMAR LÄN</t>
        </is>
      </c>
      <c r="G354" t="inlineStr">
        <is>
          <t>EMMABODA</t>
        </is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9791-2025</t>
        </is>
      </c>
      <c r="B355" t="inlineStr">
        <is>
          <t>avverkningsanmälan</t>
        </is>
      </c>
      <c r="C355" t="inlineStr">
        <is>
          <t>Föryngringsavverkning</t>
        </is>
      </c>
      <c r="D355" s="1" t="n">
        <v>45716</v>
      </c>
      <c r="E355" s="1" t="n">
        <v>46313</v>
      </c>
      <c r="F355" t="inlineStr">
        <is>
          <t>KALMAR LÄN</t>
        </is>
      </c>
      <c r="G355" t="inlineStr">
        <is>
          <t>EMMABODA</t>
        </is>
      </c>
      <c r="I355" t="n">
        <v>0.7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60192-2025</t>
        </is>
      </c>
      <c r="B356" t="inlineStr">
        <is>
          <t>avverkningsanmälan</t>
        </is>
      </c>
      <c r="C356" t="inlineStr">
        <is>
          <t>Föryngringsavverkning</t>
        </is>
      </c>
      <c r="D356" s="1" t="n">
        <v>45994</v>
      </c>
      <c r="E356" s="1" t="n">
        <v>46313</v>
      </c>
      <c r="F356" t="inlineStr">
        <is>
          <t>KALMAR LÄN</t>
        </is>
      </c>
      <c r="G356" t="inlineStr">
        <is>
          <t>EMMABODA</t>
        </is>
      </c>
      <c r="I356" t="n">
        <v>0.5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19101-2023</t>
        </is>
      </c>
      <c r="B357" t="inlineStr">
        <is>
          <t>avverkningsanmälan</t>
        </is>
      </c>
      <c r="C357" t="inlineStr">
        <is>
          <t>Föryngringsavverkning</t>
        </is>
      </c>
      <c r="D357" s="1" t="n">
        <v>45048</v>
      </c>
      <c r="E357" s="1" t="n">
        <v>46313</v>
      </c>
      <c r="F357" t="inlineStr">
        <is>
          <t>KALMAR LÄN</t>
        </is>
      </c>
      <c r="G357" t="inlineStr">
        <is>
          <t>EMMABODA</t>
        </is>
      </c>
      <c r="I357" t="n">
        <v>0.7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57717-2022</t>
        </is>
      </c>
      <c r="B358" t="inlineStr">
        <is>
          <t>avverkningsanmälan</t>
        </is>
      </c>
      <c r="C358" t="inlineStr">
        <is>
          <t>Föryngringsavverkning</t>
        </is>
      </c>
      <c r="D358" s="1" t="n">
        <v>44897</v>
      </c>
      <c r="E358" s="1" t="n">
        <v>46313</v>
      </c>
      <c r="F358" t="inlineStr">
        <is>
          <t>KALMAR LÄN</t>
        </is>
      </c>
      <c r="G358" t="inlineStr">
        <is>
          <t>EMMABODA</t>
        </is>
      </c>
      <c r="I358" t="n">
        <v>0.6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53447-2024</t>
        </is>
      </c>
      <c r="B359" t="inlineStr">
        <is>
          <t>avverkningsanmälan</t>
        </is>
      </c>
      <c r="C359" t="inlineStr">
        <is>
          <t>Föryngringsavverkning</t>
        </is>
      </c>
      <c r="D359" s="1" t="n">
        <v>45614</v>
      </c>
      <c r="E359" s="1" t="n">
        <v>46313</v>
      </c>
      <c r="F359" t="inlineStr">
        <is>
          <t>KALMAR LÄN</t>
        </is>
      </c>
      <c r="G359" t="inlineStr">
        <is>
          <t>EMMABODA</t>
        </is>
      </c>
      <c r="I359" t="n">
        <v>1.1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53704-2023</t>
        </is>
      </c>
      <c r="B360" t="inlineStr">
        <is>
          <t>avverkningsanmälan</t>
        </is>
      </c>
      <c r="C360" t="inlineStr">
        <is>
          <t>Föryngringsavverkning</t>
        </is>
      </c>
      <c r="D360" s="1" t="n">
        <v>45230</v>
      </c>
      <c r="E360" s="1" t="n">
        <v>46313</v>
      </c>
      <c r="F360" t="inlineStr">
        <is>
          <t>KALMAR LÄN</t>
        </is>
      </c>
      <c r="G360" t="inlineStr">
        <is>
          <t>EMMABODA</t>
        </is>
      </c>
      <c r="I360" t="n">
        <v>2.6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8361-2023</t>
        </is>
      </c>
      <c r="B361" t="inlineStr">
        <is>
          <t>avverkningsanmälan</t>
        </is>
      </c>
      <c r="C361" t="inlineStr">
        <is>
          <t>Föryngringsavverkning</t>
        </is>
      </c>
      <c r="D361" s="1" t="n">
        <v>44977</v>
      </c>
      <c r="E361" s="1" t="n">
        <v>46313</v>
      </c>
      <c r="F361" t="inlineStr">
        <is>
          <t>KALMAR LÄN</t>
        </is>
      </c>
      <c r="G361" t="inlineStr">
        <is>
          <t>EMMABODA</t>
        </is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47451-2024</t>
        </is>
      </c>
      <c r="B362" t="inlineStr">
        <is>
          <t>avverkningsanmälan</t>
        </is>
      </c>
      <c r="C362" t="inlineStr">
        <is>
          <t>Föryngringsavverkning</t>
        </is>
      </c>
      <c r="D362" s="1" t="n">
        <v>45587</v>
      </c>
      <c r="E362" s="1" t="n">
        <v>46313</v>
      </c>
      <c r="F362" t="inlineStr">
        <is>
          <t>KALMAR LÄN</t>
        </is>
      </c>
      <c r="G362" t="inlineStr">
        <is>
          <t>EMMABODA</t>
        </is>
      </c>
      <c r="I362" t="n">
        <v>0.6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45706-2025</t>
        </is>
      </c>
      <c r="B363" t="inlineStr">
        <is>
          <t>avverkningsanmälan</t>
        </is>
      </c>
      <c r="C363" t="inlineStr">
        <is>
          <t>Föryngringsavverkning</t>
        </is>
      </c>
      <c r="D363" s="1" t="n">
        <v>45923</v>
      </c>
      <c r="E363" s="1" t="n">
        <v>46313</v>
      </c>
      <c r="F363" t="inlineStr">
        <is>
          <t>KALMAR LÄN</t>
        </is>
      </c>
      <c r="G363" t="inlineStr">
        <is>
          <t>EMMABODA</t>
        </is>
      </c>
      <c r="I363" t="n">
        <v>2.3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1019-2024</t>
        </is>
      </c>
      <c r="B364" t="inlineStr">
        <is>
          <t>avverkningsanmälan</t>
        </is>
      </c>
      <c r="C364" t="inlineStr">
        <is>
          <t>Föryngringsavverkning</t>
        </is>
      </c>
      <c r="D364" s="1" t="n">
        <v>45301</v>
      </c>
      <c r="E364" s="1" t="n">
        <v>46313</v>
      </c>
      <c r="F364" t="inlineStr">
        <is>
          <t>KALMAR LÄN</t>
        </is>
      </c>
      <c r="G364" t="inlineStr">
        <is>
          <t>EMMABODA</t>
        </is>
      </c>
      <c r="I364" t="n">
        <v>1.1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55590-2024</t>
        </is>
      </c>
      <c r="B365" t="inlineStr">
        <is>
          <t>avverkningsanmälan</t>
        </is>
      </c>
      <c r="C365" t="inlineStr">
        <is>
          <t>Föryngringsavverkning</t>
        </is>
      </c>
      <c r="D365" s="1" t="n">
        <v>45622</v>
      </c>
      <c r="E365" s="1" t="n">
        <v>46313</v>
      </c>
      <c r="F365" t="inlineStr">
        <is>
          <t>KALMAR LÄN</t>
        </is>
      </c>
      <c r="G365" t="inlineStr">
        <is>
          <t>EMMABODA</t>
        </is>
      </c>
      <c r="I365" t="n">
        <v>0.5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28-2026</t>
        </is>
      </c>
      <c r="B366" t="inlineStr">
        <is>
          <t>avverkningsanmälan</t>
        </is>
      </c>
      <c r="C366" t="inlineStr">
        <is>
          <t>Föryngringsavverkning</t>
        </is>
      </c>
      <c r="D366" s="1" t="n">
        <v>46024</v>
      </c>
      <c r="E366" s="1" t="n">
        <v>46313</v>
      </c>
      <c r="F366" t="inlineStr">
        <is>
          <t>KALMAR LÄN</t>
        </is>
      </c>
      <c r="G366" t="inlineStr">
        <is>
          <t>EMMABODA</t>
        </is>
      </c>
      <c r="I366" t="n">
        <v>7.9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26923-2023</t>
        </is>
      </c>
      <c r="B367" t="inlineStr">
        <is>
          <t>avverkningsanmälan</t>
        </is>
      </c>
      <c r="C367" t="inlineStr">
        <is>
          <t>Föryngringsavverkning</t>
        </is>
      </c>
      <c r="D367" s="1" t="n">
        <v>45093</v>
      </c>
      <c r="E367" s="1" t="n">
        <v>46313</v>
      </c>
      <c r="F367" t="inlineStr">
        <is>
          <t>KALMAR LÄN</t>
        </is>
      </c>
      <c r="G367" t="inlineStr">
        <is>
          <t>EMMABODA</t>
        </is>
      </c>
      <c r="I367" t="n">
        <v>0.5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6330-2023</t>
        </is>
      </c>
      <c r="B368" t="inlineStr">
        <is>
          <t>avverkningsanmälan</t>
        </is>
      </c>
      <c r="C368" t="inlineStr">
        <is>
          <t>Föryngringsavverkning</t>
        </is>
      </c>
      <c r="D368" s="1" t="n">
        <v>44965</v>
      </c>
      <c r="E368" s="1" t="n">
        <v>46313</v>
      </c>
      <c r="F368" t="inlineStr">
        <is>
          <t>KALMAR LÄN</t>
        </is>
      </c>
      <c r="G368" t="inlineStr">
        <is>
          <t>EMMABODA</t>
        </is>
      </c>
      <c r="I368" t="n">
        <v>0.8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2186-2026</t>
        </is>
      </c>
      <c r="B369" t="inlineStr">
        <is>
          <t>avverkningsanmälan</t>
        </is>
      </c>
      <c r="C369" t="inlineStr">
        <is>
          <t>Föryngringsavverkning</t>
        </is>
      </c>
      <c r="D369" s="1" t="n">
        <v>46036</v>
      </c>
      <c r="E369" s="1" t="n">
        <v>46313</v>
      </c>
      <c r="F369" t="inlineStr">
        <is>
          <t>KALMAR LÄN</t>
        </is>
      </c>
      <c r="G369" t="inlineStr">
        <is>
          <t>EMMABODA</t>
        </is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27676-2022</t>
        </is>
      </c>
      <c r="B370" t="inlineStr">
        <is>
          <t>avverkningsanmälan</t>
        </is>
      </c>
      <c r="C370" t="inlineStr">
        <is>
          <t>Föryngringsavverkning</t>
        </is>
      </c>
      <c r="D370" s="1" t="n">
        <v>44743</v>
      </c>
      <c r="E370" s="1" t="n">
        <v>46313</v>
      </c>
      <c r="F370" t="inlineStr">
        <is>
          <t>KALMAR LÄN</t>
        </is>
      </c>
      <c r="G370" t="inlineStr">
        <is>
          <t>EMMABODA</t>
        </is>
      </c>
      <c r="I370" t="n">
        <v>0.7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29023-2022</t>
        </is>
      </c>
      <c r="B371" t="inlineStr">
        <is>
          <t>avverkningsanmälan</t>
        </is>
      </c>
      <c r="C371" t="inlineStr">
        <is>
          <t>Föryngringsavverkning</t>
        </is>
      </c>
      <c r="D371" s="1" t="n">
        <v>44749</v>
      </c>
      <c r="E371" s="1" t="n">
        <v>46313</v>
      </c>
      <c r="F371" t="inlineStr">
        <is>
          <t>KALMAR LÄN</t>
        </is>
      </c>
      <c r="G371" t="inlineStr">
        <is>
          <t>EMMABODA</t>
        </is>
      </c>
      <c r="I371" t="n">
        <v>1.4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4401-2024</t>
        </is>
      </c>
      <c r="B372" t="inlineStr">
        <is>
          <t>avverkningsanmälan</t>
        </is>
      </c>
      <c r="C372" t="inlineStr">
        <is>
          <t>Föryngringsavverkning</t>
        </is>
      </c>
      <c r="D372" s="1" t="n">
        <v>45327</v>
      </c>
      <c r="E372" s="1" t="n">
        <v>46313</v>
      </c>
      <c r="F372" t="inlineStr">
        <is>
          <t>KALMAR LÄN</t>
        </is>
      </c>
      <c r="G372" t="inlineStr">
        <is>
          <t>EMMABODA</t>
        </is>
      </c>
      <c r="I372" t="n">
        <v>0.6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4393-2024</t>
        </is>
      </c>
      <c r="B373" t="inlineStr">
        <is>
          <t>avverkningsanmälan</t>
        </is>
      </c>
      <c r="C373" t="inlineStr">
        <is>
          <t>Föryngringsavverkning</t>
        </is>
      </c>
      <c r="D373" s="1" t="n">
        <v>45327</v>
      </c>
      <c r="E373" s="1" t="n">
        <v>46313</v>
      </c>
      <c r="F373" t="inlineStr">
        <is>
          <t>KALMAR LÄN</t>
        </is>
      </c>
      <c r="G373" t="inlineStr">
        <is>
          <t>EMMABODA</t>
        </is>
      </c>
      <c r="I373" t="n">
        <v>3.8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4032-2026</t>
        </is>
      </c>
      <c r="B374" t="inlineStr">
        <is>
          <t>avverkningsanmälan</t>
        </is>
      </c>
      <c r="C374" t="inlineStr">
        <is>
          <t>Föryngringsavverkning</t>
        </is>
      </c>
      <c r="D374" s="1" t="n">
        <v>46044</v>
      </c>
      <c r="E374" s="1" t="n">
        <v>46313</v>
      </c>
      <c r="F374" t="inlineStr">
        <is>
          <t>KALMAR LÄN</t>
        </is>
      </c>
      <c r="G374" t="inlineStr">
        <is>
          <t>EMMABODA</t>
        </is>
      </c>
      <c r="I374" t="n">
        <v>5.1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41366-2024</t>
        </is>
      </c>
      <c r="B375" t="inlineStr">
        <is>
          <t>avverkningsanmälan</t>
        </is>
      </c>
      <c r="C375" t="inlineStr">
        <is>
          <t>Föryngringsavverkning</t>
        </is>
      </c>
      <c r="D375" s="1" t="n">
        <v>45559</v>
      </c>
      <c r="E375" s="1" t="n">
        <v>46313</v>
      </c>
      <c r="F375" t="inlineStr">
        <is>
          <t>KALMAR LÄN</t>
        </is>
      </c>
      <c r="G375" t="inlineStr">
        <is>
          <t>EMMABODA</t>
        </is>
      </c>
      <c r="H375" t="inlineStr">
        <is>
          <t>Övriga Aktiebolag</t>
        </is>
      </c>
      <c r="I375" t="n">
        <v>5.1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5057-2026</t>
        </is>
      </c>
      <c r="B376" t="inlineStr">
        <is>
          <t>avverkningsanmälan</t>
        </is>
      </c>
      <c r="C376" t="inlineStr">
        <is>
          <t>Föryngringsavverkning</t>
        </is>
      </c>
      <c r="D376" s="1" t="n">
        <v>46049</v>
      </c>
      <c r="E376" s="1" t="n">
        <v>46313</v>
      </c>
      <c r="F376" t="inlineStr">
        <is>
          <t>KALMAR LÄN</t>
        </is>
      </c>
      <c r="G376" t="inlineStr">
        <is>
          <t>EMMABODA</t>
        </is>
      </c>
      <c r="I376" t="n">
        <v>2.4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42836-2023</t>
        </is>
      </c>
      <c r="B377" t="inlineStr">
        <is>
          <t>avverkningsanmälan</t>
        </is>
      </c>
      <c r="C377" t="inlineStr">
        <is>
          <t>Föryngringsavverkning</t>
        </is>
      </c>
      <c r="D377" s="1" t="n">
        <v>45182</v>
      </c>
      <c r="E377" s="1" t="n">
        <v>46313</v>
      </c>
      <c r="F377" t="inlineStr">
        <is>
          <t>KALMAR LÄN</t>
        </is>
      </c>
      <c r="G377" t="inlineStr">
        <is>
          <t>EMMABODA</t>
        </is>
      </c>
      <c r="I377" t="n">
        <v>2.2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26199-2026</t>
        </is>
      </c>
      <c r="B378" t="inlineStr">
        <is>
          <t>avverkningsanmälan</t>
        </is>
      </c>
      <c r="C378" t="inlineStr">
        <is>
          <t>Föryngringsavverkning</t>
        </is>
      </c>
      <c r="D378" s="1" t="n">
        <v>46182</v>
      </c>
      <c r="E378" s="1" t="n">
        <v>46313</v>
      </c>
      <c r="F378" t="inlineStr">
        <is>
          <t>KALMAR LÄN</t>
        </is>
      </c>
      <c r="G378" t="inlineStr">
        <is>
          <t>EMMABODA</t>
        </is>
      </c>
      <c r="I378" t="n">
        <v>6.3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</row>
    <row r="379" ht="15" customHeight="1">
      <c r="A379" t="inlineStr">
        <is>
          <t>A 19881-2024</t>
        </is>
      </c>
      <c r="B379" t="inlineStr">
        <is>
          <t>avverkningsanmälan</t>
        </is>
      </c>
      <c r="C379" t="inlineStr">
        <is>
          <t>Avverkning för att bevara och utveckla /försöksver</t>
        </is>
      </c>
      <c r="D379" s="1" t="n">
        <v>45433</v>
      </c>
      <c r="E379" s="1" t="n">
        <v>46313</v>
      </c>
      <c r="F379" t="inlineStr">
        <is>
          <t>KALMAR LÄN</t>
        </is>
      </c>
      <c r="G379" t="inlineStr">
        <is>
          <t>EMMABODA</t>
        </is>
      </c>
      <c r="I379" t="n">
        <v>0.6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A 26193-2026</t>
        </is>
      </c>
      <c r="B380" t="inlineStr">
        <is>
          <t>avverkningsanmälan</t>
        </is>
      </c>
      <c r="C380" t="inlineStr">
        <is>
          <t>Föryngringsavverkning</t>
        </is>
      </c>
      <c r="D380" s="1" t="n">
        <v>46182</v>
      </c>
      <c r="E380" s="1" t="n">
        <v>46313</v>
      </c>
      <c r="F380" t="inlineStr">
        <is>
          <t>KALMAR LÄN</t>
        </is>
      </c>
      <c r="G380" t="inlineStr">
        <is>
          <t>EMMABODA</t>
        </is>
      </c>
      <c r="I380" t="n">
        <v>2.7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A 6272-2026</t>
        </is>
      </c>
      <c r="B381" t="inlineStr">
        <is>
          <t>avverkningsanmälan</t>
        </is>
      </c>
      <c r="C381" t="inlineStr">
        <is>
          <t>Föryngringsavverkning</t>
        </is>
      </c>
      <c r="D381" s="1" t="n">
        <v>46055</v>
      </c>
      <c r="E381" s="1" t="n">
        <v>46313</v>
      </c>
      <c r="F381" t="inlineStr">
        <is>
          <t>KALMAR LÄN</t>
        </is>
      </c>
      <c r="G381" t="inlineStr">
        <is>
          <t>EMMABODA</t>
        </is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A 29757-2023</t>
        </is>
      </c>
      <c r="B382" t="inlineStr">
        <is>
          <t>avverkningsanmälan</t>
        </is>
      </c>
      <c r="C382" t="inlineStr">
        <is>
          <t>Föryngringsavverkning</t>
        </is>
      </c>
      <c r="D382" s="1" t="n">
        <v>45107</v>
      </c>
      <c r="E382" s="1" t="n">
        <v>46313</v>
      </c>
      <c r="F382" t="inlineStr">
        <is>
          <t>KALMAR LÄN</t>
        </is>
      </c>
      <c r="G382" t="inlineStr">
        <is>
          <t>EMMABODA</t>
        </is>
      </c>
      <c r="I382" t="n">
        <v>0.4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A 13801-2023</t>
        </is>
      </c>
      <c r="B383" t="inlineStr">
        <is>
          <t>avverkningsanmälan</t>
        </is>
      </c>
      <c r="C383" t="inlineStr">
        <is>
          <t>Föryngringsavverkning</t>
        </is>
      </c>
      <c r="D383" s="1" t="n">
        <v>45007</v>
      </c>
      <c r="E383" s="1" t="n">
        <v>46313</v>
      </c>
      <c r="F383" t="inlineStr">
        <is>
          <t>KALMAR LÄN</t>
        </is>
      </c>
      <c r="G383" t="inlineStr">
        <is>
          <t>EMMABODA</t>
        </is>
      </c>
      <c r="I383" t="n">
        <v>0.9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A 13805-2023</t>
        </is>
      </c>
      <c r="B384" t="inlineStr">
        <is>
          <t>avverkningsanmälan</t>
        </is>
      </c>
      <c r="C384" t="inlineStr">
        <is>
          <t>Föryngringsavverkning</t>
        </is>
      </c>
      <c r="D384" s="1" t="n">
        <v>45007</v>
      </c>
      <c r="E384" s="1" t="n">
        <v>46313</v>
      </c>
      <c r="F384" t="inlineStr">
        <is>
          <t>KALMAR LÄN</t>
        </is>
      </c>
      <c r="G384" t="inlineStr">
        <is>
          <t>EMMABODA</t>
        </is>
      </c>
      <c r="I384" t="n">
        <v>0.5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A 26502-2026</t>
        </is>
      </c>
      <c r="B385" t="inlineStr">
        <is>
          <t>avverkningsanmälan</t>
        </is>
      </c>
      <c r="C385" t="inlineStr">
        <is>
          <t>Föryngringsavverkning</t>
        </is>
      </c>
      <c r="D385" s="1" t="n">
        <v>46183</v>
      </c>
      <c r="E385" s="1" t="n">
        <v>46313</v>
      </c>
      <c r="F385" t="inlineStr">
        <is>
          <t>KALMAR LÄN</t>
        </is>
      </c>
      <c r="G385" t="inlineStr">
        <is>
          <t>EMMABODA</t>
        </is>
      </c>
      <c r="I385" t="n">
        <v>6.1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A 35849-2023</t>
        </is>
      </c>
      <c r="B386" t="inlineStr">
        <is>
          <t>avverkningsanmälan</t>
        </is>
      </c>
      <c r="C386" t="inlineStr">
        <is>
          <t>Föryngringsavverkning</t>
        </is>
      </c>
      <c r="D386" s="1" t="n">
        <v>45148</v>
      </c>
      <c r="E386" s="1" t="n">
        <v>46313</v>
      </c>
      <c r="F386" t="inlineStr">
        <is>
          <t>KALMAR LÄN</t>
        </is>
      </c>
      <c r="G386" t="inlineStr">
        <is>
          <t>EMMABODA</t>
        </is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A 24784-2023</t>
        </is>
      </c>
      <c r="B387" t="inlineStr">
        <is>
          <t>avverkningsanmälan</t>
        </is>
      </c>
      <c r="C387" t="inlineStr">
        <is>
          <t>Föryngringsavverkning</t>
        </is>
      </c>
      <c r="D387" s="1" t="n">
        <v>45084</v>
      </c>
      <c r="E387" s="1" t="n">
        <v>46313</v>
      </c>
      <c r="F387" t="inlineStr">
        <is>
          <t>KALMAR LÄN</t>
        </is>
      </c>
      <c r="G387" t="inlineStr">
        <is>
          <t>EMMABODA</t>
        </is>
      </c>
      <c r="I387" t="n">
        <v>1.4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A 7080-2026</t>
        </is>
      </c>
      <c r="B388" t="inlineStr">
        <is>
          <t>avverkningsanmälan</t>
        </is>
      </c>
      <c r="C388" t="inlineStr">
        <is>
          <t>Föryngringsavverkning</t>
        </is>
      </c>
      <c r="D388" s="1" t="n">
        <v>46058</v>
      </c>
      <c r="E388" s="1" t="n">
        <v>46313</v>
      </c>
      <c r="F388" t="inlineStr">
        <is>
          <t>KALMAR LÄN</t>
        </is>
      </c>
      <c r="G388" t="inlineStr">
        <is>
          <t>EMMABODA</t>
        </is>
      </c>
      <c r="I388" t="n">
        <v>0.6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 ht="15" customHeight="1">
      <c r="A389" t="inlineStr">
        <is>
          <t>A 7871-2026</t>
        </is>
      </c>
      <c r="B389" t="inlineStr">
        <is>
          <t>avverkningsanmälan</t>
        </is>
      </c>
      <c r="C389" t="inlineStr">
        <is>
          <t>Föryngringsavverkning</t>
        </is>
      </c>
      <c r="D389" s="1" t="n">
        <v>46062</v>
      </c>
      <c r="E389" s="1" t="n">
        <v>46313</v>
      </c>
      <c r="F389" t="inlineStr">
        <is>
          <t>KALMAR LÄN</t>
        </is>
      </c>
      <c r="G389" t="inlineStr">
        <is>
          <t>EMMABODA</t>
        </is>
      </c>
      <c r="I389" t="n">
        <v>0.6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  <row r="390" ht="15" customHeight="1">
      <c r="A390" t="inlineStr">
        <is>
          <t>A 36496-2024</t>
        </is>
      </c>
      <c r="B390" t="inlineStr">
        <is>
          <t>avverkningsanmälan</t>
        </is>
      </c>
      <c r="C390" t="inlineStr">
        <is>
          <t>Föryngringsavverkning</t>
        </is>
      </c>
      <c r="D390" s="1" t="n">
        <v>45537</v>
      </c>
      <c r="E390" s="1" t="n">
        <v>46313</v>
      </c>
      <c r="F390" t="inlineStr">
        <is>
          <t>KALMAR LÄN</t>
        </is>
      </c>
      <c r="G390" t="inlineStr">
        <is>
          <t>EMMABODA</t>
        </is>
      </c>
      <c r="I390" t="n">
        <v>0.9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inlineStr"/>
    </row>
    <row r="391" ht="15" customHeight="1">
      <c r="A391" t="inlineStr">
        <is>
          <t>A 64681-2023</t>
        </is>
      </c>
      <c r="B391" t="inlineStr">
        <is>
          <t>avverkningsanmälan</t>
        </is>
      </c>
      <c r="C391" t="inlineStr">
        <is>
          <t>Föryngringsavverkning</t>
        </is>
      </c>
      <c r="D391" s="1" t="n">
        <v>45281</v>
      </c>
      <c r="E391" s="1" t="n">
        <v>46313</v>
      </c>
      <c r="F391" t="inlineStr">
        <is>
          <t>KALMAR LÄN</t>
        </is>
      </c>
      <c r="G391" t="inlineStr">
        <is>
          <t>EMMABODA</t>
        </is>
      </c>
      <c r="I391" t="n">
        <v>0.5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inlineStr"/>
    </row>
    <row r="392" ht="15" customHeight="1">
      <c r="A392" t="inlineStr">
        <is>
          <t>A 49626-2023</t>
        </is>
      </c>
      <c r="B392" t="inlineStr">
        <is>
          <t>avverkningsanmälan</t>
        </is>
      </c>
      <c r="C392" t="inlineStr">
        <is>
          <t>Föryngringsavverkning</t>
        </is>
      </c>
      <c r="D392" s="1" t="n">
        <v>45211</v>
      </c>
      <c r="E392" s="1" t="n">
        <v>46313</v>
      </c>
      <c r="F392" t="inlineStr">
        <is>
          <t>KALMAR LÄN</t>
        </is>
      </c>
      <c r="G392" t="inlineStr">
        <is>
          <t>EMMABODA</t>
        </is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inlineStr"/>
    </row>
    <row r="393" ht="15" customHeight="1">
      <c r="A393" t="inlineStr">
        <is>
          <t>A 15787-2023</t>
        </is>
      </c>
      <c r="B393" t="inlineStr">
        <is>
          <t>avverkningsanmälan</t>
        </is>
      </c>
      <c r="C393" t="inlineStr">
        <is>
          <t>Föryngringsavverkning</t>
        </is>
      </c>
      <c r="D393" s="1" t="n">
        <v>45021</v>
      </c>
      <c r="E393" s="1" t="n">
        <v>46313</v>
      </c>
      <c r="F393" t="inlineStr">
        <is>
          <t>KALMAR LÄN</t>
        </is>
      </c>
      <c r="G393" t="inlineStr">
        <is>
          <t>EMMABODA</t>
        </is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inlineStr"/>
    </row>
    <row r="394" ht="15" customHeight="1">
      <c r="A394" t="inlineStr">
        <is>
          <t>A 9263-2026</t>
        </is>
      </c>
      <c r="B394" t="inlineStr">
        <is>
          <t>avverkningsanmälan</t>
        </is>
      </c>
      <c r="C394" t="inlineStr">
        <is>
          <t>Föryngringsavverkning</t>
        </is>
      </c>
      <c r="D394" s="1" t="n">
        <v>46069</v>
      </c>
      <c r="E394" s="1" t="n">
        <v>46313</v>
      </c>
      <c r="F394" t="inlineStr">
        <is>
          <t>KALMAR LÄN</t>
        </is>
      </c>
      <c r="G394" t="inlineStr">
        <is>
          <t>EMMABODA</t>
        </is>
      </c>
      <c r="H394" t="inlineStr">
        <is>
          <t>Kyrkan</t>
        </is>
      </c>
      <c r="I394" t="n">
        <v>2.4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s="2" t="inlineStr"/>
    </row>
    <row r="395" ht="15" customHeight="1">
      <c r="A395" t="inlineStr">
        <is>
          <t>A 27030-2026</t>
        </is>
      </c>
      <c r="B395" t="inlineStr">
        <is>
          <t>avverkningsanmälan</t>
        </is>
      </c>
      <c r="C395" t="inlineStr">
        <is>
          <t>Föryngringsavverkning</t>
        </is>
      </c>
      <c r="D395" s="1" t="n">
        <v>46185</v>
      </c>
      <c r="E395" s="1" t="n">
        <v>46313</v>
      </c>
      <c r="F395" t="inlineStr">
        <is>
          <t>KALMAR LÄN</t>
        </is>
      </c>
      <c r="G395" t="inlineStr">
        <is>
          <t>EMMABODA</t>
        </is>
      </c>
      <c r="I395" t="n">
        <v>0.4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s="2" t="inlineStr"/>
    </row>
    <row r="396" ht="15" customHeight="1">
      <c r="A396" t="inlineStr">
        <is>
          <t>A 27455-2026</t>
        </is>
      </c>
      <c r="B396" t="inlineStr">
        <is>
          <t>avverkningsanmälan</t>
        </is>
      </c>
      <c r="C396" t="inlineStr">
        <is>
          <t>Föryngringsavverkning</t>
        </is>
      </c>
      <c r="D396" s="1" t="n">
        <v>46189</v>
      </c>
      <c r="E396" s="1" t="n">
        <v>46313</v>
      </c>
      <c r="F396" t="inlineStr">
        <is>
          <t>KALMAR LÄN</t>
        </is>
      </c>
      <c r="G396" t="inlineStr">
        <is>
          <t>EMMABODA</t>
        </is>
      </c>
      <c r="I396" t="n">
        <v>9.1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s="2" t="inlineStr"/>
    </row>
    <row r="397" ht="15" customHeight="1">
      <c r="A397" t="inlineStr">
        <is>
          <t>A 68940-2021</t>
        </is>
      </c>
      <c r="B397" t="inlineStr">
        <is>
          <t>avverkningsanmälan</t>
        </is>
      </c>
      <c r="C397" t="inlineStr">
        <is>
          <t>Föryngringsavverkning</t>
        </is>
      </c>
      <c r="D397" s="1" t="n">
        <v>44530</v>
      </c>
      <c r="E397" s="1" t="n">
        <v>46313</v>
      </c>
      <c r="F397" t="inlineStr">
        <is>
          <t>KALMAR LÄN</t>
        </is>
      </c>
      <c r="G397" t="inlineStr">
        <is>
          <t>EMMABODA</t>
        </is>
      </c>
      <c r="I397" t="n">
        <v>2.6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s="2" t="inlineStr"/>
    </row>
    <row r="398" ht="15" customHeight="1">
      <c r="A398" t="inlineStr">
        <is>
          <t>A 44540-2023</t>
        </is>
      </c>
      <c r="B398" t="inlineStr">
        <is>
          <t>avverkningsanmälan</t>
        </is>
      </c>
      <c r="C398" t="inlineStr">
        <is>
          <t>Föryngringsavverkning</t>
        </is>
      </c>
      <c r="D398" s="1" t="n">
        <v>45189</v>
      </c>
      <c r="E398" s="1" t="n">
        <v>46313</v>
      </c>
      <c r="F398" t="inlineStr">
        <is>
          <t>KALMAR LÄN</t>
        </is>
      </c>
      <c r="G398" t="inlineStr">
        <is>
          <t>EMMABODA</t>
        </is>
      </c>
      <c r="I398" t="n">
        <v>1.2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s="2" t="inlineStr"/>
    </row>
    <row r="399" ht="15" customHeight="1">
      <c r="A399" t="inlineStr">
        <is>
          <t>A 27173-2026</t>
        </is>
      </c>
      <c r="B399" t="inlineStr">
        <is>
          <t>avverkningsanmälan</t>
        </is>
      </c>
      <c r="C399" t="inlineStr">
        <is>
          <t>Föryngringsavverkning</t>
        </is>
      </c>
      <c r="D399" s="1" t="n">
        <v>46188</v>
      </c>
      <c r="E399" s="1" t="n">
        <v>46313</v>
      </c>
      <c r="F399" t="inlineStr">
        <is>
          <t>KALMAR LÄN</t>
        </is>
      </c>
      <c r="G399" t="inlineStr">
        <is>
          <t>EMMABODA</t>
        </is>
      </c>
      <c r="I399" t="n">
        <v>0.5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s="2" t="inlineStr"/>
    </row>
    <row r="400" ht="15" customHeight="1">
      <c r="A400" t="inlineStr">
        <is>
          <t>A 9688-2026</t>
        </is>
      </c>
      <c r="B400" t="inlineStr">
        <is>
          <t>avverkningsanmälan</t>
        </is>
      </c>
      <c r="C400" t="inlineStr">
        <is>
          <t>Föryngringsavverkning</t>
        </is>
      </c>
      <c r="D400" s="1" t="n">
        <v>46071</v>
      </c>
      <c r="E400" s="1" t="n">
        <v>46313</v>
      </c>
      <c r="F400" t="inlineStr">
        <is>
          <t>KALMAR LÄN</t>
        </is>
      </c>
      <c r="G400" t="inlineStr">
        <is>
          <t>EMMABODA</t>
        </is>
      </c>
      <c r="H400" t="inlineStr">
        <is>
          <t>Kyrkan</t>
        </is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s="2" t="inlineStr"/>
    </row>
    <row r="401" ht="15" customHeight="1">
      <c r="A401" t="inlineStr">
        <is>
          <t>A 1741-2023</t>
        </is>
      </c>
      <c r="B401" t="inlineStr">
        <is>
          <t>avverkningsanmälan</t>
        </is>
      </c>
      <c r="C401" t="inlineStr">
        <is>
          <t>Föryngringsavverkning</t>
        </is>
      </c>
      <c r="D401" s="1" t="n">
        <v>44938</v>
      </c>
      <c r="E401" s="1" t="n">
        <v>46313</v>
      </c>
      <c r="F401" t="inlineStr">
        <is>
          <t>KALMAR LÄN</t>
        </is>
      </c>
      <c r="G401" t="inlineStr">
        <is>
          <t>EMMABODA</t>
        </is>
      </c>
      <c r="I401" t="n">
        <v>1.5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s="2" t="inlineStr"/>
    </row>
    <row r="402" ht="15" customHeight="1">
      <c r="A402" t="inlineStr">
        <is>
          <t>A 27028-2026</t>
        </is>
      </c>
      <c r="B402" t="inlineStr">
        <is>
          <t>avverkningsanmälan</t>
        </is>
      </c>
      <c r="C402" t="inlineStr">
        <is>
          <t>Föryngringsavverkning</t>
        </is>
      </c>
      <c r="D402" s="1" t="n">
        <v>46185</v>
      </c>
      <c r="E402" s="1" t="n">
        <v>46313</v>
      </c>
      <c r="F402" t="inlineStr">
        <is>
          <t>KALMAR LÄN</t>
        </is>
      </c>
      <c r="G402" t="inlineStr">
        <is>
          <t>EMMABODA</t>
        </is>
      </c>
      <c r="I402" t="n">
        <v>0.2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s="2" t="inlineStr"/>
    </row>
    <row r="403" ht="15" customHeight="1">
      <c r="A403" t="inlineStr">
        <is>
          <t>A 9724-2026</t>
        </is>
      </c>
      <c r="B403" t="inlineStr">
        <is>
          <t>avverkningsanmälan</t>
        </is>
      </c>
      <c r="C403" t="inlineStr">
        <is>
          <t>Föryngringsavverkning</t>
        </is>
      </c>
      <c r="D403" s="1" t="n">
        <v>46071</v>
      </c>
      <c r="E403" s="1" t="n">
        <v>46313</v>
      </c>
      <c r="F403" t="inlineStr">
        <is>
          <t>KALMAR LÄN</t>
        </is>
      </c>
      <c r="G403" t="inlineStr">
        <is>
          <t>EMMABODA</t>
        </is>
      </c>
      <c r="H403" t="inlineStr">
        <is>
          <t>Kyrkan</t>
        </is>
      </c>
      <c r="I403" t="n">
        <v>0.8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s="2" t="inlineStr"/>
    </row>
    <row r="404" ht="15" customHeight="1">
      <c r="A404" t="inlineStr">
        <is>
          <t>A 27133-2026</t>
        </is>
      </c>
      <c r="B404" t="inlineStr">
        <is>
          <t>avverkningsanmälan</t>
        </is>
      </c>
      <c r="C404" t="inlineStr">
        <is>
          <t>Föryngringsavverkning</t>
        </is>
      </c>
      <c r="D404" s="1" t="n">
        <v>46188</v>
      </c>
      <c r="E404" s="1" t="n">
        <v>46313</v>
      </c>
      <c r="F404" t="inlineStr">
        <is>
          <t>KALMAR LÄN</t>
        </is>
      </c>
      <c r="G404" t="inlineStr">
        <is>
          <t>EMMABODA</t>
        </is>
      </c>
      <c r="I404" t="n">
        <v>0.8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s="2" t="inlineStr"/>
    </row>
    <row r="405" ht="15" customHeight="1">
      <c r="A405" t="inlineStr">
        <is>
          <t>A 9704-2026</t>
        </is>
      </c>
      <c r="B405" t="inlineStr">
        <is>
          <t>avverkningsanmälan</t>
        </is>
      </c>
      <c r="C405" t="inlineStr">
        <is>
          <t>Föryngringsavverkning</t>
        </is>
      </c>
      <c r="D405" s="1" t="n">
        <v>46072</v>
      </c>
      <c r="E405" s="1" t="n">
        <v>46313</v>
      </c>
      <c r="F405" t="inlineStr">
        <is>
          <t>KALMAR LÄN</t>
        </is>
      </c>
      <c r="G405" t="inlineStr">
        <is>
          <t>EMMABODA</t>
        </is>
      </c>
      <c r="I405" t="n">
        <v>1.2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s="2" t="inlineStr"/>
    </row>
    <row r="406" ht="15" customHeight="1">
      <c r="A406" t="inlineStr">
        <is>
          <t>A 9713-2026</t>
        </is>
      </c>
      <c r="B406" t="inlineStr">
        <is>
          <t>avverkningsanmälan</t>
        </is>
      </c>
      <c r="C406" t="inlineStr">
        <is>
          <t>Föryngringsavverkning</t>
        </is>
      </c>
      <c r="D406" s="1" t="n">
        <v>46072</v>
      </c>
      <c r="E406" s="1" t="n">
        <v>46313</v>
      </c>
      <c r="F406" t="inlineStr">
        <is>
          <t>KALMAR LÄN</t>
        </is>
      </c>
      <c r="G406" t="inlineStr">
        <is>
          <t>EMMABODA</t>
        </is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s="2" t="inlineStr"/>
    </row>
    <row r="407" ht="15" customHeight="1">
      <c r="A407" t="inlineStr">
        <is>
          <t>A 9723-2026</t>
        </is>
      </c>
      <c r="B407" t="inlineStr">
        <is>
          <t>avverkningsanmälan</t>
        </is>
      </c>
      <c r="C407" t="inlineStr">
        <is>
          <t>Föryngringsavverkning</t>
        </is>
      </c>
      <c r="D407" s="1" t="n">
        <v>46071</v>
      </c>
      <c r="E407" s="1" t="n">
        <v>46313</v>
      </c>
      <c r="F407" t="inlineStr">
        <is>
          <t>KALMAR LÄN</t>
        </is>
      </c>
      <c r="G407" t="inlineStr">
        <is>
          <t>EMMABODA</t>
        </is>
      </c>
      <c r="H407" t="inlineStr">
        <is>
          <t>Kyrkan</t>
        </is>
      </c>
      <c r="I407" t="n">
        <v>0.5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s="2" t="inlineStr"/>
    </row>
    <row r="408" ht="15" customHeight="1">
      <c r="A408" t="inlineStr">
        <is>
          <t>A 10673-2026</t>
        </is>
      </c>
      <c r="B408" t="inlineStr">
        <is>
          <t>avverkningsanmälan</t>
        </is>
      </c>
      <c r="C408" t="inlineStr">
        <is>
          <t>Föryngringsavverkning</t>
        </is>
      </c>
      <c r="D408" s="1" t="n">
        <v>46078</v>
      </c>
      <c r="E408" s="1" t="n">
        <v>46313</v>
      </c>
      <c r="F408" t="inlineStr">
        <is>
          <t>KALMAR LÄN</t>
        </is>
      </c>
      <c r="G408" t="inlineStr">
        <is>
          <t>EMMABODA</t>
        </is>
      </c>
      <c r="I408" t="n">
        <v>2.9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s="2" t="inlineStr"/>
    </row>
    <row r="409" ht="15" customHeight="1">
      <c r="A409" t="inlineStr">
        <is>
          <t>A 46775-2022</t>
        </is>
      </c>
      <c r="B409" t="inlineStr">
        <is>
          <t>avverkningsanmälan</t>
        </is>
      </c>
      <c r="C409" t="inlineStr">
        <is>
          <t>Föryngringsavverkning</t>
        </is>
      </c>
      <c r="D409" s="1" t="n">
        <v>44851</v>
      </c>
      <c r="E409" s="1" t="n">
        <v>46313</v>
      </c>
      <c r="F409" t="inlineStr">
        <is>
          <t>KALMAR LÄN</t>
        </is>
      </c>
      <c r="G409" t="inlineStr">
        <is>
          <t>EMMABODA</t>
        </is>
      </c>
      <c r="I409" t="n">
        <v>1.1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s="2" t="inlineStr"/>
    </row>
    <row r="410" ht="15" customHeight="1">
      <c r="A410" t="inlineStr">
        <is>
          <t>A 5666-2023</t>
        </is>
      </c>
      <c r="B410" t="inlineStr">
        <is>
          <t>avverkningsanmälan</t>
        </is>
      </c>
      <c r="C410" t="inlineStr">
        <is>
          <t>Föryngringsavverkning</t>
        </is>
      </c>
      <c r="D410" s="1" t="n">
        <v>44960</v>
      </c>
      <c r="E410" s="1" t="n">
        <v>46313</v>
      </c>
      <c r="F410" t="inlineStr">
        <is>
          <t>KALMAR LÄN</t>
        </is>
      </c>
      <c r="G410" t="inlineStr">
        <is>
          <t>EMMABODA</t>
        </is>
      </c>
      <c r="I410" t="n">
        <v>2.8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s="2" t="inlineStr"/>
    </row>
    <row r="411" ht="15" customHeight="1">
      <c r="A411" t="inlineStr">
        <is>
          <t>A 27016-2026</t>
        </is>
      </c>
      <c r="B411" t="inlineStr">
        <is>
          <t>avverkningsanmälan</t>
        </is>
      </c>
      <c r="C411" t="inlineStr">
        <is>
          <t>Föryngringsavverkning</t>
        </is>
      </c>
      <c r="D411" s="1" t="n">
        <v>46185</v>
      </c>
      <c r="E411" s="1" t="n">
        <v>46313</v>
      </c>
      <c r="F411" t="inlineStr">
        <is>
          <t>KALMAR LÄN</t>
        </is>
      </c>
      <c r="G411" t="inlineStr">
        <is>
          <t>EMMABODA</t>
        </is>
      </c>
      <c r="I411" t="n">
        <v>0.7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s="2" t="inlineStr"/>
    </row>
    <row r="412" ht="15" customHeight="1">
      <c r="A412" t="inlineStr">
        <is>
          <t>A 10927-2026</t>
        </is>
      </c>
      <c r="B412" t="inlineStr">
        <is>
          <t>avverkningsanmälan</t>
        </is>
      </c>
      <c r="C412" t="inlineStr">
        <is>
          <t>Föryngringsavverkning</t>
        </is>
      </c>
      <c r="D412" s="1" t="n">
        <v>46079</v>
      </c>
      <c r="E412" s="1" t="n">
        <v>46313</v>
      </c>
      <c r="F412" t="inlineStr">
        <is>
          <t>KALMAR LÄN</t>
        </is>
      </c>
      <c r="G412" t="inlineStr">
        <is>
          <t>EMMABODA</t>
        </is>
      </c>
      <c r="I412" t="n">
        <v>1.2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s="2" t="inlineStr"/>
    </row>
    <row r="413" ht="15" customHeight="1">
      <c r="A413" t="inlineStr">
        <is>
          <t>A 10991-2026</t>
        </is>
      </c>
      <c r="B413" t="inlineStr">
        <is>
          <t>avverkningsanmälan</t>
        </is>
      </c>
      <c r="C413" t="inlineStr">
        <is>
          <t>Föryngringsavverkning</t>
        </is>
      </c>
      <c r="D413" s="1" t="n">
        <v>46079</v>
      </c>
      <c r="E413" s="1" t="n">
        <v>46313</v>
      </c>
      <c r="F413" t="inlineStr">
        <is>
          <t>KALMAR LÄN</t>
        </is>
      </c>
      <c r="G413" t="inlineStr">
        <is>
          <t>EMMABODA</t>
        </is>
      </c>
      <c r="I413" t="n">
        <v>2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s="2" t="inlineStr"/>
    </row>
    <row r="414" ht="15" customHeight="1">
      <c r="A414" t="inlineStr">
        <is>
          <t>A 59737-2021</t>
        </is>
      </c>
      <c r="B414" t="inlineStr">
        <is>
          <t>avverkningsanmälan</t>
        </is>
      </c>
      <c r="C414" t="inlineStr">
        <is>
          <t>Avverkning för annat ändamål</t>
        </is>
      </c>
      <c r="D414" s="1" t="n">
        <v>44494</v>
      </c>
      <c r="E414" s="1" t="n">
        <v>46313</v>
      </c>
      <c r="F414" t="inlineStr">
        <is>
          <t>KALMAR LÄN</t>
        </is>
      </c>
      <c r="G414" t="inlineStr">
        <is>
          <t>EMMABODA</t>
        </is>
      </c>
      <c r="I414" t="n">
        <v>1.8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s="2" t="inlineStr"/>
    </row>
    <row r="415" ht="15" customHeight="1">
      <c r="A415" t="inlineStr">
        <is>
          <t>A 11820-2026</t>
        </is>
      </c>
      <c r="B415" t="inlineStr">
        <is>
          <t>avverkningsanmälan</t>
        </is>
      </c>
      <c r="C415" t="inlineStr">
        <is>
          <t>Föryngringsavverkning</t>
        </is>
      </c>
      <c r="D415" s="1" t="n">
        <v>46085</v>
      </c>
      <c r="E415" s="1" t="n">
        <v>46313</v>
      </c>
      <c r="F415" t="inlineStr">
        <is>
          <t>KALMAR LÄN</t>
        </is>
      </c>
      <c r="G415" t="inlineStr">
        <is>
          <t>EMMABODA</t>
        </is>
      </c>
      <c r="I415" t="n">
        <v>5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s="2" t="inlineStr"/>
    </row>
    <row r="416" ht="15" customHeight="1">
      <c r="A416" t="inlineStr">
        <is>
          <t>A 11945-2026</t>
        </is>
      </c>
      <c r="B416" t="inlineStr">
        <is>
          <t>avverkningsanmälan</t>
        </is>
      </c>
      <c r="C416" t="inlineStr">
        <is>
          <t>Föryngringsavverkning</t>
        </is>
      </c>
      <c r="D416" s="1" t="n">
        <v>46085</v>
      </c>
      <c r="E416" s="1" t="n">
        <v>46313</v>
      </c>
      <c r="F416" t="inlineStr">
        <is>
          <t>KALMAR LÄN</t>
        </is>
      </c>
      <c r="G416" t="inlineStr">
        <is>
          <t>EMMABODA</t>
        </is>
      </c>
      <c r="I416" t="n">
        <v>0.9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s="2" t="inlineStr"/>
    </row>
    <row r="417" ht="15" customHeight="1">
      <c r="A417" t="inlineStr">
        <is>
          <t>A 11903-2026</t>
        </is>
      </c>
      <c r="B417" t="inlineStr">
        <is>
          <t>avverkningsanmälan</t>
        </is>
      </c>
      <c r="C417" t="inlineStr">
        <is>
          <t>Föryngringsavverkning</t>
        </is>
      </c>
      <c r="D417" s="1" t="n">
        <v>46085</v>
      </c>
      <c r="E417" s="1" t="n">
        <v>46313</v>
      </c>
      <c r="F417" t="inlineStr">
        <is>
          <t>KALMAR LÄN</t>
        </is>
      </c>
      <c r="G417" t="inlineStr">
        <is>
          <t>EMMABODA</t>
        </is>
      </c>
      <c r="I417" t="n">
        <v>1.8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s="2" t="inlineStr"/>
    </row>
    <row r="418" ht="15" customHeight="1">
      <c r="A418" t="inlineStr">
        <is>
          <t>A 56549-2022</t>
        </is>
      </c>
      <c r="B418" t="inlineStr">
        <is>
          <t>avverkningsanmälan</t>
        </is>
      </c>
      <c r="C418" t="inlineStr">
        <is>
          <t>Föryngringsavverkning</t>
        </is>
      </c>
      <c r="D418" s="1" t="n">
        <v>44893</v>
      </c>
      <c r="E418" s="1" t="n">
        <v>46313</v>
      </c>
      <c r="F418" t="inlineStr">
        <is>
          <t>KALMAR LÄN</t>
        </is>
      </c>
      <c r="G418" t="inlineStr">
        <is>
          <t>EMMABODA</t>
        </is>
      </c>
      <c r="I418" t="n">
        <v>4.2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s="2" t="inlineStr"/>
    </row>
    <row r="419" ht="15" customHeight="1">
      <c r="A419" t="inlineStr">
        <is>
          <t>A 12428-2026</t>
        </is>
      </c>
      <c r="B419" t="inlineStr">
        <is>
          <t>avverkningsanmälan</t>
        </is>
      </c>
      <c r="C419" t="inlineStr">
        <is>
          <t>Föryngringsavverkning</t>
        </is>
      </c>
      <c r="D419" s="1" t="n">
        <v>46090</v>
      </c>
      <c r="E419" s="1" t="n">
        <v>46313</v>
      </c>
      <c r="F419" t="inlineStr">
        <is>
          <t>KALMAR LÄN</t>
        </is>
      </c>
      <c r="G419" t="inlineStr">
        <is>
          <t>EMMABODA</t>
        </is>
      </c>
      <c r="I419" t="n">
        <v>1.4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s="2" t="inlineStr"/>
    </row>
    <row r="420" ht="15" customHeight="1">
      <c r="A420" t="inlineStr">
        <is>
          <t>A 66333-2021</t>
        </is>
      </c>
      <c r="B420" t="inlineStr">
        <is>
          <t>avverkningsanmälan</t>
        </is>
      </c>
      <c r="C420" t="inlineStr">
        <is>
          <t>Föryngringsavverkning</t>
        </is>
      </c>
      <c r="D420" s="1" t="n">
        <v>44518</v>
      </c>
      <c r="E420" s="1" t="n">
        <v>46313</v>
      </c>
      <c r="F420" t="inlineStr">
        <is>
          <t>KALMAR LÄN</t>
        </is>
      </c>
      <c r="G420" t="inlineStr">
        <is>
          <t>EMMABODA</t>
        </is>
      </c>
      <c r="I420" t="n">
        <v>0.7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s="2" t="inlineStr"/>
    </row>
    <row r="421" ht="15" customHeight="1">
      <c r="A421" t="inlineStr">
        <is>
          <t>A 24776-2022</t>
        </is>
      </c>
      <c r="B421" t="inlineStr">
        <is>
          <t>avverkningsanmälan</t>
        </is>
      </c>
      <c r="C421" t="inlineStr">
        <is>
          <t>Föryngringsavverkning</t>
        </is>
      </c>
      <c r="D421" s="1" t="n">
        <v>44728</v>
      </c>
      <c r="E421" s="1" t="n">
        <v>46313</v>
      </c>
      <c r="F421" t="inlineStr">
        <is>
          <t>KALMAR LÄN</t>
        </is>
      </c>
      <c r="G421" t="inlineStr">
        <is>
          <t>EMMABODA</t>
        </is>
      </c>
      <c r="I421" t="n">
        <v>3.2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s="2" t="inlineStr"/>
    </row>
    <row r="422" ht="15" customHeight="1">
      <c r="A422" t="inlineStr">
        <is>
          <t>A 14096-2023</t>
        </is>
      </c>
      <c r="B422" t="inlineStr">
        <is>
          <t>avverkningsanmälan</t>
        </is>
      </c>
      <c r="C422" t="inlineStr">
        <is>
          <t>Föryngringsavverkning</t>
        </is>
      </c>
      <c r="D422" s="1" t="n">
        <v>45009</v>
      </c>
      <c r="E422" s="1" t="n">
        <v>46313</v>
      </c>
      <c r="F422" t="inlineStr">
        <is>
          <t>KALMAR LÄN</t>
        </is>
      </c>
      <c r="G422" t="inlineStr">
        <is>
          <t>EMMABODA</t>
        </is>
      </c>
      <c r="I422" t="n">
        <v>0.5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s="2" t="inlineStr"/>
    </row>
    <row r="423" ht="15" customHeight="1">
      <c r="A423" t="inlineStr">
        <is>
          <t>A 14112-2023</t>
        </is>
      </c>
      <c r="B423" t="inlineStr">
        <is>
          <t>avverkningsanmälan</t>
        </is>
      </c>
      <c r="C423" t="inlineStr">
        <is>
          <t>Föryngringsavverkning</t>
        </is>
      </c>
      <c r="D423" s="1" t="n">
        <v>45009</v>
      </c>
      <c r="E423" s="1" t="n">
        <v>46313</v>
      </c>
      <c r="F423" t="inlineStr">
        <is>
          <t>KALMAR LÄN</t>
        </is>
      </c>
      <c r="G423" t="inlineStr">
        <is>
          <t>EMMABODA</t>
        </is>
      </c>
      <c r="I423" t="n">
        <v>0.6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s="2" t="inlineStr"/>
    </row>
    <row r="424" ht="15" customHeight="1">
      <c r="A424" t="inlineStr">
        <is>
          <t>A 14138-2023</t>
        </is>
      </c>
      <c r="B424" t="inlineStr">
        <is>
          <t>avverkningsanmälan</t>
        </is>
      </c>
      <c r="C424" t="inlineStr">
        <is>
          <t>Föryngringsavverkning</t>
        </is>
      </c>
      <c r="D424" s="1" t="n">
        <v>45009</v>
      </c>
      <c r="E424" s="1" t="n">
        <v>46313</v>
      </c>
      <c r="F424" t="inlineStr">
        <is>
          <t>KALMAR LÄN</t>
        </is>
      </c>
      <c r="G424" t="inlineStr">
        <is>
          <t>EMMABODA</t>
        </is>
      </c>
      <c r="I424" t="n">
        <v>1.8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s="2" t="inlineStr"/>
    </row>
    <row r="425" ht="15" customHeight="1">
      <c r="A425" t="inlineStr">
        <is>
          <t>A 14140-2023</t>
        </is>
      </c>
      <c r="B425" t="inlineStr">
        <is>
          <t>avverkningsanmälan</t>
        </is>
      </c>
      <c r="C425" t="inlineStr">
        <is>
          <t>Föryngringsavverkning</t>
        </is>
      </c>
      <c r="D425" s="1" t="n">
        <v>45009</v>
      </c>
      <c r="E425" s="1" t="n">
        <v>46313</v>
      </c>
      <c r="F425" t="inlineStr">
        <is>
          <t>KALMAR LÄN</t>
        </is>
      </c>
      <c r="G425" t="inlineStr">
        <is>
          <t>EMMABODA</t>
        </is>
      </c>
      <c r="I425" t="n">
        <v>1.5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s="2" t="inlineStr"/>
    </row>
    <row r="426" ht="15" customHeight="1">
      <c r="A426" t="inlineStr">
        <is>
          <t>A 27646-2026</t>
        </is>
      </c>
      <c r="B426" t="inlineStr">
        <is>
          <t>avverkningsanmälan</t>
        </is>
      </c>
      <c r="C426" t="inlineStr">
        <is>
          <t>Föryngringsavverkning</t>
        </is>
      </c>
      <c r="D426" s="1" t="n">
        <v>46190</v>
      </c>
      <c r="E426" s="1" t="n">
        <v>46313</v>
      </c>
      <c r="F426" t="inlineStr">
        <is>
          <t>KALMAR LÄN</t>
        </is>
      </c>
      <c r="G426" t="inlineStr">
        <is>
          <t>EMMABODA</t>
        </is>
      </c>
      <c r="H426" t="inlineStr">
        <is>
          <t>Sveaskog</t>
        </is>
      </c>
      <c r="I426" t="n">
        <v>2.1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s="2" t="inlineStr"/>
    </row>
    <row r="427" ht="15" customHeight="1">
      <c r="A427" t="inlineStr">
        <is>
          <t>A 61791-2022</t>
        </is>
      </c>
      <c r="B427" t="inlineStr">
        <is>
          <t>avverkningsanmälan</t>
        </is>
      </c>
      <c r="C427" t="inlineStr">
        <is>
          <t>Avverkning för annat ändamål</t>
        </is>
      </c>
      <c r="D427" s="1" t="n">
        <v>44911</v>
      </c>
      <c r="E427" s="1" t="n">
        <v>46313</v>
      </c>
      <c r="F427" t="inlineStr">
        <is>
          <t>KALMAR LÄN</t>
        </is>
      </c>
      <c r="G427" t="inlineStr">
        <is>
          <t>EMMABODA</t>
        </is>
      </c>
      <c r="I427" t="n">
        <v>0.7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s="2" t="inlineStr"/>
    </row>
    <row r="428" ht="15" customHeight="1">
      <c r="A428" t="inlineStr">
        <is>
          <t>A 37630-2023</t>
        </is>
      </c>
      <c r="B428" t="inlineStr">
        <is>
          <t>avverkningsanmälan</t>
        </is>
      </c>
      <c r="C428" t="inlineStr">
        <is>
          <t>Föryngringsavverkning</t>
        </is>
      </c>
      <c r="D428" s="1" t="n">
        <v>45159</v>
      </c>
      <c r="E428" s="1" t="n">
        <v>46313</v>
      </c>
      <c r="F428" t="inlineStr">
        <is>
          <t>KALMAR LÄN</t>
        </is>
      </c>
      <c r="G428" t="inlineStr">
        <is>
          <t>EMMABODA</t>
        </is>
      </c>
      <c r="I428" t="n">
        <v>3.9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s="2" t="inlineStr"/>
    </row>
    <row r="429" ht="15" customHeight="1">
      <c r="A429" t="inlineStr">
        <is>
          <t>A 17417-2026</t>
        </is>
      </c>
      <c r="B429" t="inlineStr">
        <is>
          <t>avverkningsanmälan</t>
        </is>
      </c>
      <c r="C429" t="inlineStr">
        <is>
          <t>Föryngringsavverkning</t>
        </is>
      </c>
      <c r="D429" s="1" t="n">
        <v>46120</v>
      </c>
      <c r="E429" s="1" t="n">
        <v>46313</v>
      </c>
      <c r="F429" t="inlineStr">
        <is>
          <t>KALMAR LÄN</t>
        </is>
      </c>
      <c r="G429" t="inlineStr">
        <is>
          <t>EMMABODA</t>
        </is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s="2" t="inlineStr"/>
    </row>
    <row r="430" ht="15" customHeight="1">
      <c r="A430" t="inlineStr">
        <is>
          <t>A 28347-2026</t>
        </is>
      </c>
      <c r="B430" t="inlineStr">
        <is>
          <t>avverkningsanmälan</t>
        </is>
      </c>
      <c r="C430" t="inlineStr">
        <is>
          <t>Föryngringsavverkning</t>
        </is>
      </c>
      <c r="D430" s="1" t="n">
        <v>46196</v>
      </c>
      <c r="E430" s="1" t="n">
        <v>46313</v>
      </c>
      <c r="F430" t="inlineStr">
        <is>
          <t>KALMAR LÄN</t>
        </is>
      </c>
      <c r="G430" t="inlineStr">
        <is>
          <t>EMMABODA</t>
        </is>
      </c>
      <c r="I430" t="n">
        <v>1.3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s="2" t="inlineStr"/>
    </row>
    <row r="431" ht="15" customHeight="1">
      <c r="A431" t="inlineStr">
        <is>
          <t>A 32661-2024</t>
        </is>
      </c>
      <c r="B431" t="inlineStr">
        <is>
          <t>avverkningsanmälan</t>
        </is>
      </c>
      <c r="C431" t="inlineStr">
        <is>
          <t>Föryngringsavverkning</t>
        </is>
      </c>
      <c r="D431" s="1" t="n">
        <v>45514</v>
      </c>
      <c r="E431" s="1" t="n">
        <v>46313</v>
      </c>
      <c r="F431" t="inlineStr">
        <is>
          <t>KALMAR LÄN</t>
        </is>
      </c>
      <c r="G431" t="inlineStr">
        <is>
          <t>EMMABODA</t>
        </is>
      </c>
      <c r="I431" t="n">
        <v>2.5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s="2" t="inlineStr"/>
    </row>
    <row r="432" ht="15" customHeight="1">
      <c r="A432" t="inlineStr">
        <is>
          <t>A 32666-2024</t>
        </is>
      </c>
      <c r="B432" t="inlineStr">
        <is>
          <t>avverkningsanmälan</t>
        </is>
      </c>
      <c r="C432" t="inlineStr">
        <is>
          <t>Föryngringsavverkning</t>
        </is>
      </c>
      <c r="D432" s="1" t="n">
        <v>45514</v>
      </c>
      <c r="E432" s="1" t="n">
        <v>46313</v>
      </c>
      <c r="F432" t="inlineStr">
        <is>
          <t>KALMAR LÄN</t>
        </is>
      </c>
      <c r="G432" t="inlineStr">
        <is>
          <t>EMMABODA</t>
        </is>
      </c>
      <c r="I432" t="n">
        <v>1.5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s="2" t="inlineStr"/>
    </row>
    <row r="433" ht="15" customHeight="1">
      <c r="A433" t="inlineStr">
        <is>
          <t>A 47291-2023</t>
        </is>
      </c>
      <c r="B433" t="inlineStr">
        <is>
          <t>avverkningsanmälan</t>
        </is>
      </c>
      <c r="C433" t="inlineStr">
        <is>
          <t>Föryngringsavverkning</t>
        </is>
      </c>
      <c r="D433" s="1" t="n">
        <v>45202</v>
      </c>
      <c r="E433" s="1" t="n">
        <v>46313</v>
      </c>
      <c r="F433" t="inlineStr">
        <is>
          <t>KALMAR LÄN</t>
        </is>
      </c>
      <c r="G433" t="inlineStr">
        <is>
          <t>EMMABODA</t>
        </is>
      </c>
      <c r="I433" t="n">
        <v>1.1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s="2" t="inlineStr"/>
    </row>
    <row r="434" ht="15" customHeight="1">
      <c r="A434" t="inlineStr">
        <is>
          <t>A 53350-2022</t>
        </is>
      </c>
      <c r="B434" t="inlineStr">
        <is>
          <t>avverkningsanmälan</t>
        </is>
      </c>
      <c r="C434" t="inlineStr">
        <is>
          <t>Föryngringsavverkning</t>
        </is>
      </c>
      <c r="D434" s="1" t="n">
        <v>44879</v>
      </c>
      <c r="E434" s="1" t="n">
        <v>46313</v>
      </c>
      <c r="F434" t="inlineStr">
        <is>
          <t>KALMAR LÄN</t>
        </is>
      </c>
      <c r="G434" t="inlineStr">
        <is>
          <t>EMMABODA</t>
        </is>
      </c>
      <c r="I434" t="n">
        <v>4.3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s="2" t="inlineStr"/>
    </row>
    <row r="435" ht="15" customHeight="1">
      <c r="A435" t="inlineStr">
        <is>
          <t>A 28982-2026</t>
        </is>
      </c>
      <c r="B435" t="inlineStr">
        <is>
          <t>avverkningsanmälan</t>
        </is>
      </c>
      <c r="C435" t="inlineStr">
        <is>
          <t>Föryngringsavverkning</t>
        </is>
      </c>
      <c r="D435" s="1" t="n">
        <v>46196</v>
      </c>
      <c r="E435" s="1" t="n">
        <v>46313</v>
      </c>
      <c r="F435" t="inlineStr">
        <is>
          <t>KALMAR LÄN</t>
        </is>
      </c>
      <c r="G435" t="inlineStr">
        <is>
          <t>EMMABODA</t>
        </is>
      </c>
      <c r="H435" t="inlineStr">
        <is>
          <t>Kyrkan</t>
        </is>
      </c>
      <c r="I435" t="n">
        <v>0.3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s="2" t="inlineStr"/>
    </row>
    <row r="436" ht="15" customHeight="1">
      <c r="A436" t="inlineStr">
        <is>
          <t>A 28996-2026</t>
        </is>
      </c>
      <c r="B436" t="inlineStr">
        <is>
          <t>avverkningsanmälan</t>
        </is>
      </c>
      <c r="C436" t="inlineStr">
        <is>
          <t>Föryngringsavverkning</t>
        </is>
      </c>
      <c r="D436" s="1" t="n">
        <v>46196</v>
      </c>
      <c r="E436" s="1" t="n">
        <v>46313</v>
      </c>
      <c r="F436" t="inlineStr">
        <is>
          <t>KALMAR LÄN</t>
        </is>
      </c>
      <c r="G436" t="inlineStr">
        <is>
          <t>EMMABODA</t>
        </is>
      </c>
      <c r="H436" t="inlineStr">
        <is>
          <t>Kyrkan</t>
        </is>
      </c>
      <c r="I436" t="n">
        <v>7.5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s="2" t="inlineStr"/>
    </row>
    <row r="437" ht="15" customHeight="1">
      <c r="A437" t="inlineStr">
        <is>
          <t>A 28990-2026</t>
        </is>
      </c>
      <c r="B437" t="inlineStr">
        <is>
          <t>avverkningsanmälan</t>
        </is>
      </c>
      <c r="C437" t="inlineStr">
        <is>
          <t>Föryngringsavverkning</t>
        </is>
      </c>
      <c r="D437" s="1" t="n">
        <v>46196</v>
      </c>
      <c r="E437" s="1" t="n">
        <v>46313</v>
      </c>
      <c r="F437" t="inlineStr">
        <is>
          <t>KALMAR LÄN</t>
        </is>
      </c>
      <c r="G437" t="inlineStr">
        <is>
          <t>EMMABODA</t>
        </is>
      </c>
      <c r="H437" t="inlineStr">
        <is>
          <t>Kyrkan</t>
        </is>
      </c>
      <c r="I437" t="n">
        <v>0.5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s="2" t="inlineStr"/>
    </row>
    <row r="438" ht="15" customHeight="1">
      <c r="A438" t="inlineStr">
        <is>
          <t>A 15693-2026</t>
        </is>
      </c>
      <c r="B438" t="inlineStr">
        <is>
          <t>avverkningsanmälan</t>
        </is>
      </c>
      <c r="C438" t="inlineStr">
        <is>
          <t>Föryngringsavverkning</t>
        </is>
      </c>
      <c r="D438" s="1" t="n">
        <v>46107</v>
      </c>
      <c r="E438" s="1" t="n">
        <v>46313</v>
      </c>
      <c r="F438" t="inlineStr">
        <is>
          <t>KALMAR LÄN</t>
        </is>
      </c>
      <c r="G438" t="inlineStr">
        <is>
          <t>EMMABODA</t>
        </is>
      </c>
      <c r="I438" t="n">
        <v>2.9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s="2" t="inlineStr"/>
    </row>
    <row r="439" ht="15" customHeight="1">
      <c r="A439" t="inlineStr">
        <is>
          <t>A 33061-2023</t>
        </is>
      </c>
      <c r="B439" t="inlineStr">
        <is>
          <t>avverkningsanmälan</t>
        </is>
      </c>
      <c r="C439" t="inlineStr">
        <is>
          <t>Föryngringsavverkning</t>
        </is>
      </c>
      <c r="D439" s="1" t="n">
        <v>45126</v>
      </c>
      <c r="E439" s="1" t="n">
        <v>46313</v>
      </c>
      <c r="F439" t="inlineStr">
        <is>
          <t>KALMAR LÄN</t>
        </is>
      </c>
      <c r="G439" t="inlineStr">
        <is>
          <t>EMMABODA</t>
        </is>
      </c>
      <c r="I439" t="n">
        <v>0.8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s="2" t="inlineStr"/>
    </row>
    <row r="440" ht="15" customHeight="1">
      <c r="A440" t="inlineStr">
        <is>
          <t>A 33060-2023</t>
        </is>
      </c>
      <c r="B440" t="inlineStr">
        <is>
          <t>avverkningsanmälan</t>
        </is>
      </c>
      <c r="C440" t="inlineStr">
        <is>
          <t>Föryngringsavverkning</t>
        </is>
      </c>
      <c r="D440" s="1" t="n">
        <v>45126</v>
      </c>
      <c r="E440" s="1" t="n">
        <v>46313</v>
      </c>
      <c r="F440" t="inlineStr">
        <is>
          <t>KALMAR LÄN</t>
        </is>
      </c>
      <c r="G440" t="inlineStr">
        <is>
          <t>EMMABODA</t>
        </is>
      </c>
      <c r="I440" t="n">
        <v>0.9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s="2" t="inlineStr"/>
    </row>
    <row r="441" ht="15" customHeight="1">
      <c r="A441" t="inlineStr">
        <is>
          <t>A 33083-2023</t>
        </is>
      </c>
      <c r="B441" t="inlineStr">
        <is>
          <t>avverkningsanmälan</t>
        </is>
      </c>
      <c r="C441" t="inlineStr">
        <is>
          <t>Föryngringsavverkning</t>
        </is>
      </c>
      <c r="D441" s="1" t="n">
        <v>45126</v>
      </c>
      <c r="E441" s="1" t="n">
        <v>46313</v>
      </c>
      <c r="F441" t="inlineStr">
        <is>
          <t>KALMAR LÄN</t>
        </is>
      </c>
      <c r="G441" t="inlineStr">
        <is>
          <t>EMMABODA</t>
        </is>
      </c>
      <c r="I441" t="n">
        <v>0.8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s="2" t="inlineStr"/>
    </row>
    <row r="442" ht="15" customHeight="1">
      <c r="A442" t="inlineStr">
        <is>
          <t>A 63254-2025</t>
        </is>
      </c>
      <c r="B442" t="inlineStr">
        <is>
          <t>avverkningsanmälan</t>
        </is>
      </c>
      <c r="C442" t="inlineStr">
        <is>
          <t>Föryngringsavverkning</t>
        </is>
      </c>
      <c r="D442" s="1" t="n">
        <v>46010</v>
      </c>
      <c r="E442" s="1" t="n">
        <v>46313</v>
      </c>
      <c r="F442" t="inlineStr">
        <is>
          <t>KALMAR LÄN</t>
        </is>
      </c>
      <c r="G442" t="inlineStr">
        <is>
          <t>EMMABODA</t>
        </is>
      </c>
      <c r="I442" t="n">
        <v>2.3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s="2" t="inlineStr"/>
    </row>
    <row r="443" ht="15" customHeight="1">
      <c r="A443" t="inlineStr">
        <is>
          <t>A 28677-2026</t>
        </is>
      </c>
      <c r="B443" t="inlineStr">
        <is>
          <t>avverkningsanmälan</t>
        </is>
      </c>
      <c r="C443" t="inlineStr">
        <is>
          <t>Föryngringsavverkning</t>
        </is>
      </c>
      <c r="D443" s="1" t="n">
        <v>46198</v>
      </c>
      <c r="E443" s="1" t="n">
        <v>46313</v>
      </c>
      <c r="F443" t="inlineStr">
        <is>
          <t>KALMAR LÄN</t>
        </is>
      </c>
      <c r="G443" t="inlineStr">
        <is>
          <t>EMMABODA</t>
        </is>
      </c>
      <c r="I443" t="n">
        <v>2.6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s="2" t="inlineStr"/>
    </row>
    <row r="444" ht="15" customHeight="1">
      <c r="A444" t="inlineStr">
        <is>
          <t>A 37199-2023</t>
        </is>
      </c>
      <c r="B444" t="inlineStr">
        <is>
          <t>avverkningsanmälan</t>
        </is>
      </c>
      <c r="C444" t="inlineStr">
        <is>
          <t>Föryngringsavverkning</t>
        </is>
      </c>
      <c r="D444" s="1" t="n">
        <v>45155</v>
      </c>
      <c r="E444" s="1" t="n">
        <v>46313</v>
      </c>
      <c r="F444" t="inlineStr">
        <is>
          <t>KALMAR LÄN</t>
        </is>
      </c>
      <c r="G444" t="inlineStr">
        <is>
          <t>EMMABODA</t>
        </is>
      </c>
      <c r="I444" t="n">
        <v>1.3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s="2" t="inlineStr"/>
    </row>
    <row r="445" ht="15" customHeight="1">
      <c r="A445" t="inlineStr">
        <is>
          <t>A 28448-2026</t>
        </is>
      </c>
      <c r="B445" t="inlineStr">
        <is>
          <t>avverkningsanmälan</t>
        </is>
      </c>
      <c r="C445" t="inlineStr">
        <is>
          <t>Föryngringsavverkning</t>
        </is>
      </c>
      <c r="D445" s="1" t="n">
        <v>46197</v>
      </c>
      <c r="E445" s="1" t="n">
        <v>46313</v>
      </c>
      <c r="F445" t="inlineStr">
        <is>
          <t>KALMAR LÄN</t>
        </is>
      </c>
      <c r="G445" t="inlineStr">
        <is>
          <t>EMMABODA</t>
        </is>
      </c>
      <c r="H445" t="inlineStr">
        <is>
          <t>Sveaskog</t>
        </is>
      </c>
      <c r="I445" t="n">
        <v>6.3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s="2" t="inlineStr"/>
    </row>
    <row r="446" ht="15" customHeight="1">
      <c r="A446" t="inlineStr">
        <is>
          <t>A 28441-2026</t>
        </is>
      </c>
      <c r="B446" t="inlineStr">
        <is>
          <t>avverkningsanmälan</t>
        </is>
      </c>
      <c r="C446" t="inlineStr">
        <is>
          <t>Föryngringsavverkning</t>
        </is>
      </c>
      <c r="D446" s="1" t="n">
        <v>46197</v>
      </c>
      <c r="E446" s="1" t="n">
        <v>46313</v>
      </c>
      <c r="F446" t="inlineStr">
        <is>
          <t>KALMAR LÄN</t>
        </is>
      </c>
      <c r="G446" t="inlineStr">
        <is>
          <t>EMMABODA</t>
        </is>
      </c>
      <c r="H446" t="inlineStr">
        <is>
          <t>Sveaskog</t>
        </is>
      </c>
      <c r="I446" t="n">
        <v>3.4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s="2" t="inlineStr"/>
    </row>
    <row r="447" ht="15" customHeight="1">
      <c r="A447" t="inlineStr">
        <is>
          <t>A 28442-2026</t>
        </is>
      </c>
      <c r="B447" t="inlineStr">
        <is>
          <t>avverkningsanmälan</t>
        </is>
      </c>
      <c r="C447" t="inlineStr">
        <is>
          <t>Föryngringsavverkning</t>
        </is>
      </c>
      <c r="D447" s="1" t="n">
        <v>46197</v>
      </c>
      <c r="E447" s="1" t="n">
        <v>46313</v>
      </c>
      <c r="F447" t="inlineStr">
        <is>
          <t>KALMAR LÄN</t>
        </is>
      </c>
      <c r="G447" t="inlineStr">
        <is>
          <t>EMMABODA</t>
        </is>
      </c>
      <c r="H447" t="inlineStr">
        <is>
          <t>Sveaskog</t>
        </is>
      </c>
      <c r="I447" t="n">
        <v>2.2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s="2" t="inlineStr"/>
    </row>
    <row r="448" ht="15" customHeight="1">
      <c r="A448" t="inlineStr">
        <is>
          <t>A 17415-2026</t>
        </is>
      </c>
      <c r="B448" t="inlineStr">
        <is>
          <t>avverkningsanmälan</t>
        </is>
      </c>
      <c r="C448" t="inlineStr">
        <is>
          <t>Föryngringsavverkning</t>
        </is>
      </c>
      <c r="D448" s="1" t="n">
        <v>46120</v>
      </c>
      <c r="E448" s="1" t="n">
        <v>46313</v>
      </c>
      <c r="F448" t="inlineStr">
        <is>
          <t>KALMAR LÄN</t>
        </is>
      </c>
      <c r="G448" t="inlineStr">
        <is>
          <t>EMMABODA</t>
        </is>
      </c>
      <c r="I448" t="n">
        <v>0.9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s="2" t="inlineStr"/>
    </row>
    <row r="449" ht="15" customHeight="1">
      <c r="A449" t="inlineStr">
        <is>
          <t>A 4173-2023</t>
        </is>
      </c>
      <c r="B449" t="inlineStr">
        <is>
          <t>avverkningsanmälan</t>
        </is>
      </c>
      <c r="C449" t="inlineStr">
        <is>
          <t>Föryngringsavverkning</t>
        </is>
      </c>
      <c r="D449" s="1" t="n">
        <v>44953</v>
      </c>
      <c r="E449" s="1" t="n">
        <v>46313</v>
      </c>
      <c r="F449" t="inlineStr">
        <is>
          <t>KALMAR LÄN</t>
        </is>
      </c>
      <c r="G449" t="inlineStr">
        <is>
          <t>EMMABODA</t>
        </is>
      </c>
      <c r="I449" t="n">
        <v>1.7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s="2" t="inlineStr"/>
    </row>
    <row r="450" ht="15" customHeight="1">
      <c r="A450" t="inlineStr">
        <is>
          <t>A 9812-2024</t>
        </is>
      </c>
      <c r="B450" t="inlineStr">
        <is>
          <t>avverkningsanmälan</t>
        </is>
      </c>
      <c r="C450" t="inlineStr">
        <is>
          <t>Föryngringsavverkning</t>
        </is>
      </c>
      <c r="D450" s="1" t="n">
        <v>45362</v>
      </c>
      <c r="E450" s="1" t="n">
        <v>46313</v>
      </c>
      <c r="F450" t="inlineStr">
        <is>
          <t>KALMAR LÄN</t>
        </is>
      </c>
      <c r="G450" t="inlineStr">
        <is>
          <t>EMMABODA</t>
        </is>
      </c>
      <c r="I450" t="n">
        <v>3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s="2" t="inlineStr"/>
    </row>
    <row r="451" ht="15" customHeight="1">
      <c r="A451" t="inlineStr">
        <is>
          <t>A 20648-2022</t>
        </is>
      </c>
      <c r="B451" t="inlineStr">
        <is>
          <t>avverkningsanmälan</t>
        </is>
      </c>
      <c r="C451" t="inlineStr">
        <is>
          <t>Föryngringsavverkning</t>
        </is>
      </c>
      <c r="D451" s="1" t="n">
        <v>44700</v>
      </c>
      <c r="E451" s="1" t="n">
        <v>46313</v>
      </c>
      <c r="F451" t="inlineStr">
        <is>
          <t>KALMAR LÄN</t>
        </is>
      </c>
      <c r="G451" t="inlineStr">
        <is>
          <t>EMMABODA</t>
        </is>
      </c>
      <c r="I451" t="n">
        <v>1.6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s="2" t="inlineStr"/>
    </row>
    <row r="452" ht="15" customHeight="1">
      <c r="A452" t="inlineStr">
        <is>
          <t>A 18488-2026</t>
        </is>
      </c>
      <c r="B452" t="inlineStr">
        <is>
          <t>avverkningsanmälan</t>
        </is>
      </c>
      <c r="C452" t="inlineStr">
        <is>
          <t>Föryngringsavverkning</t>
        </is>
      </c>
      <c r="D452" s="1" t="n">
        <v>46127</v>
      </c>
      <c r="E452" s="1" t="n">
        <v>46313</v>
      </c>
      <c r="F452" t="inlineStr">
        <is>
          <t>KALMAR LÄN</t>
        </is>
      </c>
      <c r="G452" t="inlineStr">
        <is>
          <t>EMMABODA</t>
        </is>
      </c>
      <c r="I452" t="n">
        <v>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s="2" t="inlineStr"/>
    </row>
    <row r="453" ht="15" customHeight="1">
      <c r="A453" t="inlineStr">
        <is>
          <t>A 18444-2026</t>
        </is>
      </c>
      <c r="B453" t="inlineStr">
        <is>
          <t>avverkningsanmälan</t>
        </is>
      </c>
      <c r="C453" t="inlineStr">
        <is>
          <t>Avverkning för att bevara och utveckla /försöksver</t>
        </is>
      </c>
      <c r="D453" s="1" t="n">
        <v>46127</v>
      </c>
      <c r="E453" s="1" t="n">
        <v>46313</v>
      </c>
      <c r="F453" t="inlineStr">
        <is>
          <t>KALMAR LÄN</t>
        </is>
      </c>
      <c r="G453" t="inlineStr">
        <is>
          <t>EMMABODA</t>
        </is>
      </c>
      <c r="I453" t="n">
        <v>1.3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s="2" t="inlineStr"/>
    </row>
    <row r="454" ht="15" customHeight="1">
      <c r="A454" t="inlineStr">
        <is>
          <t>A 18437-2026</t>
        </is>
      </c>
      <c r="B454" t="inlineStr">
        <is>
          <t>avverkningsanmälan</t>
        </is>
      </c>
      <c r="C454" t="inlineStr">
        <is>
          <t>Avverkning för att bevara och utveckla /försöksver</t>
        </is>
      </c>
      <c r="D454" s="1" t="n">
        <v>46127</v>
      </c>
      <c r="E454" s="1" t="n">
        <v>46313</v>
      </c>
      <c r="F454" t="inlineStr">
        <is>
          <t>KALMAR LÄN</t>
        </is>
      </c>
      <c r="G454" t="inlineStr">
        <is>
          <t>EMMABODA</t>
        </is>
      </c>
      <c r="I454" t="n">
        <v>1.5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s="2" t="inlineStr"/>
    </row>
    <row r="455" ht="15" customHeight="1">
      <c r="A455" t="inlineStr">
        <is>
          <t>A 29293-2026</t>
        </is>
      </c>
      <c r="B455" t="inlineStr">
        <is>
          <t>avverkningsanmälan</t>
        </is>
      </c>
      <c r="C455" t="inlineStr">
        <is>
          <t>Föryngringsavverkning</t>
        </is>
      </c>
      <c r="D455" s="1" t="n">
        <v>46202</v>
      </c>
      <c r="E455" s="1" t="n">
        <v>46313</v>
      </c>
      <c r="F455" t="inlineStr">
        <is>
          <t>KALMAR LÄN</t>
        </is>
      </c>
      <c r="G455" t="inlineStr">
        <is>
          <t>EMMABODA</t>
        </is>
      </c>
      <c r="I455" t="n">
        <v>1.6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s="2" t="inlineStr"/>
    </row>
    <row r="456" ht="15" customHeight="1">
      <c r="A456" t="inlineStr">
        <is>
          <t>A 19299-2026</t>
        </is>
      </c>
      <c r="B456" t="inlineStr">
        <is>
          <t>avverkningsanmälan</t>
        </is>
      </c>
      <c r="C456" t="inlineStr">
        <is>
          <t>Föryngringsavverkning</t>
        </is>
      </c>
      <c r="D456" s="1" t="n">
        <v>46133</v>
      </c>
      <c r="E456" s="1" t="n">
        <v>46313</v>
      </c>
      <c r="F456" t="inlineStr">
        <is>
          <t>KALMAR LÄN</t>
        </is>
      </c>
      <c r="G456" t="inlineStr">
        <is>
          <t>EMMABODA</t>
        </is>
      </c>
      <c r="I456" t="n">
        <v>0.8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s="2" t="inlineStr"/>
    </row>
    <row r="457" ht="15" customHeight="1">
      <c r="A457" t="inlineStr">
        <is>
          <t>A 14970-2025</t>
        </is>
      </c>
      <c r="B457" t="inlineStr">
        <is>
          <t>avverkningsanmälan</t>
        </is>
      </c>
      <c r="C457" t="inlineStr">
        <is>
          <t>Föryngringsavverkning</t>
        </is>
      </c>
      <c r="D457" s="1" t="n">
        <v>45743</v>
      </c>
      <c r="E457" s="1" t="n">
        <v>46313</v>
      </c>
      <c r="F457" t="inlineStr">
        <is>
          <t>KALMAR LÄN</t>
        </is>
      </c>
      <c r="G457" t="inlineStr">
        <is>
          <t>EMMABODA</t>
        </is>
      </c>
      <c r="I457" t="n">
        <v>1.6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s="2" t="inlineStr"/>
    </row>
    <row r="458" ht="15" customHeight="1">
      <c r="A458" t="inlineStr">
        <is>
          <t>A 391-2024</t>
        </is>
      </c>
      <c r="B458" t="inlineStr">
        <is>
          <t>avverkningsanmälan</t>
        </is>
      </c>
      <c r="C458" t="inlineStr">
        <is>
          <t>Föryngringsavverkning</t>
        </is>
      </c>
      <c r="D458" s="1" t="n">
        <v>45296</v>
      </c>
      <c r="E458" s="1" t="n">
        <v>46313</v>
      </c>
      <c r="F458" t="inlineStr">
        <is>
          <t>KALMAR LÄN</t>
        </is>
      </c>
      <c r="G458" t="inlineStr">
        <is>
          <t>EMMABODA</t>
        </is>
      </c>
      <c r="I458" t="n">
        <v>2.1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s="2" t="inlineStr"/>
    </row>
    <row r="459" ht="15" customHeight="1">
      <c r="A459" t="inlineStr">
        <is>
          <t>A 68947-2021</t>
        </is>
      </c>
      <c r="B459" t="inlineStr">
        <is>
          <t>avverkningsanmälan</t>
        </is>
      </c>
      <c r="C459" t="inlineStr">
        <is>
          <t>Föryngringsavverkning</t>
        </is>
      </c>
      <c r="D459" s="1" t="n">
        <v>44530</v>
      </c>
      <c r="E459" s="1" t="n">
        <v>46313</v>
      </c>
      <c r="F459" t="inlineStr">
        <is>
          <t>KALMAR LÄN</t>
        </is>
      </c>
      <c r="G459" t="inlineStr">
        <is>
          <t>EMMABODA</t>
        </is>
      </c>
      <c r="I459" t="n">
        <v>1.3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s="2" t="inlineStr"/>
    </row>
    <row r="460" ht="15" customHeight="1">
      <c r="A460" t="inlineStr">
        <is>
          <t>A 31860-2022</t>
        </is>
      </c>
      <c r="B460" t="inlineStr">
        <is>
          <t>avverkningsanmälan</t>
        </is>
      </c>
      <c r="C460" t="inlineStr">
        <is>
          <t>Föryngringsavverkning</t>
        </is>
      </c>
      <c r="D460" s="1" t="n">
        <v>44777</v>
      </c>
      <c r="E460" s="1" t="n">
        <v>46313</v>
      </c>
      <c r="F460" t="inlineStr">
        <is>
          <t>KALMAR LÄN</t>
        </is>
      </c>
      <c r="G460" t="inlineStr">
        <is>
          <t>EMMABODA</t>
        </is>
      </c>
      <c r="I460" t="n">
        <v>0.9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s="2" t="inlineStr"/>
    </row>
    <row r="461" ht="15" customHeight="1">
      <c r="A461" t="inlineStr">
        <is>
          <t>A 19545-2026</t>
        </is>
      </c>
      <c r="B461" t="inlineStr">
        <is>
          <t>avverkningsanmälan</t>
        </is>
      </c>
      <c r="C461" t="inlineStr">
        <is>
          <t>Föryngringsavverkning</t>
        </is>
      </c>
      <c r="D461" s="1" t="n">
        <v>46134</v>
      </c>
      <c r="E461" s="1" t="n">
        <v>46313</v>
      </c>
      <c r="F461" t="inlineStr">
        <is>
          <t>KALMAR LÄN</t>
        </is>
      </c>
      <c r="G461" t="inlineStr">
        <is>
          <t>EMMABODA</t>
        </is>
      </c>
      <c r="I461" t="n">
        <v>0.7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s="2" t="inlineStr"/>
    </row>
    <row r="462" ht="15" customHeight="1">
      <c r="A462" t="inlineStr">
        <is>
          <t>A 60674-2024</t>
        </is>
      </c>
      <c r="B462" t="inlineStr">
        <is>
          <t>avverkningsanmälan</t>
        </is>
      </c>
      <c r="C462" t="inlineStr">
        <is>
          <t>Föryngringsavverkning</t>
        </is>
      </c>
      <c r="D462" s="1" t="n">
        <v>45644</v>
      </c>
      <c r="E462" s="1" t="n">
        <v>46313</v>
      </c>
      <c r="F462" t="inlineStr">
        <is>
          <t>KALMAR LÄN</t>
        </is>
      </c>
      <c r="G462" t="inlineStr">
        <is>
          <t>EMMABODA</t>
        </is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s="2" t="inlineStr"/>
    </row>
    <row r="463" ht="15" customHeight="1">
      <c r="A463" t="inlineStr">
        <is>
          <t>A 42684-2023</t>
        </is>
      </c>
      <c r="B463" t="inlineStr">
        <is>
          <t>avverkningsanmälan</t>
        </is>
      </c>
      <c r="C463" t="inlineStr">
        <is>
          <t>Föryngringsavverkning</t>
        </is>
      </c>
      <c r="D463" s="1" t="n">
        <v>45181</v>
      </c>
      <c r="E463" s="1" t="n">
        <v>46313</v>
      </c>
      <c r="F463" t="inlineStr">
        <is>
          <t>KALMAR LÄN</t>
        </is>
      </c>
      <c r="G463" t="inlineStr">
        <is>
          <t>EMMABODA</t>
        </is>
      </c>
      <c r="I463" t="n">
        <v>5.3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s="2" t="inlineStr"/>
    </row>
    <row r="464" ht="15" customHeight="1">
      <c r="A464" t="inlineStr">
        <is>
          <t>A 11437-2023</t>
        </is>
      </c>
      <c r="B464" t="inlineStr">
        <is>
          <t>avverkningsanmälan</t>
        </is>
      </c>
      <c r="C464" t="inlineStr">
        <is>
          <t>Föryngringsavverkning</t>
        </is>
      </c>
      <c r="D464" s="1" t="n">
        <v>44993</v>
      </c>
      <c r="E464" s="1" t="n">
        <v>46313</v>
      </c>
      <c r="F464" t="inlineStr">
        <is>
          <t>KALMAR LÄN</t>
        </is>
      </c>
      <c r="G464" t="inlineStr">
        <is>
          <t>EMMABODA</t>
        </is>
      </c>
      <c r="I464" t="n">
        <v>3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s="2" t="inlineStr"/>
    </row>
    <row r="465" ht="15" customHeight="1">
      <c r="A465" t="inlineStr">
        <is>
          <t>A 49624-2023</t>
        </is>
      </c>
      <c r="B465" t="inlineStr">
        <is>
          <t>avverkningsanmälan</t>
        </is>
      </c>
      <c r="C465" t="inlineStr">
        <is>
          <t>Föryngringsavverkning</t>
        </is>
      </c>
      <c r="D465" s="1" t="n">
        <v>45211</v>
      </c>
      <c r="E465" s="1" t="n">
        <v>46313</v>
      </c>
      <c r="F465" t="inlineStr">
        <is>
          <t>KALMAR LÄN</t>
        </is>
      </c>
      <c r="G465" t="inlineStr">
        <is>
          <t>EMMABODA</t>
        </is>
      </c>
      <c r="I465" t="n">
        <v>1.8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s="2" t="inlineStr"/>
    </row>
    <row r="466" ht="15" customHeight="1">
      <c r="A466" t="inlineStr">
        <is>
          <t>A 39100-2023</t>
        </is>
      </c>
      <c r="B466" t="inlineStr">
        <is>
          <t>avverkningsanmälan</t>
        </is>
      </c>
      <c r="C466" t="inlineStr">
        <is>
          <t>Föryngringsavverkning</t>
        </is>
      </c>
      <c r="D466" s="1" t="n">
        <v>45164</v>
      </c>
      <c r="E466" s="1" t="n">
        <v>46313</v>
      </c>
      <c r="F466" t="inlineStr">
        <is>
          <t>KALMAR LÄN</t>
        </is>
      </c>
      <c r="G466" t="inlineStr">
        <is>
          <t>EMMABODA</t>
        </is>
      </c>
      <c r="I466" t="n">
        <v>5.2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s="2" t="inlineStr"/>
    </row>
    <row r="467" ht="15" customHeight="1">
      <c r="A467" t="inlineStr">
        <is>
          <t>A 20362-2026</t>
        </is>
      </c>
      <c r="B467" t="inlineStr">
        <is>
          <t>avverkningsanmälan</t>
        </is>
      </c>
      <c r="C467" t="inlineStr">
        <is>
          <t>Föryngringsavverkning</t>
        </is>
      </c>
      <c r="D467" s="1" t="n">
        <v>46139</v>
      </c>
      <c r="E467" s="1" t="n">
        <v>46313</v>
      </c>
      <c r="F467" t="inlineStr">
        <is>
          <t>KALMAR LÄN</t>
        </is>
      </c>
      <c r="G467" t="inlineStr">
        <is>
          <t>EMMABODA</t>
        </is>
      </c>
      <c r="I467" t="n">
        <v>1.1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s="2" t="inlineStr"/>
    </row>
    <row r="468" ht="15" customHeight="1">
      <c r="A468" t="inlineStr">
        <is>
          <t>A 46141-2023</t>
        </is>
      </c>
      <c r="B468" t="inlineStr">
        <is>
          <t>avverkningsanmälan</t>
        </is>
      </c>
      <c r="C468" t="inlineStr">
        <is>
          <t>Föryngringsavverkning</t>
        </is>
      </c>
      <c r="D468" s="1" t="n">
        <v>45190</v>
      </c>
      <c r="E468" s="1" t="n">
        <v>46313</v>
      </c>
      <c r="F468" t="inlineStr">
        <is>
          <t>KALMAR LÄN</t>
        </is>
      </c>
      <c r="G468" t="inlineStr">
        <is>
          <t>EMMABODA</t>
        </is>
      </c>
      <c r="I468" t="n">
        <v>0.5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s="2" t="inlineStr"/>
    </row>
    <row r="469" ht="15" customHeight="1">
      <c r="A469" t="inlineStr">
        <is>
          <t>A 11434-2023</t>
        </is>
      </c>
      <c r="B469" t="inlineStr">
        <is>
          <t>avverkningsanmälan</t>
        </is>
      </c>
      <c r="C469" t="inlineStr">
        <is>
          <t>Föryngringsavverkning</t>
        </is>
      </c>
      <c r="D469" s="1" t="n">
        <v>44993</v>
      </c>
      <c r="E469" s="1" t="n">
        <v>46313</v>
      </c>
      <c r="F469" t="inlineStr">
        <is>
          <t>KALMAR LÄN</t>
        </is>
      </c>
      <c r="G469" t="inlineStr">
        <is>
          <t>EMMABODA</t>
        </is>
      </c>
      <c r="I469" t="n">
        <v>2.3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s="2" t="inlineStr"/>
    </row>
    <row r="470" ht="15" customHeight="1">
      <c r="A470" t="inlineStr">
        <is>
          <t>A 14080-2024</t>
        </is>
      </c>
      <c r="B470" t="inlineStr">
        <is>
          <t>avverkningsanmälan</t>
        </is>
      </c>
      <c r="C470" t="inlineStr">
        <is>
          <t>Föryngringsavverkning</t>
        </is>
      </c>
      <c r="D470" s="1" t="n">
        <v>45392</v>
      </c>
      <c r="E470" s="1" t="n">
        <v>46313</v>
      </c>
      <c r="F470" t="inlineStr">
        <is>
          <t>KALMAR LÄN</t>
        </is>
      </c>
      <c r="G470" t="inlineStr">
        <is>
          <t>EMMABODA</t>
        </is>
      </c>
      <c r="I470" t="n">
        <v>1.2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s="2" t="inlineStr"/>
    </row>
    <row r="471" ht="15" customHeight="1">
      <c r="A471" t="inlineStr">
        <is>
          <t>A 10157-2025</t>
        </is>
      </c>
      <c r="B471" t="inlineStr">
        <is>
          <t>avverkningsanmälan</t>
        </is>
      </c>
      <c r="C471" t="inlineStr">
        <is>
          <t>Föryngringsavverkning</t>
        </is>
      </c>
      <c r="D471" s="1" t="n">
        <v>45719</v>
      </c>
      <c r="E471" s="1" t="n">
        <v>46313</v>
      </c>
      <c r="F471" t="inlineStr">
        <is>
          <t>KALMAR LÄN</t>
        </is>
      </c>
      <c r="G471" t="inlineStr">
        <is>
          <t>EMMABODA</t>
        </is>
      </c>
      <c r="I471" t="n">
        <v>0.8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s="2" t="inlineStr"/>
    </row>
    <row r="472" ht="15" customHeight="1">
      <c r="A472" t="inlineStr">
        <is>
          <t>A 10167-2025</t>
        </is>
      </c>
      <c r="B472" t="inlineStr">
        <is>
          <t>avverkningsanmälan</t>
        </is>
      </c>
      <c r="C472" t="inlineStr">
        <is>
          <t>Föryngringsavverkning</t>
        </is>
      </c>
      <c r="D472" s="1" t="n">
        <v>45719</v>
      </c>
      <c r="E472" s="1" t="n">
        <v>46313</v>
      </c>
      <c r="F472" t="inlineStr">
        <is>
          <t>KALMAR LÄN</t>
        </is>
      </c>
      <c r="G472" t="inlineStr">
        <is>
          <t>EMMABODA</t>
        </is>
      </c>
      <c r="I472" t="n">
        <v>0.6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s="2" t="inlineStr"/>
    </row>
    <row r="473" ht="15" customHeight="1">
      <c r="A473" t="inlineStr">
        <is>
          <t>A 7808-2024</t>
        </is>
      </c>
      <c r="B473" t="inlineStr">
        <is>
          <t>avverkningsanmälan</t>
        </is>
      </c>
      <c r="C473" t="inlineStr">
        <is>
          <t>Föryngringsavverkning</t>
        </is>
      </c>
      <c r="D473" s="1" t="n">
        <v>45349</v>
      </c>
      <c r="E473" s="1" t="n">
        <v>46313</v>
      </c>
      <c r="F473" t="inlineStr">
        <is>
          <t>KALMAR LÄN</t>
        </is>
      </c>
      <c r="G473" t="inlineStr">
        <is>
          <t>EMMABODA</t>
        </is>
      </c>
      <c r="I473" t="n">
        <v>1.9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s="2" t="inlineStr"/>
    </row>
    <row r="474" ht="15" customHeight="1">
      <c r="A474" t="inlineStr">
        <is>
          <t>A 54857-2025</t>
        </is>
      </c>
      <c r="B474" t="inlineStr">
        <is>
          <t>avverkningsanmälan</t>
        </is>
      </c>
      <c r="C474" t="inlineStr">
        <is>
          <t>Föryngringsavverkning</t>
        </is>
      </c>
      <c r="D474" s="1" t="n">
        <v>45966</v>
      </c>
      <c r="E474" s="1" t="n">
        <v>46313</v>
      </c>
      <c r="F474" t="inlineStr">
        <is>
          <t>KALMAR LÄN</t>
        </is>
      </c>
      <c r="G474" t="inlineStr">
        <is>
          <t>EMMABODA</t>
        </is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s="2" t="inlineStr"/>
    </row>
    <row r="475" ht="15" customHeight="1">
      <c r="A475" t="inlineStr">
        <is>
          <t>A 42424-2025</t>
        </is>
      </c>
      <c r="B475" t="inlineStr">
        <is>
          <t>avverkningsanmälan</t>
        </is>
      </c>
      <c r="C475" t="inlineStr">
        <is>
          <t>Föryngringsavverkning</t>
        </is>
      </c>
      <c r="D475" s="1" t="n">
        <v>45905</v>
      </c>
      <c r="E475" s="1" t="n">
        <v>46313</v>
      </c>
      <c r="F475" t="inlineStr">
        <is>
          <t>KALMAR LÄN</t>
        </is>
      </c>
      <c r="G475" t="inlineStr">
        <is>
          <t>EMMABODA</t>
        </is>
      </c>
      <c r="I475" t="n">
        <v>1.1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s="2" t="inlineStr"/>
    </row>
    <row r="476" ht="15" customHeight="1">
      <c r="A476" t="inlineStr">
        <is>
          <t>A 29943-2026</t>
        </is>
      </c>
      <c r="B476" t="inlineStr">
        <is>
          <t>avverkningsanmälan</t>
        </is>
      </c>
      <c r="C476" t="inlineStr">
        <is>
          <t>Föryngringsavverkning</t>
        </is>
      </c>
      <c r="D476" s="1" t="n">
        <v>46205</v>
      </c>
      <c r="E476" s="1" t="n">
        <v>46313</v>
      </c>
      <c r="F476" t="inlineStr">
        <is>
          <t>KALMAR LÄN</t>
        </is>
      </c>
      <c r="G476" t="inlineStr">
        <is>
          <t>EMMABODA</t>
        </is>
      </c>
      <c r="H476" t="inlineStr">
        <is>
          <t>Sveaskog</t>
        </is>
      </c>
      <c r="I476" t="n">
        <v>6.1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s="2" t="inlineStr"/>
    </row>
    <row r="477" ht="15" customHeight="1">
      <c r="A477" t="inlineStr">
        <is>
          <t>A 35382-2024</t>
        </is>
      </c>
      <c r="B477" t="inlineStr">
        <is>
          <t>avverkningsanmälan</t>
        </is>
      </c>
      <c r="C477" t="inlineStr">
        <is>
          <t>Föryngringsavverkning</t>
        </is>
      </c>
      <c r="D477" s="1" t="n">
        <v>45531</v>
      </c>
      <c r="E477" s="1" t="n">
        <v>46313</v>
      </c>
      <c r="F477" t="inlineStr">
        <is>
          <t>KALMAR LÄN</t>
        </is>
      </c>
      <c r="G477" t="inlineStr">
        <is>
          <t>EMMABODA</t>
        </is>
      </c>
      <c r="I477" t="n">
        <v>1.9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s="2" t="inlineStr"/>
    </row>
    <row r="478" ht="15" customHeight="1">
      <c r="A478" t="inlineStr">
        <is>
          <t>A 41429-2025</t>
        </is>
      </c>
      <c r="B478" t="inlineStr">
        <is>
          <t>avverkningsanmälan</t>
        </is>
      </c>
      <c r="C478" t="inlineStr">
        <is>
          <t>Föryngringsavverkning</t>
        </is>
      </c>
      <c r="D478" s="1" t="n">
        <v>45901</v>
      </c>
      <c r="E478" s="1" t="n">
        <v>46313</v>
      </c>
      <c r="F478" t="inlineStr">
        <is>
          <t>KALMAR LÄN</t>
        </is>
      </c>
      <c r="G478" t="inlineStr">
        <is>
          <t>EMMABODA</t>
        </is>
      </c>
      <c r="I478" t="n">
        <v>1.8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s="2" t="inlineStr"/>
    </row>
    <row r="479" ht="15" customHeight="1">
      <c r="A479" t="inlineStr">
        <is>
          <t>A 33082-2023</t>
        </is>
      </c>
      <c r="B479" t="inlineStr">
        <is>
          <t>avverkningsanmälan</t>
        </is>
      </c>
      <c r="C479" t="inlineStr">
        <is>
          <t>Föryngringsavverkning</t>
        </is>
      </c>
      <c r="D479" s="1" t="n">
        <v>45126</v>
      </c>
      <c r="E479" s="1" t="n">
        <v>46313</v>
      </c>
      <c r="F479" t="inlineStr">
        <is>
          <t>KALMAR LÄN</t>
        </is>
      </c>
      <c r="G479" t="inlineStr">
        <is>
          <t>EMMABODA</t>
        </is>
      </c>
      <c r="I479" t="n">
        <v>1.5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s="2" t="inlineStr"/>
    </row>
    <row r="480" ht="15" customHeight="1">
      <c r="A480" t="inlineStr">
        <is>
          <t>A 50500-2022</t>
        </is>
      </c>
      <c r="B480" t="inlineStr">
        <is>
          <t>avverkningsanmälan</t>
        </is>
      </c>
      <c r="C480" t="inlineStr">
        <is>
          <t>Avverkning för annat ändamål</t>
        </is>
      </c>
      <c r="D480" s="1" t="n">
        <v>44861</v>
      </c>
      <c r="E480" s="1" t="n">
        <v>46313</v>
      </c>
      <c r="F480" t="inlineStr">
        <is>
          <t>KALMAR LÄN</t>
        </is>
      </c>
      <c r="G480" t="inlineStr">
        <is>
          <t>EMMABODA</t>
        </is>
      </c>
      <c r="I480" t="n">
        <v>0.9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s="2" t="inlineStr"/>
    </row>
    <row r="481" ht="15" customHeight="1">
      <c r="A481" t="inlineStr">
        <is>
          <t>A 43135-2025</t>
        </is>
      </c>
      <c r="B481" t="inlineStr">
        <is>
          <t>avverkningsanmälan</t>
        </is>
      </c>
      <c r="C481" t="inlineStr">
        <is>
          <t>Föryngringsavverkning</t>
        </is>
      </c>
      <c r="D481" s="1" t="n">
        <v>45909</v>
      </c>
      <c r="E481" s="1" t="n">
        <v>46313</v>
      </c>
      <c r="F481" t="inlineStr">
        <is>
          <t>KALMAR LÄN</t>
        </is>
      </c>
      <c r="G481" t="inlineStr">
        <is>
          <t>EMMABODA</t>
        </is>
      </c>
      <c r="I481" t="n">
        <v>0.7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s="2" t="inlineStr"/>
    </row>
    <row r="482" ht="15" customHeight="1">
      <c r="A482" t="inlineStr">
        <is>
          <t>A 20051-2025</t>
        </is>
      </c>
      <c r="B482" t="inlineStr">
        <is>
          <t>avverkningsanmälan</t>
        </is>
      </c>
      <c r="C482" t="inlineStr">
        <is>
          <t>Föryngringsavverkning</t>
        </is>
      </c>
      <c r="D482" s="1" t="n">
        <v>45772</v>
      </c>
      <c r="E482" s="1" t="n">
        <v>46313</v>
      </c>
      <c r="F482" t="inlineStr">
        <is>
          <t>KALMAR LÄN</t>
        </is>
      </c>
      <c r="G482" t="inlineStr">
        <is>
          <t>EMMABODA</t>
        </is>
      </c>
      <c r="I482" t="n">
        <v>0.5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s="2" t="inlineStr"/>
    </row>
    <row r="483" ht="15" customHeight="1">
      <c r="A483" t="inlineStr">
        <is>
          <t>A 48233-2023</t>
        </is>
      </c>
      <c r="B483" t="inlineStr">
        <is>
          <t>avverkningsanmälan</t>
        </is>
      </c>
      <c r="C483" t="inlineStr">
        <is>
          <t>Föryngringsavverkning</t>
        </is>
      </c>
      <c r="D483" s="1" t="n">
        <v>45205</v>
      </c>
      <c r="E483" s="1" t="n">
        <v>46313</v>
      </c>
      <c r="F483" t="inlineStr">
        <is>
          <t>KALMAR LÄN</t>
        </is>
      </c>
      <c r="G483" t="inlineStr">
        <is>
          <t>EMMABODA</t>
        </is>
      </c>
      <c r="I483" t="n">
        <v>1.6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s="2" t="inlineStr"/>
    </row>
    <row r="484" ht="15" customHeight="1">
      <c r="A484" t="inlineStr">
        <is>
          <t>A 27488-2024</t>
        </is>
      </c>
      <c r="B484" t="inlineStr">
        <is>
          <t>avverkningsanmälan</t>
        </is>
      </c>
      <c r="C484" t="inlineStr">
        <is>
          <t>Föryngringsavverkning</t>
        </is>
      </c>
      <c r="D484" s="1" t="n">
        <v>45474</v>
      </c>
      <c r="E484" s="1" t="n">
        <v>46313</v>
      </c>
      <c r="F484" t="inlineStr">
        <is>
          <t>KALMAR LÄN</t>
        </is>
      </c>
      <c r="G484" t="inlineStr">
        <is>
          <t>EMMABODA</t>
        </is>
      </c>
      <c r="I484" t="n">
        <v>0.9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s="2" t="inlineStr"/>
    </row>
    <row r="485" ht="15" customHeight="1">
      <c r="A485" t="inlineStr">
        <is>
          <t>A 24782-2023</t>
        </is>
      </c>
      <c r="B485" t="inlineStr">
        <is>
          <t>avverkningsanmälan</t>
        </is>
      </c>
      <c r="C485" t="inlineStr">
        <is>
          <t>Föryngringsavverkning</t>
        </is>
      </c>
      <c r="D485" s="1" t="n">
        <v>45084</v>
      </c>
      <c r="E485" s="1" t="n">
        <v>46313</v>
      </c>
      <c r="F485" t="inlineStr">
        <is>
          <t>KALMAR LÄN</t>
        </is>
      </c>
      <c r="G485" t="inlineStr">
        <is>
          <t>EMMABODA</t>
        </is>
      </c>
      <c r="I485" t="n">
        <v>0.7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s="2" t="inlineStr"/>
    </row>
    <row r="486" ht="15" customHeight="1">
      <c r="A486" t="inlineStr">
        <is>
          <t>A 18424-2026</t>
        </is>
      </c>
      <c r="B486" t="inlineStr">
        <is>
          <t>avverkningsanmälan</t>
        </is>
      </c>
      <c r="C486" t="inlineStr">
        <is>
          <t>Föryngringsavverkning</t>
        </is>
      </c>
      <c r="D486" s="1" t="n">
        <v>46127</v>
      </c>
      <c r="E486" s="1" t="n">
        <v>46313</v>
      </c>
      <c r="F486" t="inlineStr">
        <is>
          <t>KALMAR LÄN</t>
        </is>
      </c>
      <c r="G486" t="inlineStr">
        <is>
          <t>EMMABODA</t>
        </is>
      </c>
      <c r="H486" t="inlineStr">
        <is>
          <t>Sveaskog</t>
        </is>
      </c>
      <c r="I486" t="n">
        <v>1.2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s="2" t="inlineStr"/>
    </row>
    <row r="487" ht="15" customHeight="1">
      <c r="A487" t="inlineStr">
        <is>
          <t>A 33084-2023</t>
        </is>
      </c>
      <c r="B487" t="inlineStr">
        <is>
          <t>avverkningsanmälan</t>
        </is>
      </c>
      <c r="C487" t="inlineStr">
        <is>
          <t>Föryngringsavverkning</t>
        </is>
      </c>
      <c r="D487" s="1" t="n">
        <v>45126</v>
      </c>
      <c r="E487" s="1" t="n">
        <v>46313</v>
      </c>
      <c r="F487" t="inlineStr">
        <is>
          <t>KALMAR LÄN</t>
        </is>
      </c>
      <c r="G487" t="inlineStr">
        <is>
          <t>EMMABODA</t>
        </is>
      </c>
      <c r="I487" t="n">
        <v>0.6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s="2" t="inlineStr"/>
    </row>
    <row r="488" ht="15" customHeight="1">
      <c r="A488" t="inlineStr">
        <is>
          <t>A 44490-2024</t>
        </is>
      </c>
      <c r="B488" t="inlineStr">
        <is>
          <t>avverkningsanmälan</t>
        </is>
      </c>
      <c r="C488" t="inlineStr">
        <is>
          <t>Föryngringsavverkning</t>
        </is>
      </c>
      <c r="D488" s="1" t="n">
        <v>45574</v>
      </c>
      <c r="E488" s="1" t="n">
        <v>46313</v>
      </c>
      <c r="F488" t="inlineStr">
        <is>
          <t>KALMAR LÄN</t>
        </is>
      </c>
      <c r="G488" t="inlineStr">
        <is>
          <t>EMMABODA</t>
        </is>
      </c>
      <c r="I488" t="n">
        <v>1.7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s="2" t="inlineStr"/>
    </row>
    <row r="489" ht="15" customHeight="1">
      <c r="A489" t="inlineStr">
        <is>
          <t>A 30882-2026</t>
        </is>
      </c>
      <c r="B489" t="inlineStr">
        <is>
          <t>avverkningsanmälan</t>
        </is>
      </c>
      <c r="C489" t="inlineStr">
        <is>
          <t>Föryngringsavverkning</t>
        </is>
      </c>
      <c r="D489" s="1" t="n">
        <v>46212</v>
      </c>
      <c r="E489" s="1" t="n">
        <v>46313</v>
      </c>
      <c r="F489" t="inlineStr">
        <is>
          <t>KALMAR LÄN</t>
        </is>
      </c>
      <c r="G489" t="inlineStr">
        <is>
          <t>EMMABODA</t>
        </is>
      </c>
      <c r="I489" t="n">
        <v>2.1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s="2" t="inlineStr"/>
    </row>
    <row r="490" ht="15" customHeight="1">
      <c r="A490" t="inlineStr">
        <is>
          <t>A 30689-2026</t>
        </is>
      </c>
      <c r="B490" t="inlineStr">
        <is>
          <t>avverkningsanmälan</t>
        </is>
      </c>
      <c r="C490" t="inlineStr">
        <is>
          <t>Föryngringsavverkning</t>
        </is>
      </c>
      <c r="D490" s="1" t="n">
        <v>46211</v>
      </c>
      <c r="E490" s="1" t="n">
        <v>46313</v>
      </c>
      <c r="F490" t="inlineStr">
        <is>
          <t>KALMAR LÄN</t>
        </is>
      </c>
      <c r="G490" t="inlineStr">
        <is>
          <t>EMMABODA</t>
        </is>
      </c>
      <c r="I490" t="n">
        <v>0.8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s="2" t="inlineStr"/>
    </row>
    <row r="491" ht="15" customHeight="1">
      <c r="A491" t="inlineStr">
        <is>
          <t>A 48918-2023</t>
        </is>
      </c>
      <c r="B491" t="inlineStr">
        <is>
          <t>avverkningsanmälan</t>
        </is>
      </c>
      <c r="C491" t="inlineStr">
        <is>
          <t>Föryngringsavverkning</t>
        </is>
      </c>
      <c r="D491" s="1" t="n">
        <v>45204</v>
      </c>
      <c r="E491" s="1" t="n">
        <v>46313</v>
      </c>
      <c r="F491" t="inlineStr">
        <is>
          <t>KALMAR LÄN</t>
        </is>
      </c>
      <c r="G491" t="inlineStr">
        <is>
          <t>EMMABODA</t>
        </is>
      </c>
      <c r="H491" t="inlineStr">
        <is>
          <t>Övriga Aktiebolag</t>
        </is>
      </c>
      <c r="I491" t="n">
        <v>5.9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s="2" t="inlineStr"/>
    </row>
    <row r="492" ht="15" customHeight="1">
      <c r="A492" t="inlineStr">
        <is>
          <t>A 30883-2026</t>
        </is>
      </c>
      <c r="B492" t="inlineStr">
        <is>
          <t>avverkningsanmälan</t>
        </is>
      </c>
      <c r="C492" t="inlineStr">
        <is>
          <t>Föryngringsavverkning</t>
        </is>
      </c>
      <c r="D492" s="1" t="n">
        <v>46212</v>
      </c>
      <c r="E492" s="1" t="n">
        <v>46313</v>
      </c>
      <c r="F492" t="inlineStr">
        <is>
          <t>KALMAR LÄN</t>
        </is>
      </c>
      <c r="G492" t="inlineStr">
        <is>
          <t>EMMABODA</t>
        </is>
      </c>
      <c r="I492" t="n">
        <v>4.9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s="2" t="inlineStr"/>
    </row>
    <row r="493" ht="15" customHeight="1">
      <c r="A493" t="inlineStr">
        <is>
          <t>A 54230-2023</t>
        </is>
      </c>
      <c r="B493" t="inlineStr">
        <is>
          <t>avverkningsanmälan</t>
        </is>
      </c>
      <c r="C493" t="inlineStr">
        <is>
          <t>Föryngringsavverkning</t>
        </is>
      </c>
      <c r="D493" s="1" t="n">
        <v>45232</v>
      </c>
      <c r="E493" s="1" t="n">
        <v>46313</v>
      </c>
      <c r="F493" t="inlineStr">
        <is>
          <t>KALMAR LÄN</t>
        </is>
      </c>
      <c r="G493" t="inlineStr">
        <is>
          <t>EMMABODA</t>
        </is>
      </c>
      <c r="I493" t="n">
        <v>4.3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s="2" t="inlineStr"/>
    </row>
    <row r="494" ht="15" customHeight="1">
      <c r="A494" t="inlineStr">
        <is>
          <t>A 27996-2023</t>
        </is>
      </c>
      <c r="B494" t="inlineStr">
        <is>
          <t>avverkningsanmälan</t>
        </is>
      </c>
      <c r="C494" t="inlineStr">
        <is>
          <t>Föryngringsavverkning</t>
        </is>
      </c>
      <c r="D494" s="1" t="n">
        <v>45098</v>
      </c>
      <c r="E494" s="1" t="n">
        <v>46313</v>
      </c>
      <c r="F494" t="inlineStr">
        <is>
          <t>KALMAR LÄN</t>
        </is>
      </c>
      <c r="G494" t="inlineStr">
        <is>
          <t>EMMABODA</t>
        </is>
      </c>
      <c r="I494" t="n">
        <v>3.1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s="2" t="inlineStr"/>
    </row>
    <row r="495" ht="15" customHeight="1">
      <c r="A495" t="inlineStr">
        <is>
          <t>A 31027-2026</t>
        </is>
      </c>
      <c r="B495" t="inlineStr">
        <is>
          <t>avverkningsanmälan</t>
        </is>
      </c>
      <c r="C495" t="inlineStr">
        <is>
          <t>Föryngringsavverkning</t>
        </is>
      </c>
      <c r="D495" s="1" t="n">
        <v>46213</v>
      </c>
      <c r="E495" s="1" t="n">
        <v>46313</v>
      </c>
      <c r="F495" t="inlineStr">
        <is>
          <t>KALMAR LÄN</t>
        </is>
      </c>
      <c r="G495" t="inlineStr">
        <is>
          <t>EMMABODA</t>
        </is>
      </c>
      <c r="I495" t="n">
        <v>1.4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s="2" t="inlineStr"/>
    </row>
    <row r="496" ht="15" customHeight="1">
      <c r="A496" t="inlineStr">
        <is>
          <t>A 14071-2024</t>
        </is>
      </c>
      <c r="B496" t="inlineStr">
        <is>
          <t>avverkningsanmälan</t>
        </is>
      </c>
      <c r="C496" t="inlineStr">
        <is>
          <t>Föryngringsavverkning</t>
        </is>
      </c>
      <c r="D496" s="1" t="n">
        <v>45392</v>
      </c>
      <c r="E496" s="1" t="n">
        <v>46313</v>
      </c>
      <c r="F496" t="inlineStr">
        <is>
          <t>KALMAR LÄN</t>
        </is>
      </c>
      <c r="G496" t="inlineStr">
        <is>
          <t>EMMABODA</t>
        </is>
      </c>
      <c r="I496" t="n">
        <v>2.5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s="2" t="inlineStr"/>
    </row>
    <row r="497" ht="15" customHeight="1">
      <c r="A497" t="inlineStr">
        <is>
          <t>A 14163-2025</t>
        </is>
      </c>
      <c r="B497" t="inlineStr">
        <is>
          <t>avverkningsanmälan</t>
        </is>
      </c>
      <c r="C497" t="inlineStr">
        <is>
          <t>Föryngringsavverkning</t>
        </is>
      </c>
      <c r="D497" s="1" t="n">
        <v>45740</v>
      </c>
      <c r="E497" s="1" t="n">
        <v>46313</v>
      </c>
      <c r="F497" t="inlineStr">
        <is>
          <t>KALMAR LÄN</t>
        </is>
      </c>
      <c r="G497" t="inlineStr">
        <is>
          <t>EMMABODA</t>
        </is>
      </c>
      <c r="I497" t="n">
        <v>1.1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s="2" t="inlineStr"/>
    </row>
    <row r="498" ht="15" customHeight="1">
      <c r="A498" t="inlineStr">
        <is>
          <t>A 6532-2024</t>
        </is>
      </c>
      <c r="B498" t="inlineStr">
        <is>
          <t>avverkningsanmälan</t>
        </is>
      </c>
      <c r="C498" t="inlineStr">
        <is>
          <t>Föryngringsavverkning</t>
        </is>
      </c>
      <c r="D498" s="1" t="n">
        <v>45341</v>
      </c>
      <c r="E498" s="1" t="n">
        <v>46313</v>
      </c>
      <c r="F498" t="inlineStr">
        <is>
          <t>KALMAR LÄN</t>
        </is>
      </c>
      <c r="G498" t="inlineStr">
        <is>
          <t>EMMABODA</t>
        </is>
      </c>
      <c r="I498" t="n">
        <v>3.2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s="2" t="inlineStr"/>
    </row>
    <row r="499" ht="15" customHeight="1">
      <c r="A499" t="inlineStr">
        <is>
          <t>A 11975-2023</t>
        </is>
      </c>
      <c r="B499" t="inlineStr">
        <is>
          <t>avverkningsanmälan</t>
        </is>
      </c>
      <c r="C499" t="inlineStr">
        <is>
          <t>Föryngringsavverkning</t>
        </is>
      </c>
      <c r="D499" s="1" t="n">
        <v>44995</v>
      </c>
      <c r="E499" s="1" t="n">
        <v>46313</v>
      </c>
      <c r="F499" t="inlineStr">
        <is>
          <t>KALMAR LÄN</t>
        </is>
      </c>
      <c r="G499" t="inlineStr">
        <is>
          <t>EMMABODA</t>
        </is>
      </c>
      <c r="I499" t="n">
        <v>1.1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s="2" t="inlineStr"/>
    </row>
    <row r="500" ht="15" customHeight="1">
      <c r="A500" t="inlineStr">
        <is>
          <t>A 13276-2023</t>
        </is>
      </c>
      <c r="B500" t="inlineStr">
        <is>
          <t>avverkningsanmälan</t>
        </is>
      </c>
      <c r="C500" t="inlineStr">
        <is>
          <t>Föryngringsavverkning</t>
        </is>
      </c>
      <c r="D500" s="1" t="n">
        <v>45003</v>
      </c>
      <c r="E500" s="1" t="n">
        <v>46313</v>
      </c>
      <c r="F500" t="inlineStr">
        <is>
          <t>KALMAR LÄN</t>
        </is>
      </c>
      <c r="G500" t="inlineStr">
        <is>
          <t>EMMABODA</t>
        </is>
      </c>
      <c r="I500" t="n">
        <v>3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s="2" t="inlineStr"/>
    </row>
    <row r="501" ht="15" customHeight="1">
      <c r="A501" t="inlineStr">
        <is>
          <t>A 28323-2024</t>
        </is>
      </c>
      <c r="B501" t="inlineStr">
        <is>
          <t>avverkningsanmälan</t>
        </is>
      </c>
      <c r="C501" t="inlineStr">
        <is>
          <t>Föryngringsavverkning</t>
        </is>
      </c>
      <c r="D501" s="1" t="n">
        <v>45477</v>
      </c>
      <c r="E501" s="1" t="n">
        <v>46313</v>
      </c>
      <c r="F501" t="inlineStr">
        <is>
          <t>KALMAR LÄN</t>
        </is>
      </c>
      <c r="G501" t="inlineStr">
        <is>
          <t>EMMABODA</t>
        </is>
      </c>
      <c r="I501" t="n">
        <v>1.7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s="2" t="inlineStr"/>
    </row>
    <row r="502" ht="15" customHeight="1">
      <c r="A502" t="inlineStr">
        <is>
          <t>A 12014-2023</t>
        </is>
      </c>
      <c r="B502" t="inlineStr">
        <is>
          <t>avverkningsanmälan</t>
        </is>
      </c>
      <c r="C502" t="inlineStr">
        <is>
          <t>Avverkning för annat ändamål</t>
        </is>
      </c>
      <c r="D502" s="1" t="n">
        <v>44995</v>
      </c>
      <c r="E502" s="1" t="n">
        <v>46313</v>
      </c>
      <c r="F502" t="inlineStr">
        <is>
          <t>KALMAR LÄN</t>
        </is>
      </c>
      <c r="G502" t="inlineStr">
        <is>
          <t>EMMABODA</t>
        </is>
      </c>
      <c r="I502" t="n">
        <v>0.7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s="2" t="inlineStr"/>
    </row>
    <row r="503" ht="15" customHeight="1">
      <c r="A503" t="inlineStr">
        <is>
          <t>A 33050-2023</t>
        </is>
      </c>
      <c r="B503" t="inlineStr">
        <is>
          <t>avverkningsanmälan</t>
        </is>
      </c>
      <c r="C503" t="inlineStr">
        <is>
          <t>Föryngringsavverkning</t>
        </is>
      </c>
      <c r="D503" s="1" t="n">
        <v>45126</v>
      </c>
      <c r="E503" s="1" t="n">
        <v>46313</v>
      </c>
      <c r="F503" t="inlineStr">
        <is>
          <t>KALMAR LÄN</t>
        </is>
      </c>
      <c r="G503" t="inlineStr">
        <is>
          <t>EMMABODA</t>
        </is>
      </c>
      <c r="I503" t="n">
        <v>1.6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s="2" t="inlineStr"/>
    </row>
    <row r="504" ht="15" customHeight="1">
      <c r="A504" t="inlineStr">
        <is>
          <t>A 32663-2024</t>
        </is>
      </c>
      <c r="B504" t="inlineStr">
        <is>
          <t>avverkningsanmälan</t>
        </is>
      </c>
      <c r="C504" t="inlineStr">
        <is>
          <t>Föryngringsavverkning</t>
        </is>
      </c>
      <c r="D504" s="1" t="n">
        <v>45514</v>
      </c>
      <c r="E504" s="1" t="n">
        <v>46313</v>
      </c>
      <c r="F504" t="inlineStr">
        <is>
          <t>KALMAR LÄN</t>
        </is>
      </c>
      <c r="G504" t="inlineStr">
        <is>
          <t>EMMABODA</t>
        </is>
      </c>
      <c r="I504" t="n">
        <v>3.2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s="2" t="inlineStr"/>
    </row>
    <row r="505" ht="15" customHeight="1">
      <c r="A505" t="inlineStr">
        <is>
          <t>A 35306-2023</t>
        </is>
      </c>
      <c r="B505" t="inlineStr">
        <is>
          <t>avverkningsanmälan</t>
        </is>
      </c>
      <c r="C505" t="inlineStr">
        <is>
          <t>Föryngringsavverkning</t>
        </is>
      </c>
      <c r="D505" s="1" t="n">
        <v>45146</v>
      </c>
      <c r="E505" s="1" t="n">
        <v>46313</v>
      </c>
      <c r="F505" t="inlineStr">
        <is>
          <t>KALMAR LÄN</t>
        </is>
      </c>
      <c r="G505" t="inlineStr">
        <is>
          <t>EMMABODA</t>
        </is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s="2" t="inlineStr"/>
    </row>
    <row r="506" ht="15" customHeight="1">
      <c r="A506" t="inlineStr">
        <is>
          <t>A 36630-2026</t>
        </is>
      </c>
      <c r="B506" t="inlineStr">
        <is>
          <t>avverkningsanmälan</t>
        </is>
      </c>
      <c r="C506" t="inlineStr">
        <is>
          <t>Föryngringsavverkning</t>
        </is>
      </c>
      <c r="D506" s="1" t="n">
        <v>46271</v>
      </c>
      <c r="E506" s="1" t="n">
        <v>46313</v>
      </c>
      <c r="F506" t="inlineStr">
        <is>
          <t>KALMAR LÄN</t>
        </is>
      </c>
      <c r="G506" t="inlineStr">
        <is>
          <t>EMMABODA</t>
        </is>
      </c>
      <c r="I506" t="n">
        <v>2.1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s="2" t="inlineStr"/>
    </row>
    <row r="507" ht="15" customHeight="1">
      <c r="A507" t="inlineStr">
        <is>
          <t>A 36875-2026</t>
        </is>
      </c>
      <c r="B507" t="inlineStr">
        <is>
          <t>avverkningsanmälan</t>
        </is>
      </c>
      <c r="C507" t="inlineStr">
        <is>
          <t>Föryngringsavverkning</t>
        </is>
      </c>
      <c r="D507" s="1" t="n">
        <v>46273</v>
      </c>
      <c r="E507" s="1" t="n">
        <v>46313</v>
      </c>
      <c r="F507" t="inlineStr">
        <is>
          <t>KALMAR LÄN</t>
        </is>
      </c>
      <c r="G507" t="inlineStr">
        <is>
          <t>EMMABODA</t>
        </is>
      </c>
      <c r="I507" t="n">
        <v>4.6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s="2" t="inlineStr"/>
    </row>
    <row r="508" ht="15" customHeight="1">
      <c r="A508" t="inlineStr">
        <is>
          <t>A 36850-2026</t>
        </is>
      </c>
      <c r="B508" t="inlineStr">
        <is>
          <t>avverkningsanmälan</t>
        </is>
      </c>
      <c r="C508" t="inlineStr">
        <is>
          <t>Föryngringsavverkning</t>
        </is>
      </c>
      <c r="D508" s="1" t="n">
        <v>46272</v>
      </c>
      <c r="E508" s="1" t="n">
        <v>46313</v>
      </c>
      <c r="F508" t="inlineStr">
        <is>
          <t>KALMAR LÄN</t>
        </is>
      </c>
      <c r="G508" t="inlineStr">
        <is>
          <t>EMMABODA</t>
        </is>
      </c>
      <c r="I508" t="n">
        <v>2.8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s="2" t="inlineStr"/>
    </row>
    <row r="509" ht="15" customHeight="1">
      <c r="A509" t="inlineStr">
        <is>
          <t>A 5345-2023</t>
        </is>
      </c>
      <c r="B509" t="inlineStr">
        <is>
          <t>avverkningsanmälan</t>
        </is>
      </c>
      <c r="C509" t="inlineStr">
        <is>
          <t>Avverkning för annat ändamål</t>
        </is>
      </c>
      <c r="D509" s="1" t="n">
        <v>44959</v>
      </c>
      <c r="E509" s="1" t="n">
        <v>46313</v>
      </c>
      <c r="F509" t="inlineStr">
        <is>
          <t>KALMAR LÄN</t>
        </is>
      </c>
      <c r="G509" t="inlineStr">
        <is>
          <t>EMMABODA</t>
        </is>
      </c>
      <c r="I509" t="n">
        <v>0.8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s="2" t="inlineStr"/>
    </row>
    <row r="510" ht="15" customHeight="1">
      <c r="A510" t="inlineStr">
        <is>
          <t>A 21844-2023</t>
        </is>
      </c>
      <c r="B510" t="inlineStr">
        <is>
          <t>avverkningsanmälan</t>
        </is>
      </c>
      <c r="C510" t="inlineStr">
        <is>
          <t>Föryngringsavverkning</t>
        </is>
      </c>
      <c r="D510" s="1" t="n">
        <v>45068</v>
      </c>
      <c r="E510" s="1" t="n">
        <v>46313</v>
      </c>
      <c r="F510" t="inlineStr">
        <is>
          <t>KALMAR LÄN</t>
        </is>
      </c>
      <c r="G510" t="inlineStr">
        <is>
          <t>EMMABODA</t>
        </is>
      </c>
      <c r="H510" t="inlineStr">
        <is>
          <t>Kommuner</t>
        </is>
      </c>
      <c r="I510" t="n">
        <v>2.7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s="2" t="inlineStr"/>
    </row>
    <row r="511" ht="15" customHeight="1">
      <c r="A511" t="inlineStr">
        <is>
          <t>A 8112-2025</t>
        </is>
      </c>
      <c r="B511" t="inlineStr">
        <is>
          <t>avverkningsanmälan</t>
        </is>
      </c>
      <c r="C511" t="inlineStr">
        <is>
          <t>Föryngringsavverkning</t>
        </is>
      </c>
      <c r="D511" s="1" t="n">
        <v>45707</v>
      </c>
      <c r="E511" s="1" t="n">
        <v>46313</v>
      </c>
      <c r="F511" t="inlineStr">
        <is>
          <t>KALMAR LÄN</t>
        </is>
      </c>
      <c r="G511" t="inlineStr">
        <is>
          <t>EMMABODA</t>
        </is>
      </c>
      <c r="I511" t="n">
        <v>5.5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s="2" t="inlineStr"/>
    </row>
    <row r="512" ht="15" customHeight="1">
      <c r="A512" t="inlineStr">
        <is>
          <t>A 46728-2022</t>
        </is>
      </c>
      <c r="B512" t="inlineStr">
        <is>
          <t>avverkningsanmälan</t>
        </is>
      </c>
      <c r="C512" t="inlineStr">
        <is>
          <t>Föryngringsavverkning</t>
        </is>
      </c>
      <c r="D512" s="1" t="n">
        <v>44851</v>
      </c>
      <c r="E512" s="1" t="n">
        <v>46313</v>
      </c>
      <c r="F512" t="inlineStr">
        <is>
          <t>KALMAR LÄN</t>
        </is>
      </c>
      <c r="G512" t="inlineStr">
        <is>
          <t>EMMABODA</t>
        </is>
      </c>
      <c r="I512" t="n">
        <v>3.1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s="2" t="inlineStr"/>
    </row>
    <row r="513" ht="15" customHeight="1">
      <c r="A513" t="inlineStr">
        <is>
          <t>A 7760-2022</t>
        </is>
      </c>
      <c r="B513" t="inlineStr">
        <is>
          <t>avverkningsanmälan</t>
        </is>
      </c>
      <c r="C513" t="inlineStr">
        <is>
          <t>Föryngringsavverkning</t>
        </is>
      </c>
      <c r="D513" s="1" t="n">
        <v>44608</v>
      </c>
      <c r="E513" s="1" t="n">
        <v>46313</v>
      </c>
      <c r="F513" t="inlineStr">
        <is>
          <t>KALMAR LÄN</t>
        </is>
      </c>
      <c r="G513" t="inlineStr">
        <is>
          <t>EMMABODA</t>
        </is>
      </c>
      <c r="I513" t="n">
        <v>1.4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s="2" t="inlineStr"/>
    </row>
    <row r="514" ht="15" customHeight="1">
      <c r="A514" t="inlineStr">
        <is>
          <t>A 27028-2023</t>
        </is>
      </c>
      <c r="B514" t="inlineStr">
        <is>
          <t>avverkningsanmälan</t>
        </is>
      </c>
      <c r="C514" t="inlineStr">
        <is>
          <t>Föryngringsavverkning</t>
        </is>
      </c>
      <c r="D514" s="1" t="n">
        <v>45095</v>
      </c>
      <c r="E514" s="1" t="n">
        <v>46313</v>
      </c>
      <c r="F514" t="inlineStr">
        <is>
          <t>KALMAR LÄN</t>
        </is>
      </c>
      <c r="G514" t="inlineStr">
        <is>
          <t>EMMABODA</t>
        </is>
      </c>
      <c r="I514" t="n">
        <v>11.3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s="2" t="inlineStr"/>
    </row>
    <row r="515" ht="15" customHeight="1">
      <c r="A515" t="inlineStr">
        <is>
          <t>A 2713-2022</t>
        </is>
      </c>
      <c r="B515" t="inlineStr">
        <is>
          <t>avverkningsanmälan</t>
        </is>
      </c>
      <c r="C515" t="inlineStr">
        <is>
          <t>Föryngringsavverkning</t>
        </is>
      </c>
      <c r="D515" s="1" t="n">
        <v>44580</v>
      </c>
      <c r="E515" s="1" t="n">
        <v>46313</v>
      </c>
      <c r="F515" t="inlineStr">
        <is>
          <t>KALMAR LÄN</t>
        </is>
      </c>
      <c r="G515" t="inlineStr">
        <is>
          <t>EMMABODA</t>
        </is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s="2" t="inlineStr"/>
    </row>
    <row r="516" ht="15" customHeight="1">
      <c r="A516" t="inlineStr">
        <is>
          <t>A 27155-2026</t>
        </is>
      </c>
      <c r="B516" t="inlineStr">
        <is>
          <t>avverkningsanmälan</t>
        </is>
      </c>
      <c r="C516" t="inlineStr">
        <is>
          <t>Avverkning för att bevara och utveckla /försöksver</t>
        </is>
      </c>
      <c r="D516" s="1" t="n">
        <v>46188</v>
      </c>
      <c r="E516" s="1" t="n">
        <v>46313</v>
      </c>
      <c r="F516" t="inlineStr">
        <is>
          <t>KALMAR LÄN</t>
        </is>
      </c>
      <c r="G516" t="inlineStr">
        <is>
          <t>EMMABODA</t>
        </is>
      </c>
      <c r="I516" t="n">
        <v>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s="2" t="inlineStr"/>
    </row>
    <row r="517" ht="15" customHeight="1">
      <c r="A517" t="inlineStr">
        <is>
          <t>A 37398-2026</t>
        </is>
      </c>
      <c r="B517" t="inlineStr">
        <is>
          <t>avverkningsanmälan</t>
        </is>
      </c>
      <c r="C517" t="inlineStr">
        <is>
          <t>Föryngringsavverkning</t>
        </is>
      </c>
      <c r="D517" s="1" t="n">
        <v>46275</v>
      </c>
      <c r="E517" s="1" t="n">
        <v>46313</v>
      </c>
      <c r="F517" t="inlineStr">
        <is>
          <t>KALMAR LÄN</t>
        </is>
      </c>
      <c r="G517" t="inlineStr">
        <is>
          <t>EMMABODA</t>
        </is>
      </c>
      <c r="I517" t="n">
        <v>1.2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s="2" t="inlineStr"/>
    </row>
    <row r="518" ht="15" customHeight="1">
      <c r="A518" t="inlineStr">
        <is>
          <t>A 11636-2024</t>
        </is>
      </c>
      <c r="B518" t="inlineStr">
        <is>
          <t>avverkningsanmälan</t>
        </is>
      </c>
      <c r="C518" t="inlineStr">
        <is>
          <t>Föryngringsavverkning</t>
        </is>
      </c>
      <c r="D518" s="1" t="n">
        <v>45373</v>
      </c>
      <c r="E518" s="1" t="n">
        <v>46313</v>
      </c>
      <c r="F518" t="inlineStr">
        <is>
          <t>KALMAR LÄN</t>
        </is>
      </c>
      <c r="G518" t="inlineStr">
        <is>
          <t>EMMABODA</t>
        </is>
      </c>
      <c r="I518" t="n">
        <v>0.7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s="2" t="inlineStr"/>
    </row>
    <row r="519" ht="15" customHeight="1">
      <c r="A519" t="inlineStr">
        <is>
          <t>A 38115-2023</t>
        </is>
      </c>
      <c r="B519" t="inlineStr">
        <is>
          <t>avverkningsanmälan</t>
        </is>
      </c>
      <c r="C519" t="inlineStr">
        <is>
          <t>Föryngringsavverkning</t>
        </is>
      </c>
      <c r="D519" s="1" t="n">
        <v>45161</v>
      </c>
      <c r="E519" s="1" t="n">
        <v>46313</v>
      </c>
      <c r="F519" t="inlineStr">
        <is>
          <t>KALMAR LÄN</t>
        </is>
      </c>
      <c r="G519" t="inlineStr">
        <is>
          <t>EMMABODA</t>
        </is>
      </c>
      <c r="H519" t="inlineStr">
        <is>
          <t>Kommuner</t>
        </is>
      </c>
      <c r="I519" t="n">
        <v>1.2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s="2" t="inlineStr"/>
    </row>
    <row r="520" ht="15" customHeight="1">
      <c r="A520" t="inlineStr">
        <is>
          <t>A 9755-2023</t>
        </is>
      </c>
      <c r="B520" t="inlineStr">
        <is>
          <t>avverkningsanmälan</t>
        </is>
      </c>
      <c r="C520" t="inlineStr">
        <is>
          <t>Föryngringsavverkning</t>
        </is>
      </c>
      <c r="D520" s="1" t="n">
        <v>44984</v>
      </c>
      <c r="E520" s="1" t="n">
        <v>46313</v>
      </c>
      <c r="F520" t="inlineStr">
        <is>
          <t>KALMAR LÄN</t>
        </is>
      </c>
      <c r="G520" t="inlineStr">
        <is>
          <t>EMMABODA</t>
        </is>
      </c>
      <c r="I520" t="n">
        <v>0.5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s="2" t="inlineStr"/>
    </row>
    <row r="521" ht="15" customHeight="1">
      <c r="A521" t="inlineStr">
        <is>
          <t>A 58839-2023</t>
        </is>
      </c>
      <c r="B521" t="inlineStr">
        <is>
          <t>avverkningsanmälan</t>
        </is>
      </c>
      <c r="C521" t="inlineStr">
        <is>
          <t>Föryngringsavverkning</t>
        </is>
      </c>
      <c r="D521" s="1" t="n">
        <v>45252</v>
      </c>
      <c r="E521" s="1" t="n">
        <v>46313</v>
      </c>
      <c r="F521" t="inlineStr">
        <is>
          <t>KALMAR LÄN</t>
        </is>
      </c>
      <c r="G521" t="inlineStr">
        <is>
          <t>EMMABODA</t>
        </is>
      </c>
      <c r="I521" t="n">
        <v>1.2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s="2" t="inlineStr"/>
    </row>
    <row r="522" ht="15" customHeight="1">
      <c r="A522" t="inlineStr">
        <is>
          <t>A 30460-2022</t>
        </is>
      </c>
      <c r="B522" t="inlineStr">
        <is>
          <t>avverkningsanmälan</t>
        </is>
      </c>
      <c r="C522" t="inlineStr">
        <is>
          <t>Föryngringsavverkning</t>
        </is>
      </c>
      <c r="D522" s="1" t="n">
        <v>44761</v>
      </c>
      <c r="E522" s="1" t="n">
        <v>46313</v>
      </c>
      <c r="F522" t="inlineStr">
        <is>
          <t>KALMAR LÄN</t>
        </is>
      </c>
      <c r="G522" t="inlineStr">
        <is>
          <t>EMMABODA</t>
        </is>
      </c>
      <c r="I522" t="n">
        <v>7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s="2" t="inlineStr"/>
    </row>
    <row r="523" ht="15" customHeight="1">
      <c r="A523" t="inlineStr">
        <is>
          <t>A 36043-2022</t>
        </is>
      </c>
      <c r="B523" t="inlineStr">
        <is>
          <t>avverkningsanmälan</t>
        </is>
      </c>
      <c r="C523" t="inlineStr">
        <is>
          <t>Föryngringsavverkning</t>
        </is>
      </c>
      <c r="D523" s="1" t="n">
        <v>44802</v>
      </c>
      <c r="E523" s="1" t="n">
        <v>46313</v>
      </c>
      <c r="F523" t="inlineStr">
        <is>
          <t>KALMAR LÄN</t>
        </is>
      </c>
      <c r="G523" t="inlineStr">
        <is>
          <t>EMMABODA</t>
        </is>
      </c>
      <c r="I523" t="n">
        <v>2.2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s="2" t="inlineStr"/>
    </row>
    <row r="524" ht="15" customHeight="1">
      <c r="A524" t="inlineStr">
        <is>
          <t>A 37738-2026</t>
        </is>
      </c>
      <c r="B524" t="inlineStr">
        <is>
          <t>avverkningsanmälan</t>
        </is>
      </c>
      <c r="C524" t="inlineStr">
        <is>
          <t>Föryngringsavverkning</t>
        </is>
      </c>
      <c r="D524" s="1" t="n">
        <v>46279</v>
      </c>
      <c r="E524" s="1" t="n">
        <v>46313</v>
      </c>
      <c r="F524" t="inlineStr">
        <is>
          <t>KALMAR LÄN</t>
        </is>
      </c>
      <c r="G524" t="inlineStr">
        <is>
          <t>EMMABODA</t>
        </is>
      </c>
      <c r="H524" t="inlineStr">
        <is>
          <t>Sveaskog</t>
        </is>
      </c>
      <c r="I524" t="n">
        <v>1.9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s="2" t="inlineStr"/>
    </row>
    <row r="525" ht="15" customHeight="1">
      <c r="A525" t="inlineStr">
        <is>
          <t>A 37783-2026</t>
        </is>
      </c>
      <c r="B525" t="inlineStr">
        <is>
          <t>avverkningsanmälan</t>
        </is>
      </c>
      <c r="C525" t="inlineStr">
        <is>
          <t>Föryngringsavverkning</t>
        </is>
      </c>
      <c r="D525" s="1" t="n">
        <v>46279</v>
      </c>
      <c r="E525" s="1" t="n">
        <v>46313</v>
      </c>
      <c r="F525" t="inlineStr">
        <is>
          <t>KALMAR LÄN</t>
        </is>
      </c>
      <c r="G525" t="inlineStr">
        <is>
          <t>EMMABODA</t>
        </is>
      </c>
      <c r="H525" t="inlineStr">
        <is>
          <t>Sveaskog</t>
        </is>
      </c>
      <c r="I525" t="n">
        <v>1.4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s="2" t="inlineStr"/>
    </row>
    <row r="526" ht="15" customHeight="1">
      <c r="A526" t="inlineStr">
        <is>
          <t>A 18310-2024</t>
        </is>
      </c>
      <c r="B526" t="inlineStr">
        <is>
          <t>avverkningsanmälan</t>
        </is>
      </c>
      <c r="C526" t="inlineStr">
        <is>
          <t>Föryngringsavverkning</t>
        </is>
      </c>
      <c r="D526" s="1" t="n">
        <v>45422</v>
      </c>
      <c r="E526" s="1" t="n">
        <v>46313</v>
      </c>
      <c r="F526" t="inlineStr">
        <is>
          <t>KALMAR LÄN</t>
        </is>
      </c>
      <c r="G526" t="inlineStr">
        <is>
          <t>EMMABODA</t>
        </is>
      </c>
      <c r="I526" t="n">
        <v>3.2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s="2" t="inlineStr"/>
    </row>
    <row r="527" ht="15" customHeight="1">
      <c r="A527" t="inlineStr">
        <is>
          <t>A 37781-2026</t>
        </is>
      </c>
      <c r="B527" t="inlineStr">
        <is>
          <t>avverkningsanmälan</t>
        </is>
      </c>
      <c r="C527" t="inlineStr">
        <is>
          <t>Föryngringsavverkning</t>
        </is>
      </c>
      <c r="D527" s="1" t="n">
        <v>46279</v>
      </c>
      <c r="E527" s="1" t="n">
        <v>46313</v>
      </c>
      <c r="F527" t="inlineStr">
        <is>
          <t>KALMAR LÄN</t>
        </is>
      </c>
      <c r="G527" t="inlineStr">
        <is>
          <t>EMMABODA</t>
        </is>
      </c>
      <c r="H527" t="inlineStr">
        <is>
          <t>Sveaskog</t>
        </is>
      </c>
      <c r="I527" t="n">
        <v>1.2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s="2" t="inlineStr"/>
    </row>
    <row r="528" ht="15" customHeight="1">
      <c r="A528" t="inlineStr">
        <is>
          <t>A 37296-2022</t>
        </is>
      </c>
      <c r="B528" t="inlineStr">
        <is>
          <t>avverkningsanmälan</t>
        </is>
      </c>
      <c r="C528" t="inlineStr">
        <is>
          <t>Föryngringsavverkning</t>
        </is>
      </c>
      <c r="D528" s="1" t="n">
        <v>44808</v>
      </c>
      <c r="E528" s="1" t="n">
        <v>46313</v>
      </c>
      <c r="F528" t="inlineStr">
        <is>
          <t>KALMAR LÄN</t>
        </is>
      </c>
      <c r="G528" t="inlineStr">
        <is>
          <t>EMMABODA</t>
        </is>
      </c>
      <c r="I528" t="n">
        <v>3.3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s="2" t="inlineStr"/>
    </row>
    <row r="529" ht="15" customHeight="1">
      <c r="A529" t="inlineStr">
        <is>
          <t>A 37823-2026</t>
        </is>
      </c>
      <c r="B529" t="inlineStr">
        <is>
          <t>avverkningsanmälan</t>
        </is>
      </c>
      <c r="C529" t="inlineStr">
        <is>
          <t>Föryngringsavverkning</t>
        </is>
      </c>
      <c r="D529" s="1" t="n">
        <v>46279</v>
      </c>
      <c r="E529" s="1" t="n">
        <v>46313</v>
      </c>
      <c r="F529" t="inlineStr">
        <is>
          <t>KALMAR LÄN</t>
        </is>
      </c>
      <c r="G529" t="inlineStr">
        <is>
          <t>EMMABODA</t>
        </is>
      </c>
      <c r="I529" t="n">
        <v>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s="2" t="inlineStr"/>
    </row>
    <row r="530" ht="15" customHeight="1">
      <c r="A530" t="inlineStr">
        <is>
          <t>A 37787-2026</t>
        </is>
      </c>
      <c r="B530" t="inlineStr">
        <is>
          <t>avverkningsanmälan</t>
        </is>
      </c>
      <c r="C530" t="inlineStr">
        <is>
          <t>Föryngringsavverkning</t>
        </is>
      </c>
      <c r="D530" s="1" t="n">
        <v>46279</v>
      </c>
      <c r="E530" s="1" t="n">
        <v>46313</v>
      </c>
      <c r="F530" t="inlineStr">
        <is>
          <t>KALMAR LÄN</t>
        </is>
      </c>
      <c r="G530" t="inlineStr">
        <is>
          <t>EMMABODA</t>
        </is>
      </c>
      <c r="H530" t="inlineStr">
        <is>
          <t>Sveaskog</t>
        </is>
      </c>
      <c r="I530" t="n">
        <v>0.9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s="2" t="inlineStr"/>
    </row>
    <row r="531" ht="15" customHeight="1">
      <c r="A531" t="inlineStr">
        <is>
          <t>A 37721-2026</t>
        </is>
      </c>
      <c r="B531" t="inlineStr">
        <is>
          <t>avverkningsanmälan</t>
        </is>
      </c>
      <c r="C531" t="inlineStr">
        <is>
          <t>Föryngringsavverkning</t>
        </is>
      </c>
      <c r="D531" s="1" t="n">
        <v>46279</v>
      </c>
      <c r="E531" s="1" t="n">
        <v>46313</v>
      </c>
      <c r="F531" t="inlineStr">
        <is>
          <t>KALMAR LÄN</t>
        </is>
      </c>
      <c r="G531" t="inlineStr">
        <is>
          <t>EMMABODA</t>
        </is>
      </c>
      <c r="H531" t="inlineStr">
        <is>
          <t>Sveaskog</t>
        </is>
      </c>
      <c r="I531" t="n">
        <v>4.2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s="2" t="inlineStr"/>
    </row>
    <row r="532" ht="15" customHeight="1">
      <c r="A532" t="inlineStr">
        <is>
          <t>A 37731-2026</t>
        </is>
      </c>
      <c r="B532" t="inlineStr">
        <is>
          <t>avverkningsanmälan</t>
        </is>
      </c>
      <c r="C532" t="inlineStr">
        <is>
          <t>Föryngringsavverkning</t>
        </is>
      </c>
      <c r="D532" s="1" t="n">
        <v>46279</v>
      </c>
      <c r="E532" s="1" t="n">
        <v>46313</v>
      </c>
      <c r="F532" t="inlineStr">
        <is>
          <t>KALMAR LÄN</t>
        </is>
      </c>
      <c r="G532" t="inlineStr">
        <is>
          <t>EMMABODA</t>
        </is>
      </c>
      <c r="H532" t="inlineStr">
        <is>
          <t>Sveaskog</t>
        </is>
      </c>
      <c r="I532" t="n">
        <v>1.9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s="2" t="inlineStr"/>
    </row>
    <row r="533" ht="15" customHeight="1">
      <c r="A533" t="inlineStr">
        <is>
          <t>A 37739-2026</t>
        </is>
      </c>
      <c r="B533" t="inlineStr">
        <is>
          <t>avverkningsanmälan</t>
        </is>
      </c>
      <c r="C533" t="inlineStr">
        <is>
          <t>Föryngringsavverkning</t>
        </is>
      </c>
      <c r="D533" s="1" t="n">
        <v>46279</v>
      </c>
      <c r="E533" s="1" t="n">
        <v>46313</v>
      </c>
      <c r="F533" t="inlineStr">
        <is>
          <t>KALMAR LÄN</t>
        </is>
      </c>
      <c r="G533" t="inlineStr">
        <is>
          <t>EMMABODA</t>
        </is>
      </c>
      <c r="H533" t="inlineStr">
        <is>
          <t>Sveaskog</t>
        </is>
      </c>
      <c r="I533" t="n">
        <v>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s="2" t="inlineStr"/>
    </row>
    <row r="534" ht="15" customHeight="1">
      <c r="A534" t="inlineStr">
        <is>
          <t>A 37782-2026</t>
        </is>
      </c>
      <c r="B534" t="inlineStr">
        <is>
          <t>avverkningsanmälan</t>
        </is>
      </c>
      <c r="C534" t="inlineStr">
        <is>
          <t>Föryngringsavverkning</t>
        </is>
      </c>
      <c r="D534" s="1" t="n">
        <v>46279</v>
      </c>
      <c r="E534" s="1" t="n">
        <v>46313</v>
      </c>
      <c r="F534" t="inlineStr">
        <is>
          <t>KALMAR LÄN</t>
        </is>
      </c>
      <c r="G534" t="inlineStr">
        <is>
          <t>EMMABODA</t>
        </is>
      </c>
      <c r="H534" t="inlineStr">
        <is>
          <t>Sveaskog</t>
        </is>
      </c>
      <c r="I534" t="n">
        <v>2.1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s="2" t="inlineStr"/>
    </row>
    <row r="535" ht="15" customHeight="1">
      <c r="A535" t="inlineStr">
        <is>
          <t>A 37717-2026</t>
        </is>
      </c>
      <c r="B535" t="inlineStr">
        <is>
          <t>avverkningsanmälan</t>
        </is>
      </c>
      <c r="C535" t="inlineStr">
        <is>
          <t>Föryngringsavverkning</t>
        </is>
      </c>
      <c r="D535" s="1" t="n">
        <v>46279</v>
      </c>
      <c r="E535" s="1" t="n">
        <v>46313</v>
      </c>
      <c r="F535" t="inlineStr">
        <is>
          <t>KALMAR LÄN</t>
        </is>
      </c>
      <c r="G535" t="inlineStr">
        <is>
          <t>EMMABODA</t>
        </is>
      </c>
      <c r="H535" t="inlineStr">
        <is>
          <t>Sveaskog</t>
        </is>
      </c>
      <c r="I535" t="n">
        <v>2.1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s="2" t="inlineStr"/>
    </row>
    <row r="536" ht="15" customHeight="1">
      <c r="A536" t="inlineStr">
        <is>
          <t>A 37737-2026</t>
        </is>
      </c>
      <c r="B536" t="inlineStr">
        <is>
          <t>avverkningsanmälan</t>
        </is>
      </c>
      <c r="C536" t="inlineStr">
        <is>
          <t>Föryngringsavverkning</t>
        </is>
      </c>
      <c r="D536" s="1" t="n">
        <v>46279</v>
      </c>
      <c r="E536" s="1" t="n">
        <v>46313</v>
      </c>
      <c r="F536" t="inlineStr">
        <is>
          <t>KALMAR LÄN</t>
        </is>
      </c>
      <c r="G536" t="inlineStr">
        <is>
          <t>EMMABODA</t>
        </is>
      </c>
      <c r="H536" t="inlineStr">
        <is>
          <t>Sveaskog</t>
        </is>
      </c>
      <c r="I536" t="n">
        <v>1.9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s="2" t="inlineStr"/>
    </row>
    <row r="537" ht="15" customHeight="1">
      <c r="A537" t="inlineStr">
        <is>
          <t>A 44542-2023</t>
        </is>
      </c>
      <c r="B537" t="inlineStr">
        <is>
          <t>avverkningsanmälan</t>
        </is>
      </c>
      <c r="C537" t="inlineStr">
        <is>
          <t>Föryngringsavverkning</t>
        </is>
      </c>
      <c r="D537" s="1" t="n">
        <v>45189</v>
      </c>
      <c r="E537" s="1" t="n">
        <v>46313</v>
      </c>
      <c r="F537" t="inlineStr">
        <is>
          <t>KALMAR LÄN</t>
        </is>
      </c>
      <c r="G537" t="inlineStr">
        <is>
          <t>EMMABODA</t>
        </is>
      </c>
      <c r="I537" t="n">
        <v>2.4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s="2" t="inlineStr"/>
    </row>
    <row r="538" ht="15" customHeight="1">
      <c r="A538" t="inlineStr">
        <is>
          <t>A 20052-2025</t>
        </is>
      </c>
      <c r="B538" t="inlineStr">
        <is>
          <t>avverkningsanmälan</t>
        </is>
      </c>
      <c r="C538" t="inlineStr">
        <is>
          <t>Föryngringsavverkning</t>
        </is>
      </c>
      <c r="D538" s="1" t="n">
        <v>45772</v>
      </c>
      <c r="E538" s="1" t="n">
        <v>46313</v>
      </c>
      <c r="F538" t="inlineStr">
        <is>
          <t>KALMAR LÄN</t>
        </is>
      </c>
      <c r="G538" t="inlineStr">
        <is>
          <t>EMMABODA</t>
        </is>
      </c>
      <c r="I538" t="n">
        <v>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s="2" t="inlineStr"/>
    </row>
    <row r="539" ht="15" customHeight="1">
      <c r="A539" t="inlineStr">
        <is>
          <t>A 19359-2023</t>
        </is>
      </c>
      <c r="B539" t="inlineStr">
        <is>
          <t>avverkningsanmälan</t>
        </is>
      </c>
      <c r="C539" t="inlineStr">
        <is>
          <t>Föryngringsavverkning</t>
        </is>
      </c>
      <c r="D539" s="1" t="n">
        <v>45049</v>
      </c>
      <c r="E539" s="1" t="n">
        <v>46313</v>
      </c>
      <c r="F539" t="inlineStr">
        <is>
          <t>KALMAR LÄN</t>
        </is>
      </c>
      <c r="G539" t="inlineStr">
        <is>
          <t>EMMABODA</t>
        </is>
      </c>
      <c r="I539" t="n">
        <v>2.2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s="2" t="inlineStr"/>
    </row>
    <row r="540" ht="15" customHeight="1">
      <c r="A540" t="inlineStr">
        <is>
          <t>A 69464-2021</t>
        </is>
      </c>
      <c r="B540" t="inlineStr">
        <is>
          <t>avverkningsanmälan</t>
        </is>
      </c>
      <c r="C540" t="inlineStr">
        <is>
          <t>Föryngringsavverkning</t>
        </is>
      </c>
      <c r="D540" s="1" t="n">
        <v>44531</v>
      </c>
      <c r="E540" s="1" t="n">
        <v>46313</v>
      </c>
      <c r="F540" t="inlineStr">
        <is>
          <t>KALMAR LÄN</t>
        </is>
      </c>
      <c r="G540" t="inlineStr">
        <is>
          <t>EMMABODA</t>
        </is>
      </c>
      <c r="I540" t="n">
        <v>2.2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s="2" t="inlineStr"/>
    </row>
    <row r="541" ht="15" customHeight="1">
      <c r="A541" t="inlineStr">
        <is>
          <t>A 19686-2023</t>
        </is>
      </c>
      <c r="B541" t="inlineStr">
        <is>
          <t>avverkningsanmälan</t>
        </is>
      </c>
      <c r="C541" t="inlineStr">
        <is>
          <t>Föryngringsavverkning</t>
        </is>
      </c>
      <c r="D541" s="1" t="n">
        <v>45051</v>
      </c>
      <c r="E541" s="1" t="n">
        <v>46313</v>
      </c>
      <c r="F541" t="inlineStr">
        <is>
          <t>KALMAR LÄN</t>
        </is>
      </c>
      <c r="G541" t="inlineStr">
        <is>
          <t>EMMABODA</t>
        </is>
      </c>
      <c r="I541" t="n">
        <v>0.7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s="2" t="inlineStr"/>
    </row>
    <row r="542" ht="15" customHeight="1">
      <c r="A542" t="inlineStr">
        <is>
          <t>A 19695-2023</t>
        </is>
      </c>
      <c r="B542" t="inlineStr">
        <is>
          <t>avverkningsanmälan</t>
        </is>
      </c>
      <c r="C542" t="inlineStr">
        <is>
          <t>Föryngringsavverkning</t>
        </is>
      </c>
      <c r="D542" s="1" t="n">
        <v>45051</v>
      </c>
      <c r="E542" s="1" t="n">
        <v>46313</v>
      </c>
      <c r="F542" t="inlineStr">
        <is>
          <t>KALMAR LÄN</t>
        </is>
      </c>
      <c r="G542" t="inlineStr">
        <is>
          <t>EMMABODA</t>
        </is>
      </c>
      <c r="I542" t="n">
        <v>4.5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s="2" t="inlineStr"/>
    </row>
    <row r="543" ht="15" customHeight="1">
      <c r="A543" t="inlineStr">
        <is>
          <t>A 33067-2023</t>
        </is>
      </c>
      <c r="B543" t="inlineStr">
        <is>
          <t>avverkningsanmälan</t>
        </is>
      </c>
      <c r="C543" t="inlineStr">
        <is>
          <t>Föryngringsavverkning</t>
        </is>
      </c>
      <c r="D543" s="1" t="n">
        <v>45126</v>
      </c>
      <c r="E543" s="1" t="n">
        <v>46313</v>
      </c>
      <c r="F543" t="inlineStr">
        <is>
          <t>KALMAR LÄN</t>
        </is>
      </c>
      <c r="G543" t="inlineStr">
        <is>
          <t>EMMABODA</t>
        </is>
      </c>
      <c r="I543" t="n">
        <v>0.5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s="2" t="inlineStr"/>
    </row>
    <row r="544" ht="15" customHeight="1">
      <c r="A544" t="inlineStr">
        <is>
          <t>A 33081-2023</t>
        </is>
      </c>
      <c r="B544" t="inlineStr">
        <is>
          <t>avverkningsanmälan</t>
        </is>
      </c>
      <c r="C544" t="inlineStr">
        <is>
          <t>Föryngringsavverkning</t>
        </is>
      </c>
      <c r="D544" s="1" t="n">
        <v>45126</v>
      </c>
      <c r="E544" s="1" t="n">
        <v>46313</v>
      </c>
      <c r="F544" t="inlineStr">
        <is>
          <t>KALMAR LÄN</t>
        </is>
      </c>
      <c r="G544" t="inlineStr">
        <is>
          <t>EMMABODA</t>
        </is>
      </c>
      <c r="I544" t="n">
        <v>0.5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s="2" t="inlineStr"/>
    </row>
    <row r="545" ht="15" customHeight="1">
      <c r="A545" t="inlineStr">
        <is>
          <t>A 4031-2024</t>
        </is>
      </c>
      <c r="B545" t="inlineStr">
        <is>
          <t>avverkningsanmälan</t>
        </is>
      </c>
      <c r="C545" t="inlineStr">
        <is>
          <t>Föryngringsavverkning</t>
        </is>
      </c>
      <c r="D545" s="1" t="n">
        <v>45323</v>
      </c>
      <c r="E545" s="1" t="n">
        <v>46313</v>
      </c>
      <c r="F545" t="inlineStr">
        <is>
          <t>KALMAR LÄN</t>
        </is>
      </c>
      <c r="G545" t="inlineStr">
        <is>
          <t>EMMABODA</t>
        </is>
      </c>
      <c r="I545" t="n">
        <v>0.5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s="2" t="inlineStr"/>
    </row>
    <row r="546" ht="15" customHeight="1">
      <c r="A546" t="inlineStr">
        <is>
          <t>A 16703-2022</t>
        </is>
      </c>
      <c r="B546" t="inlineStr">
        <is>
          <t>avverkningsanmälan</t>
        </is>
      </c>
      <c r="C546" t="inlineStr">
        <is>
          <t>Föryngringsavverkning</t>
        </is>
      </c>
      <c r="D546" s="1" t="n">
        <v>44673</v>
      </c>
      <c r="E546" s="1" t="n">
        <v>46313</v>
      </c>
      <c r="F546" t="inlineStr">
        <is>
          <t>KALMAR LÄN</t>
        </is>
      </c>
      <c r="G546" t="inlineStr">
        <is>
          <t>EMMABODA</t>
        </is>
      </c>
      <c r="I546" t="n">
        <v>0.7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s="2" t="inlineStr"/>
    </row>
    <row r="547" ht="15" customHeight="1">
      <c r="A547" t="inlineStr">
        <is>
          <t>A 49726-2024</t>
        </is>
      </c>
      <c r="B547" t="inlineStr">
        <is>
          <t>avverkningsanmälan</t>
        </is>
      </c>
      <c r="C547" t="inlineStr">
        <is>
          <t>Föryngringsavverkning</t>
        </is>
      </c>
      <c r="D547" s="1" t="n">
        <v>45596</v>
      </c>
      <c r="E547" s="1" t="n">
        <v>46313</v>
      </c>
      <c r="F547" t="inlineStr">
        <is>
          <t>KALMAR LÄN</t>
        </is>
      </c>
      <c r="G547" t="inlineStr">
        <is>
          <t>EMMABODA</t>
        </is>
      </c>
      <c r="I547" t="n">
        <v>5.9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s="2" t="inlineStr"/>
    </row>
    <row r="548" ht="15" customHeight="1">
      <c r="A548" t="inlineStr">
        <is>
          <t>A 38377-2026</t>
        </is>
      </c>
      <c r="B548" t="inlineStr">
        <is>
          <t>avverkningsanmälan</t>
        </is>
      </c>
      <c r="C548" t="inlineStr">
        <is>
          <t>Föryngringsavverkning</t>
        </is>
      </c>
      <c r="D548" s="1" t="n">
        <v>46282</v>
      </c>
      <c r="E548" s="1" t="n">
        <v>46313</v>
      </c>
      <c r="F548" t="inlineStr">
        <is>
          <t>KALMAR LÄN</t>
        </is>
      </c>
      <c r="G548" t="inlineStr">
        <is>
          <t>EMMABODA</t>
        </is>
      </c>
      <c r="I548" t="n">
        <v>0.9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s="2" t="inlineStr"/>
    </row>
    <row r="549" ht="15" customHeight="1">
      <c r="A549" t="inlineStr">
        <is>
          <t>A 56606-2022</t>
        </is>
      </c>
      <c r="B549" t="inlineStr">
        <is>
          <t>avverkningsanmälan</t>
        </is>
      </c>
      <c r="C549" t="inlineStr">
        <is>
          <t>Föryngringsavverkning</t>
        </is>
      </c>
      <c r="D549" s="1" t="n">
        <v>44893</v>
      </c>
      <c r="E549" s="1" t="n">
        <v>46313</v>
      </c>
      <c r="F549" t="inlineStr">
        <is>
          <t>KALMAR LÄN</t>
        </is>
      </c>
      <c r="G549" t="inlineStr">
        <is>
          <t>EMMABODA</t>
        </is>
      </c>
      <c r="I549" t="n">
        <v>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s="2" t="inlineStr"/>
    </row>
    <row r="550" ht="15" customHeight="1">
      <c r="A550" t="inlineStr">
        <is>
          <t>A 1417-2025</t>
        </is>
      </c>
      <c r="B550" t="inlineStr">
        <is>
          <t>avverkningsanmälan</t>
        </is>
      </c>
      <c r="C550" t="inlineStr">
        <is>
          <t>Föryngringsavverkning</t>
        </is>
      </c>
      <c r="D550" s="1" t="n">
        <v>45668</v>
      </c>
      <c r="E550" s="1" t="n">
        <v>46313</v>
      </c>
      <c r="F550" t="inlineStr">
        <is>
          <t>KALMAR LÄN</t>
        </is>
      </c>
      <c r="G550" t="inlineStr">
        <is>
          <t>EMMABODA</t>
        </is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s="2" t="inlineStr"/>
    </row>
    <row r="551" ht="15" customHeight="1">
      <c r="A551" t="inlineStr">
        <is>
          <t>A 30262-2022</t>
        </is>
      </c>
      <c r="B551" t="inlineStr">
        <is>
          <t>avverkningsanmälan</t>
        </is>
      </c>
      <c r="C551" t="inlineStr">
        <is>
          <t>Föryngringsavverkning</t>
        </is>
      </c>
      <c r="D551" s="1" t="n">
        <v>44759</v>
      </c>
      <c r="E551" s="1" t="n">
        <v>46313</v>
      </c>
      <c r="F551" t="inlineStr">
        <is>
          <t>KALMAR LÄN</t>
        </is>
      </c>
      <c r="G551" t="inlineStr">
        <is>
          <t>EMMABODA</t>
        </is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s="2" t="inlineStr"/>
    </row>
    <row r="552" ht="15" customHeight="1">
      <c r="A552" t="inlineStr">
        <is>
          <t>A 5182-2022</t>
        </is>
      </c>
      <c r="B552" t="inlineStr">
        <is>
          <t>avverkningsanmälan</t>
        </is>
      </c>
      <c r="C552" t="inlineStr">
        <is>
          <t>Föryngringsavverkning</t>
        </is>
      </c>
      <c r="D552" s="1" t="n">
        <v>44594</v>
      </c>
      <c r="E552" s="1" t="n">
        <v>46313</v>
      </c>
      <c r="F552" t="inlineStr">
        <is>
          <t>KALMAR LÄN</t>
        </is>
      </c>
      <c r="G552" t="inlineStr">
        <is>
          <t>EMMABODA</t>
        </is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s="2" t="inlineStr"/>
    </row>
    <row r="553" ht="15" customHeight="1">
      <c r="A553" t="inlineStr">
        <is>
          <t>A 4024-2024</t>
        </is>
      </c>
      <c r="B553" t="inlineStr">
        <is>
          <t>avverkningsanmälan</t>
        </is>
      </c>
      <c r="C553" t="inlineStr">
        <is>
          <t>Föryngringsavverkning</t>
        </is>
      </c>
      <c r="D553" s="1" t="n">
        <v>45323</v>
      </c>
      <c r="E553" s="1" t="n">
        <v>46313</v>
      </c>
      <c r="F553" t="inlineStr">
        <is>
          <t>KALMAR LÄN</t>
        </is>
      </c>
      <c r="G553" t="inlineStr">
        <is>
          <t>EMMABODA</t>
        </is>
      </c>
      <c r="I553" t="n">
        <v>3.3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s="2" t="inlineStr"/>
    </row>
    <row r="554" ht="15" customHeight="1">
      <c r="A554" t="inlineStr">
        <is>
          <t>A 32853-2026</t>
        </is>
      </c>
      <c r="B554" t="inlineStr">
        <is>
          <t>avverkningsanmälan</t>
        </is>
      </c>
      <c r="C554" t="inlineStr">
        <is>
          <t>Föryngringsavverkning</t>
        </is>
      </c>
      <c r="D554" s="1" t="n">
        <v>46244</v>
      </c>
      <c r="E554" s="1" t="n">
        <v>46313</v>
      </c>
      <c r="F554" t="inlineStr">
        <is>
          <t>KALMAR LÄN</t>
        </is>
      </c>
      <c r="G554" t="inlineStr">
        <is>
          <t>EMMABODA</t>
        </is>
      </c>
      <c r="I554" t="n">
        <v>1.5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s="2" t="inlineStr"/>
    </row>
    <row r="555" ht="15" customHeight="1">
      <c r="A555" t="inlineStr">
        <is>
          <t>A 47149-2022</t>
        </is>
      </c>
      <c r="B555" t="inlineStr">
        <is>
          <t>avverkningsanmälan</t>
        </is>
      </c>
      <c r="C555" t="inlineStr">
        <is>
          <t>Föryngringsavverkning</t>
        </is>
      </c>
      <c r="D555" s="1" t="n">
        <v>44852</v>
      </c>
      <c r="E555" s="1" t="n">
        <v>46313</v>
      </c>
      <c r="F555" t="inlineStr">
        <is>
          <t>KALMAR LÄN</t>
        </is>
      </c>
      <c r="G555" t="inlineStr">
        <is>
          <t>EMMABODA</t>
        </is>
      </c>
      <c r="I555" t="n">
        <v>3.4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s="2" t="inlineStr"/>
    </row>
    <row r="556" ht="15" customHeight="1">
      <c r="A556" t="inlineStr">
        <is>
          <t>A 36009-2023</t>
        </is>
      </c>
      <c r="B556" t="inlineStr">
        <is>
          <t>avverkningsanmälan</t>
        </is>
      </c>
      <c r="C556" t="inlineStr">
        <is>
          <t>Föryngringsavverkning</t>
        </is>
      </c>
      <c r="D556" s="1" t="n">
        <v>45149</v>
      </c>
      <c r="E556" s="1" t="n">
        <v>46313</v>
      </c>
      <c r="F556" t="inlineStr">
        <is>
          <t>KALMAR LÄN</t>
        </is>
      </c>
      <c r="G556" t="inlineStr">
        <is>
          <t>EMMABODA</t>
        </is>
      </c>
      <c r="I556" t="n">
        <v>0.6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s="2" t="inlineStr"/>
    </row>
    <row r="557" ht="15" customHeight="1">
      <c r="A557" t="inlineStr">
        <is>
          <t>A 38970-2026</t>
        </is>
      </c>
      <c r="B557" t="inlineStr">
        <is>
          <t>avverkningsanmälan</t>
        </is>
      </c>
      <c r="C557" t="inlineStr">
        <is>
          <t>Föryngringsavverkning</t>
        </is>
      </c>
      <c r="D557" s="1" t="n">
        <v>46286</v>
      </c>
      <c r="E557" s="1" t="n">
        <v>46313</v>
      </c>
      <c r="F557" t="inlineStr">
        <is>
          <t>KALMAR LÄN</t>
        </is>
      </c>
      <c r="G557" t="inlineStr">
        <is>
          <t>EMMABODA</t>
        </is>
      </c>
      <c r="I557" t="n">
        <v>0.5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s="2" t="inlineStr"/>
    </row>
    <row r="558" ht="15" customHeight="1">
      <c r="A558" t="inlineStr">
        <is>
          <t>A 30515-2023</t>
        </is>
      </c>
      <c r="B558" t="inlineStr">
        <is>
          <t>avverkningsanmälan</t>
        </is>
      </c>
      <c r="C558" t="inlineStr">
        <is>
          <t>Föryngringsavverkning</t>
        </is>
      </c>
      <c r="D558" s="1" t="n">
        <v>45111</v>
      </c>
      <c r="E558" s="1" t="n">
        <v>46313</v>
      </c>
      <c r="F558" t="inlineStr">
        <is>
          <t>KALMAR LÄN</t>
        </is>
      </c>
      <c r="G558" t="inlineStr">
        <is>
          <t>EMMABODA</t>
        </is>
      </c>
      <c r="I558" t="n">
        <v>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s="2" t="inlineStr"/>
    </row>
    <row r="559" ht="15" customHeight="1">
      <c r="A559" t="inlineStr">
        <is>
          <t>A 2354-2024</t>
        </is>
      </c>
      <c r="B559" t="inlineStr">
        <is>
          <t>avverkningsanmälan</t>
        </is>
      </c>
      <c r="C559" t="inlineStr">
        <is>
          <t>Föryngringsavverkning</t>
        </is>
      </c>
      <c r="D559" s="1" t="n">
        <v>45310</v>
      </c>
      <c r="E559" s="1" t="n">
        <v>46313</v>
      </c>
      <c r="F559" t="inlineStr">
        <is>
          <t>KALMAR LÄN</t>
        </is>
      </c>
      <c r="G559" t="inlineStr">
        <is>
          <t>EMMABODA</t>
        </is>
      </c>
      <c r="I559" t="n">
        <v>5.7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s="2" t="inlineStr"/>
    </row>
    <row r="560" ht="15" customHeight="1">
      <c r="A560" t="inlineStr">
        <is>
          <t>A 11621-2025</t>
        </is>
      </c>
      <c r="B560" t="inlineStr">
        <is>
          <t>avverkningsanmälan</t>
        </is>
      </c>
      <c r="C560" t="inlineStr">
        <is>
          <t>Föryngringsavverkning</t>
        </is>
      </c>
      <c r="D560" s="1" t="n">
        <v>45727</v>
      </c>
      <c r="E560" s="1" t="n">
        <v>46313</v>
      </c>
      <c r="F560" t="inlineStr">
        <is>
          <t>KALMAR LÄN</t>
        </is>
      </c>
      <c r="G560" t="inlineStr">
        <is>
          <t>EMMABODA</t>
        </is>
      </c>
      <c r="I560" t="n">
        <v>0.5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s="2" t="inlineStr"/>
    </row>
    <row r="561" ht="15" customHeight="1">
      <c r="A561" t="inlineStr">
        <is>
          <t>A 11616-2025</t>
        </is>
      </c>
      <c r="B561" t="inlineStr">
        <is>
          <t>avverkningsanmälan</t>
        </is>
      </c>
      <c r="C561" t="inlineStr">
        <is>
          <t>Föryngringsavverkning</t>
        </is>
      </c>
      <c r="D561" s="1" t="n">
        <v>45727</v>
      </c>
      <c r="E561" s="1" t="n">
        <v>46313</v>
      </c>
      <c r="F561" t="inlineStr">
        <is>
          <t>KALMAR LÄN</t>
        </is>
      </c>
      <c r="G561" t="inlineStr">
        <is>
          <t>EMMABODA</t>
        </is>
      </c>
      <c r="I561" t="n">
        <v>1.7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s="2" t="inlineStr"/>
    </row>
    <row r="562" ht="15" customHeight="1">
      <c r="A562" t="inlineStr">
        <is>
          <t>A 7719-2025</t>
        </is>
      </c>
      <c r="B562" t="inlineStr">
        <is>
          <t>avverkningsanmälan</t>
        </is>
      </c>
      <c r="C562" t="inlineStr">
        <is>
          <t>Föryngringsavverkning</t>
        </is>
      </c>
      <c r="D562" s="1" t="n">
        <v>45706</v>
      </c>
      <c r="E562" s="1" t="n">
        <v>46313</v>
      </c>
      <c r="F562" t="inlineStr">
        <is>
          <t>KALMAR LÄN</t>
        </is>
      </c>
      <c r="G562" t="inlineStr">
        <is>
          <t>EMMABODA</t>
        </is>
      </c>
      <c r="I562" t="n">
        <v>0.7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s="2" t="inlineStr"/>
    </row>
    <row r="563" ht="15" customHeight="1">
      <c r="A563" t="inlineStr">
        <is>
          <t>A 48926-2023</t>
        </is>
      </c>
      <c r="B563" t="inlineStr">
        <is>
          <t>avverkningsanmälan</t>
        </is>
      </c>
      <c r="C563" t="inlineStr">
        <is>
          <t>Föryngringsavverkning</t>
        </is>
      </c>
      <c r="D563" s="1" t="n">
        <v>45204</v>
      </c>
      <c r="E563" s="1" t="n">
        <v>46313</v>
      </c>
      <c r="F563" t="inlineStr">
        <is>
          <t>KALMAR LÄN</t>
        </is>
      </c>
      <c r="G563" t="inlineStr">
        <is>
          <t>EMMABODA</t>
        </is>
      </c>
      <c r="H563" t="inlineStr">
        <is>
          <t>Övriga Aktiebolag</t>
        </is>
      </c>
      <c r="I563" t="n">
        <v>1.5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s="2" t="inlineStr"/>
    </row>
    <row r="564" ht="15" customHeight="1">
      <c r="A564" t="inlineStr">
        <is>
          <t>A 21291-2023</t>
        </is>
      </c>
      <c r="B564" t="inlineStr">
        <is>
          <t>avverkningsanmälan</t>
        </is>
      </c>
      <c r="C564" t="inlineStr">
        <is>
          <t>Föryngringsavverkning</t>
        </is>
      </c>
      <c r="D564" s="1" t="n">
        <v>45062</v>
      </c>
      <c r="E564" s="1" t="n">
        <v>46313</v>
      </c>
      <c r="F564" t="inlineStr">
        <is>
          <t>KALMAR LÄN</t>
        </is>
      </c>
      <c r="G564" t="inlineStr">
        <is>
          <t>EMMABODA</t>
        </is>
      </c>
      <c r="I564" t="n">
        <v>0.5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s="2" t="inlineStr"/>
    </row>
    <row r="565" ht="15" customHeight="1">
      <c r="A565" t="inlineStr">
        <is>
          <t>A 42194-2024</t>
        </is>
      </c>
      <c r="B565" t="inlineStr">
        <is>
          <t>avverkningsanmälan</t>
        </is>
      </c>
      <c r="C565" t="inlineStr">
        <is>
          <t>Föryngringsavverkning</t>
        </is>
      </c>
      <c r="D565" s="1" t="n">
        <v>45562</v>
      </c>
      <c r="E565" s="1" t="n">
        <v>46313</v>
      </c>
      <c r="F565" t="inlineStr">
        <is>
          <t>KALMAR LÄN</t>
        </is>
      </c>
      <c r="G565" t="inlineStr">
        <is>
          <t>EMMABODA</t>
        </is>
      </c>
      <c r="I565" t="n">
        <v>2.6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s="2" t="inlineStr"/>
    </row>
    <row r="566" ht="15" customHeight="1">
      <c r="A566" t="inlineStr">
        <is>
          <t>A 46527-2025</t>
        </is>
      </c>
      <c r="B566" t="inlineStr">
        <is>
          <t>avverkningsanmälan</t>
        </is>
      </c>
      <c r="C566" t="inlineStr">
        <is>
          <t>Föryngringsavverkning</t>
        </is>
      </c>
      <c r="D566" s="1" t="n">
        <v>45926</v>
      </c>
      <c r="E566" s="1" t="n">
        <v>46313</v>
      </c>
      <c r="F566" t="inlineStr">
        <is>
          <t>KALMAR LÄN</t>
        </is>
      </c>
      <c r="G566" t="inlineStr">
        <is>
          <t>EMMABODA</t>
        </is>
      </c>
      <c r="I566" t="n">
        <v>1.2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s="2" t="inlineStr"/>
    </row>
    <row r="567" ht="15" customHeight="1">
      <c r="A567" t="inlineStr">
        <is>
          <t>A 28681-2023</t>
        </is>
      </c>
      <c r="B567" t="inlineStr">
        <is>
          <t>avverkningsanmälan</t>
        </is>
      </c>
      <c r="C567" t="inlineStr">
        <is>
          <t>Föryngringsavverkning</t>
        </is>
      </c>
      <c r="D567" s="1" t="n">
        <v>45103</v>
      </c>
      <c r="E567" s="1" t="n">
        <v>46313</v>
      </c>
      <c r="F567" t="inlineStr">
        <is>
          <t>KALMAR LÄN</t>
        </is>
      </c>
      <c r="G567" t="inlineStr">
        <is>
          <t>EMMABODA</t>
        </is>
      </c>
      <c r="I567" t="n">
        <v>4.6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s="2" t="inlineStr"/>
    </row>
    <row r="568" ht="15" customHeight="1">
      <c r="A568" t="inlineStr">
        <is>
          <t>A 5192-2025</t>
        </is>
      </c>
      <c r="B568" t="inlineStr">
        <is>
          <t>avverkningsanmälan</t>
        </is>
      </c>
      <c r="C568" t="inlineStr">
        <is>
          <t>Föryngringsavverkning</t>
        </is>
      </c>
      <c r="D568" s="1" t="n">
        <v>45688</v>
      </c>
      <c r="E568" s="1" t="n">
        <v>46313</v>
      </c>
      <c r="F568" t="inlineStr">
        <is>
          <t>KALMAR LÄN</t>
        </is>
      </c>
      <c r="G568" t="inlineStr">
        <is>
          <t>EMMABODA</t>
        </is>
      </c>
      <c r="I568" t="n">
        <v>3.6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s="2" t="inlineStr"/>
    </row>
    <row r="569" ht="15" customHeight="1">
      <c r="A569" t="inlineStr">
        <is>
          <t>A 4387-2022</t>
        </is>
      </c>
      <c r="B569" t="inlineStr">
        <is>
          <t>avverkningsanmälan</t>
        </is>
      </c>
      <c r="C569" t="inlineStr">
        <is>
          <t>Föryngringsavverkning</t>
        </is>
      </c>
      <c r="D569" s="1" t="n">
        <v>44589</v>
      </c>
      <c r="E569" s="1" t="n">
        <v>46313</v>
      </c>
      <c r="F569" t="inlineStr">
        <is>
          <t>KALMAR LÄN</t>
        </is>
      </c>
      <c r="G569" t="inlineStr">
        <is>
          <t>EMMABODA</t>
        </is>
      </c>
      <c r="I569" t="n">
        <v>0.7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s="2" t="inlineStr"/>
    </row>
    <row r="570" ht="15" customHeight="1">
      <c r="A570" t="inlineStr">
        <is>
          <t>A 39245-2026</t>
        </is>
      </c>
      <c r="B570" t="inlineStr">
        <is>
          <t>avverkningsanmälan</t>
        </is>
      </c>
      <c r="C570" t="inlineStr">
        <is>
          <t>Föryngringsavverkning</t>
        </is>
      </c>
      <c r="D570" s="1" t="n">
        <v>46288</v>
      </c>
      <c r="E570" s="1" t="n">
        <v>46313</v>
      </c>
      <c r="F570" t="inlineStr">
        <is>
          <t>KALMAR LÄN</t>
        </is>
      </c>
      <c r="G570" t="inlineStr">
        <is>
          <t>EMMABODA</t>
        </is>
      </c>
      <c r="I570" t="n">
        <v>1.2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s="2" t="inlineStr"/>
    </row>
    <row r="571" ht="15" customHeight="1">
      <c r="A571" t="inlineStr">
        <is>
          <t>A 24460-2022</t>
        </is>
      </c>
      <c r="B571" t="inlineStr">
        <is>
          <t>avverkningsanmälan</t>
        </is>
      </c>
      <c r="C571" t="inlineStr">
        <is>
          <t>Föryngringsavverkning</t>
        </is>
      </c>
      <c r="D571" s="1" t="n">
        <v>44726</v>
      </c>
      <c r="E571" s="1" t="n">
        <v>46313</v>
      </c>
      <c r="F571" t="inlineStr">
        <is>
          <t>KALMAR LÄN</t>
        </is>
      </c>
      <c r="G571" t="inlineStr">
        <is>
          <t>EMMABODA</t>
        </is>
      </c>
      <c r="I571" t="n">
        <v>1.1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s="2" t="inlineStr"/>
    </row>
    <row r="572" ht="15" customHeight="1">
      <c r="A572" t="inlineStr">
        <is>
          <t>A 14792-2025</t>
        </is>
      </c>
      <c r="B572" t="inlineStr">
        <is>
          <t>avverkningsanmälan</t>
        </is>
      </c>
      <c r="C572" t="inlineStr">
        <is>
          <t>Föryngringsavverkning</t>
        </is>
      </c>
      <c r="D572" s="1" t="n">
        <v>45742</v>
      </c>
      <c r="E572" s="1" t="n">
        <v>46313</v>
      </c>
      <c r="F572" t="inlineStr">
        <is>
          <t>KALMAR LÄN</t>
        </is>
      </c>
      <c r="G572" t="inlineStr">
        <is>
          <t>EMMABODA</t>
        </is>
      </c>
      <c r="I572" t="n">
        <v>0.7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s="2" t="inlineStr"/>
    </row>
    <row r="573" ht="15" customHeight="1">
      <c r="A573" t="inlineStr">
        <is>
          <t>A 67538-2021</t>
        </is>
      </c>
      <c r="B573" t="inlineStr">
        <is>
          <t>avverkningsanmälan</t>
        </is>
      </c>
      <c r="C573" t="inlineStr">
        <is>
          <t>Föryngringsavverkning</t>
        </is>
      </c>
      <c r="D573" s="1" t="n">
        <v>44524</v>
      </c>
      <c r="E573" s="1" t="n">
        <v>46313</v>
      </c>
      <c r="F573" t="inlineStr">
        <is>
          <t>KALMAR LÄN</t>
        </is>
      </c>
      <c r="G573" t="inlineStr">
        <is>
          <t>EMMABODA</t>
        </is>
      </c>
      <c r="I573" t="n">
        <v>11.6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s="2" t="inlineStr"/>
    </row>
    <row r="574" ht="15" customHeight="1">
      <c r="A574" t="inlineStr">
        <is>
          <t>A 24983-2022</t>
        </is>
      </c>
      <c r="B574" t="inlineStr">
        <is>
          <t>avverkningsanmälan</t>
        </is>
      </c>
      <c r="C574" t="inlineStr">
        <is>
          <t>Föryngringsavverkning</t>
        </is>
      </c>
      <c r="D574" s="1" t="n">
        <v>44728</v>
      </c>
      <c r="E574" s="1" t="n">
        <v>46313</v>
      </c>
      <c r="F574" t="inlineStr">
        <is>
          <t>KALMAR LÄN</t>
        </is>
      </c>
      <c r="G574" t="inlineStr">
        <is>
          <t>EMMABODA</t>
        </is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s="2" t="inlineStr"/>
    </row>
    <row r="575" ht="15" customHeight="1">
      <c r="A575" t="inlineStr">
        <is>
          <t>A 42943-2023</t>
        </is>
      </c>
      <c r="B575" t="inlineStr">
        <is>
          <t>avverkningsanmälan</t>
        </is>
      </c>
      <c r="C575" t="inlineStr">
        <is>
          <t>Föryngringsavverkning</t>
        </is>
      </c>
      <c r="D575" s="1" t="n">
        <v>45182</v>
      </c>
      <c r="E575" s="1" t="n">
        <v>46313</v>
      </c>
      <c r="F575" t="inlineStr">
        <is>
          <t>KALMAR LÄN</t>
        </is>
      </c>
      <c r="G575" t="inlineStr">
        <is>
          <t>EMMABODA</t>
        </is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s="2" t="inlineStr"/>
    </row>
    <row r="576" ht="15" customHeight="1">
      <c r="A576" t="inlineStr">
        <is>
          <t>A 38924-2022</t>
        </is>
      </c>
      <c r="B576" t="inlineStr">
        <is>
          <t>avverkningsanmälan</t>
        </is>
      </c>
      <c r="C576" t="inlineStr">
        <is>
          <t>Föryngringsavverkning</t>
        </is>
      </c>
      <c r="D576" s="1" t="n">
        <v>44816</v>
      </c>
      <c r="E576" s="1" t="n">
        <v>46313</v>
      </c>
      <c r="F576" t="inlineStr">
        <is>
          <t>KALMAR LÄN</t>
        </is>
      </c>
      <c r="G576" t="inlineStr">
        <is>
          <t>EMMABODA</t>
        </is>
      </c>
      <c r="I576" t="n">
        <v>3.1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s="2" t="inlineStr"/>
    </row>
    <row r="577" ht="15" customHeight="1">
      <c r="A577" t="inlineStr">
        <is>
          <t>A 39249-2026</t>
        </is>
      </c>
      <c r="B577" t="inlineStr">
        <is>
          <t>avverkningsanmälan</t>
        </is>
      </c>
      <c r="C577" t="inlineStr">
        <is>
          <t>Föryngringsavverkning</t>
        </is>
      </c>
      <c r="D577" s="1" t="n">
        <v>46288</v>
      </c>
      <c r="E577" s="1" t="n">
        <v>46313</v>
      </c>
      <c r="F577" t="inlineStr">
        <is>
          <t>KALMAR LÄN</t>
        </is>
      </c>
      <c r="G577" t="inlineStr">
        <is>
          <t>EMMABODA</t>
        </is>
      </c>
      <c r="I577" t="n">
        <v>0.4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s="2" t="inlineStr"/>
    </row>
    <row r="578" ht="15" customHeight="1">
      <c r="A578" t="inlineStr">
        <is>
          <t>A 44924-2022</t>
        </is>
      </c>
      <c r="B578" t="inlineStr">
        <is>
          <t>avverkningsanmälan</t>
        </is>
      </c>
      <c r="C578" t="inlineStr">
        <is>
          <t>Föryngringsavverkning</t>
        </is>
      </c>
      <c r="D578" s="1" t="n">
        <v>44840</v>
      </c>
      <c r="E578" s="1" t="n">
        <v>46313</v>
      </c>
      <c r="F578" t="inlineStr">
        <is>
          <t>KALMAR LÄN</t>
        </is>
      </c>
      <c r="G578" t="inlineStr">
        <is>
          <t>EMMABODA</t>
        </is>
      </c>
      <c r="H578" t="inlineStr">
        <is>
          <t>Övriga Aktiebolag</t>
        </is>
      </c>
      <c r="I578" t="n">
        <v>1.5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s="2" t="inlineStr"/>
    </row>
    <row r="579" ht="15" customHeight="1">
      <c r="A579" t="inlineStr">
        <is>
          <t>A 49284-2024</t>
        </is>
      </c>
      <c r="B579" t="inlineStr">
        <is>
          <t>avverkningsanmälan</t>
        </is>
      </c>
      <c r="C579" t="inlineStr">
        <is>
          <t>Föryngringsavverkning</t>
        </is>
      </c>
      <c r="D579" s="1" t="n">
        <v>45595</v>
      </c>
      <c r="E579" s="1" t="n">
        <v>46313</v>
      </c>
      <c r="F579" t="inlineStr">
        <is>
          <t>KALMAR LÄN</t>
        </is>
      </c>
      <c r="G579" t="inlineStr">
        <is>
          <t>EMMABODA</t>
        </is>
      </c>
      <c r="I579" t="n">
        <v>1.2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s="2" t="inlineStr"/>
    </row>
    <row r="580" ht="15" customHeight="1">
      <c r="A580" t="inlineStr">
        <is>
          <t>A 57794-2022</t>
        </is>
      </c>
      <c r="B580" t="inlineStr">
        <is>
          <t>avverkningsanmälan</t>
        </is>
      </c>
      <c r="C580" t="inlineStr">
        <is>
          <t>Föryngringsavverkning</t>
        </is>
      </c>
      <c r="D580" s="1" t="n">
        <v>44897</v>
      </c>
      <c r="E580" s="1" t="n">
        <v>46313</v>
      </c>
      <c r="F580" t="inlineStr">
        <is>
          <t>KALMAR LÄN</t>
        </is>
      </c>
      <c r="G580" t="inlineStr">
        <is>
          <t>EMMABODA</t>
        </is>
      </c>
      <c r="I580" t="n">
        <v>6.1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s="2" t="inlineStr"/>
    </row>
    <row r="581" ht="15" customHeight="1">
      <c r="A581" t="inlineStr">
        <is>
          <t>A 63215-2023</t>
        </is>
      </c>
      <c r="B581" t="inlineStr">
        <is>
          <t>avverkningsanmälan</t>
        </is>
      </c>
      <c r="C581" t="inlineStr">
        <is>
          <t>Föryngringsavverkning</t>
        </is>
      </c>
      <c r="D581" s="1" t="n">
        <v>45273</v>
      </c>
      <c r="E581" s="1" t="n">
        <v>46313</v>
      </c>
      <c r="F581" t="inlineStr">
        <is>
          <t>KALMAR LÄN</t>
        </is>
      </c>
      <c r="G581" t="inlineStr">
        <is>
          <t>EMMABODA</t>
        </is>
      </c>
      <c r="H581" t="inlineStr">
        <is>
          <t>Kommuner</t>
        </is>
      </c>
      <c r="I581" t="n">
        <v>1.3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s="2" t="inlineStr"/>
    </row>
    <row r="582" ht="15" customHeight="1">
      <c r="A582" t="inlineStr">
        <is>
          <t>A 7839-2024</t>
        </is>
      </c>
      <c r="B582" t="inlineStr">
        <is>
          <t>avverkningsanmälan</t>
        </is>
      </c>
      <c r="C582" t="inlineStr">
        <is>
          <t>Föryngringsavverkning</t>
        </is>
      </c>
      <c r="D582" s="1" t="n">
        <v>45349</v>
      </c>
      <c r="E582" s="1" t="n">
        <v>46313</v>
      </c>
      <c r="F582" t="inlineStr">
        <is>
          <t>KALMAR LÄN</t>
        </is>
      </c>
      <c r="G582" t="inlineStr">
        <is>
          <t>EMMABODA</t>
        </is>
      </c>
      <c r="I582" t="n">
        <v>0.6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s="2" t="inlineStr"/>
    </row>
    <row r="583" ht="15" customHeight="1">
      <c r="A583" t="inlineStr">
        <is>
          <t>A 41545-2022</t>
        </is>
      </c>
      <c r="B583" t="inlineStr">
        <is>
          <t>avverkningsanmälan</t>
        </is>
      </c>
      <c r="C583" t="inlineStr">
        <is>
          <t>Föryngringsavverkning</t>
        </is>
      </c>
      <c r="D583" s="1" t="n">
        <v>44827</v>
      </c>
      <c r="E583" s="1" t="n">
        <v>46313</v>
      </c>
      <c r="F583" t="inlineStr">
        <is>
          <t>KALMAR LÄN</t>
        </is>
      </c>
      <c r="G583" t="inlineStr">
        <is>
          <t>EMMABODA</t>
        </is>
      </c>
      <c r="I583" t="n">
        <v>3.8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s="2" t="inlineStr"/>
    </row>
    <row r="584" ht="15" customHeight="1">
      <c r="A584" t="inlineStr">
        <is>
          <t>A 27414-2023</t>
        </is>
      </c>
      <c r="B584" t="inlineStr">
        <is>
          <t>avverkningsanmälan</t>
        </is>
      </c>
      <c r="C584" t="inlineStr">
        <is>
          <t>Föryngringsavverkning</t>
        </is>
      </c>
      <c r="D584" s="1" t="n">
        <v>45092</v>
      </c>
      <c r="E584" s="1" t="n">
        <v>46313</v>
      </c>
      <c r="F584" t="inlineStr">
        <is>
          <t>KALMAR LÄN</t>
        </is>
      </c>
      <c r="G584" t="inlineStr">
        <is>
          <t>EMMABODA</t>
        </is>
      </c>
      <c r="I584" t="n">
        <v>2.1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s="2" t="inlineStr"/>
    </row>
    <row r="585" ht="15" customHeight="1">
      <c r="A585" t="inlineStr">
        <is>
          <t>A 39812-2026</t>
        </is>
      </c>
      <c r="B585" t="inlineStr">
        <is>
          <t>avverkningsanmälan</t>
        </is>
      </c>
      <c r="C585" t="inlineStr">
        <is>
          <t>Föryngringsavverkning</t>
        </is>
      </c>
      <c r="D585" s="1" t="n">
        <v>46290</v>
      </c>
      <c r="E585" s="1" t="n">
        <v>46313</v>
      </c>
      <c r="F585" t="inlineStr">
        <is>
          <t>KALMAR LÄN</t>
        </is>
      </c>
      <c r="G585" t="inlineStr">
        <is>
          <t>EMMABODA</t>
        </is>
      </c>
      <c r="I585" t="n">
        <v>6.3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s="2" t="inlineStr"/>
    </row>
    <row r="586" ht="15" customHeight="1">
      <c r="A586" t="inlineStr">
        <is>
          <t>A 39824-2026</t>
        </is>
      </c>
      <c r="B586" t="inlineStr">
        <is>
          <t>avverkningsanmälan</t>
        </is>
      </c>
      <c r="C586" t="inlineStr">
        <is>
          <t>Föryngringsavverkning</t>
        </is>
      </c>
      <c r="D586" s="1" t="n">
        <v>46290</v>
      </c>
      <c r="E586" s="1" t="n">
        <v>46313</v>
      </c>
      <c r="F586" t="inlineStr">
        <is>
          <t>KALMAR LÄN</t>
        </is>
      </c>
      <c r="G586" t="inlineStr">
        <is>
          <t>EMMABODA</t>
        </is>
      </c>
      <c r="I586" t="n">
        <v>1.6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s="2" t="inlineStr"/>
    </row>
    <row r="587" ht="15" customHeight="1">
      <c r="A587" t="inlineStr">
        <is>
          <t>A 39806-2026</t>
        </is>
      </c>
      <c r="B587" t="inlineStr">
        <is>
          <t>avverkningsanmälan</t>
        </is>
      </c>
      <c r="C587" t="inlineStr">
        <is>
          <t>Föryngringsavverkning</t>
        </is>
      </c>
      <c r="D587" s="1" t="n">
        <v>46290</v>
      </c>
      <c r="E587" s="1" t="n">
        <v>46313</v>
      </c>
      <c r="F587" t="inlineStr">
        <is>
          <t>KALMAR LÄN</t>
        </is>
      </c>
      <c r="G587" t="inlineStr">
        <is>
          <t>EMMABODA</t>
        </is>
      </c>
      <c r="I587" t="n">
        <v>1.5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s="2" t="inlineStr"/>
    </row>
    <row r="588" ht="15" customHeight="1">
      <c r="A588" t="inlineStr">
        <is>
          <t>A 73058-2021</t>
        </is>
      </c>
      <c r="B588" t="inlineStr">
        <is>
          <t>avverkningsanmälan</t>
        </is>
      </c>
      <c r="C588" t="inlineStr">
        <is>
          <t>Föryngringsavverkning</t>
        </is>
      </c>
      <c r="D588" s="1" t="n">
        <v>44550</v>
      </c>
      <c r="E588" s="1" t="n">
        <v>46313</v>
      </c>
      <c r="F588" t="inlineStr">
        <is>
          <t>KALMAR LÄN</t>
        </is>
      </c>
      <c r="G588" t="inlineStr">
        <is>
          <t>EMMABODA</t>
        </is>
      </c>
      <c r="I588" t="n">
        <v>0.7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s="2" t="inlineStr"/>
    </row>
    <row r="589" ht="15" customHeight="1">
      <c r="A589" t="inlineStr">
        <is>
          <t>A 23437-2023</t>
        </is>
      </c>
      <c r="B589" t="inlineStr">
        <is>
          <t>avverkningsanmälan</t>
        </is>
      </c>
      <c r="C589" t="inlineStr">
        <is>
          <t>Föryngringsavverkning</t>
        </is>
      </c>
      <c r="D589" s="1" t="n">
        <v>45076</v>
      </c>
      <c r="E589" s="1" t="n">
        <v>46313</v>
      </c>
      <c r="F589" t="inlineStr">
        <is>
          <t>KALMAR LÄN</t>
        </is>
      </c>
      <c r="G589" t="inlineStr">
        <is>
          <t>EMMABODA</t>
        </is>
      </c>
      <c r="I589" t="n">
        <v>2.4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s="2" t="inlineStr"/>
    </row>
    <row r="590" ht="15" customHeight="1">
      <c r="A590" t="inlineStr">
        <is>
          <t>A 12959-2024</t>
        </is>
      </c>
      <c r="B590" t="inlineStr">
        <is>
          <t>avverkningsanmälan</t>
        </is>
      </c>
      <c r="C590" t="inlineStr">
        <is>
          <t>Föryngringsavverkning</t>
        </is>
      </c>
      <c r="D590" s="1" t="n">
        <v>45385</v>
      </c>
      <c r="E590" s="1" t="n">
        <v>46313</v>
      </c>
      <c r="F590" t="inlineStr">
        <is>
          <t>KALMAR LÄN</t>
        </is>
      </c>
      <c r="G590" t="inlineStr">
        <is>
          <t>EMMABODA</t>
        </is>
      </c>
      <c r="I590" t="n">
        <v>2.4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s="2" t="inlineStr"/>
    </row>
    <row r="591" ht="15" customHeight="1">
      <c r="A591" t="inlineStr">
        <is>
          <t>A 32687-2024</t>
        </is>
      </c>
      <c r="B591" t="inlineStr">
        <is>
          <t>avverkningsanmälan</t>
        </is>
      </c>
      <c r="C591" t="inlineStr">
        <is>
          <t>Föryngringsavverkning</t>
        </is>
      </c>
      <c r="D591" s="1" t="n">
        <v>45515</v>
      </c>
      <c r="E591" s="1" t="n">
        <v>46313</v>
      </c>
      <c r="F591" t="inlineStr">
        <is>
          <t>KALMAR LÄN</t>
        </is>
      </c>
      <c r="G591" t="inlineStr">
        <is>
          <t>EMMABODA</t>
        </is>
      </c>
      <c r="I591" t="n">
        <v>0.9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s="2" t="inlineStr"/>
    </row>
    <row r="592" ht="15" customHeight="1">
      <c r="A592" t="inlineStr">
        <is>
          <t>A 1702-2024</t>
        </is>
      </c>
      <c r="B592" t="inlineStr">
        <is>
          <t>avverkningsanmälan</t>
        </is>
      </c>
      <c r="C592" t="inlineStr">
        <is>
          <t>Föryngringsavverkning</t>
        </is>
      </c>
      <c r="D592" s="1" t="n">
        <v>45307</v>
      </c>
      <c r="E592" s="1" t="n">
        <v>46313</v>
      </c>
      <c r="F592" t="inlineStr">
        <is>
          <t>KALMAR LÄN</t>
        </is>
      </c>
      <c r="G592" t="inlineStr">
        <is>
          <t>EMMABODA</t>
        </is>
      </c>
      <c r="I592" t="n">
        <v>1.1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s="2" t="inlineStr"/>
    </row>
    <row r="593" ht="15" customHeight="1">
      <c r="A593" t="inlineStr">
        <is>
          <t>A 3288-2024</t>
        </is>
      </c>
      <c r="B593" t="inlineStr">
        <is>
          <t>avverkningsanmälan</t>
        </is>
      </c>
      <c r="C593" t="inlineStr">
        <is>
          <t>Föryngringsavverkning</t>
        </is>
      </c>
      <c r="D593" s="1" t="n">
        <v>45317</v>
      </c>
      <c r="E593" s="1" t="n">
        <v>46313</v>
      </c>
      <c r="F593" t="inlineStr">
        <is>
          <t>KALMAR LÄN</t>
        </is>
      </c>
      <c r="G593" t="inlineStr">
        <is>
          <t>EMMABODA</t>
        </is>
      </c>
      <c r="I593" t="n">
        <v>0.6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s="2" t="inlineStr"/>
    </row>
    <row r="594" ht="15" customHeight="1">
      <c r="A594" t="inlineStr">
        <is>
          <t>A 43719-2023</t>
        </is>
      </c>
      <c r="B594" t="inlineStr">
        <is>
          <t>avverkningsanmälan</t>
        </is>
      </c>
      <c r="C594" t="inlineStr">
        <is>
          <t>Föryngringsavverkning</t>
        </is>
      </c>
      <c r="D594" s="1" t="n">
        <v>45187</v>
      </c>
      <c r="E594" s="1" t="n">
        <v>46313</v>
      </c>
      <c r="F594" t="inlineStr">
        <is>
          <t>KALMAR LÄN</t>
        </is>
      </c>
      <c r="G594" t="inlineStr">
        <is>
          <t>EMMABODA</t>
        </is>
      </c>
      <c r="I594" t="n">
        <v>0.5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s="2" t="inlineStr"/>
    </row>
    <row r="595" ht="15" customHeight="1">
      <c r="A595" t="inlineStr">
        <is>
          <t>A 28600-2022</t>
        </is>
      </c>
      <c r="B595" t="inlineStr">
        <is>
          <t>avverkningsanmälan</t>
        </is>
      </c>
      <c r="C595" t="inlineStr">
        <is>
          <t>Föryngringsavverkning</t>
        </is>
      </c>
      <c r="D595" s="1" t="n">
        <v>44748</v>
      </c>
      <c r="E595" s="1" t="n">
        <v>46313</v>
      </c>
      <c r="F595" t="inlineStr">
        <is>
          <t>KALMAR LÄN</t>
        </is>
      </c>
      <c r="G595" t="inlineStr">
        <is>
          <t>EMMABODA</t>
        </is>
      </c>
      <c r="I595" t="n">
        <v>1.3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s="2" t="inlineStr"/>
    </row>
    <row r="596" ht="15" customHeight="1">
      <c r="A596" t="inlineStr">
        <is>
          <t>A 22845-2026</t>
        </is>
      </c>
      <c r="B596" t="inlineStr">
        <is>
          <t>avverkningsanmälan</t>
        </is>
      </c>
      <c r="C596" t="inlineStr">
        <is>
          <t>Föryngringsavverkning</t>
        </is>
      </c>
      <c r="D596" s="1" t="n">
        <v>46160</v>
      </c>
      <c r="E596" s="1" t="n">
        <v>46313</v>
      </c>
      <c r="F596" t="inlineStr">
        <is>
          <t>KALMAR LÄN</t>
        </is>
      </c>
      <c r="G596" t="inlineStr">
        <is>
          <t>EMMABODA</t>
        </is>
      </c>
      <c r="I596" t="n">
        <v>2.1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s="2" t="inlineStr"/>
    </row>
    <row r="597" ht="15" customHeight="1">
      <c r="A597" t="inlineStr">
        <is>
          <t>A 33759-2026</t>
        </is>
      </c>
      <c r="B597" t="inlineStr">
        <is>
          <t>avverkningsanmälan</t>
        </is>
      </c>
      <c r="C597" t="inlineStr">
        <is>
          <t>Föryngringsavverkning</t>
        </is>
      </c>
      <c r="D597" s="1" t="n">
        <v>46251</v>
      </c>
      <c r="E597" s="1" t="n">
        <v>46313</v>
      </c>
      <c r="F597" t="inlineStr">
        <is>
          <t>KALMAR LÄN</t>
        </is>
      </c>
      <c r="G597" t="inlineStr">
        <is>
          <t>EMMABODA</t>
        </is>
      </c>
      <c r="I597" t="n">
        <v>2.1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s="2" t="inlineStr"/>
    </row>
    <row r="598" ht="15" customHeight="1">
      <c r="A598" t="inlineStr">
        <is>
          <t>A 20505-2022</t>
        </is>
      </c>
      <c r="B598" t="inlineStr">
        <is>
          <t>avverkningsanmälan</t>
        </is>
      </c>
      <c r="C598" t="inlineStr">
        <is>
          <t>Föryngringsavverkning</t>
        </is>
      </c>
      <c r="D598" s="1" t="n">
        <v>44699</v>
      </c>
      <c r="E598" s="1" t="n">
        <v>46313</v>
      </c>
      <c r="F598" t="inlineStr">
        <is>
          <t>KALMAR LÄN</t>
        </is>
      </c>
      <c r="G598" t="inlineStr">
        <is>
          <t>EMMABODA</t>
        </is>
      </c>
      <c r="I598" t="n">
        <v>0.9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s="2" t="inlineStr"/>
    </row>
    <row r="599" ht="15" customHeight="1">
      <c r="A599" t="inlineStr">
        <is>
          <t>A 15362-2024</t>
        </is>
      </c>
      <c r="B599" t="inlineStr">
        <is>
          <t>avverkningsanmälan</t>
        </is>
      </c>
      <c r="C599" t="inlineStr">
        <is>
          <t>Föryngringsavverkning</t>
        </is>
      </c>
      <c r="D599" s="1" t="n">
        <v>45400</v>
      </c>
      <c r="E599" s="1" t="n">
        <v>46313</v>
      </c>
      <c r="F599" t="inlineStr">
        <is>
          <t>KALMAR LÄN</t>
        </is>
      </c>
      <c r="G599" t="inlineStr">
        <is>
          <t>EMMABODA</t>
        </is>
      </c>
      <c r="I599" t="n">
        <v>0.7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s="2" t="inlineStr"/>
    </row>
    <row r="600" ht="15" customHeight="1">
      <c r="A600" t="inlineStr">
        <is>
          <t>A 53373-2023</t>
        </is>
      </c>
      <c r="B600" t="inlineStr">
        <is>
          <t>avverkningsanmälan</t>
        </is>
      </c>
      <c r="C600" t="inlineStr">
        <is>
          <t>Föryngringsavverkning</t>
        </is>
      </c>
      <c r="D600" s="1" t="n">
        <v>45229</v>
      </c>
      <c r="E600" s="1" t="n">
        <v>46313</v>
      </c>
      <c r="F600" t="inlineStr">
        <is>
          <t>KALMAR LÄN</t>
        </is>
      </c>
      <c r="G600" t="inlineStr">
        <is>
          <t>EMMABODA</t>
        </is>
      </c>
      <c r="I600" t="n">
        <v>1.1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s="2" t="inlineStr"/>
    </row>
    <row r="601" ht="15" customHeight="1">
      <c r="A601" t="inlineStr">
        <is>
          <t>A 45293-2023</t>
        </is>
      </c>
      <c r="B601" t="inlineStr">
        <is>
          <t>avverkningsanmälan</t>
        </is>
      </c>
      <c r="C601" t="inlineStr">
        <is>
          <t>Föryngringsavverkning</t>
        </is>
      </c>
      <c r="D601" s="1" t="n">
        <v>45188</v>
      </c>
      <c r="E601" s="1" t="n">
        <v>46313</v>
      </c>
      <c r="F601" t="inlineStr">
        <is>
          <t>KALMAR LÄN</t>
        </is>
      </c>
      <c r="G601" t="inlineStr">
        <is>
          <t>EMMABODA</t>
        </is>
      </c>
      <c r="H601" t="inlineStr">
        <is>
          <t>Kyrkan</t>
        </is>
      </c>
      <c r="I601" t="n">
        <v>2.1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s="2" t="inlineStr"/>
    </row>
    <row r="602" ht="15" customHeight="1">
      <c r="A602" t="inlineStr">
        <is>
          <t>A 19350-2025</t>
        </is>
      </c>
      <c r="B602" t="inlineStr">
        <is>
          <t>avverkningsanmälan</t>
        </is>
      </c>
      <c r="C602" t="inlineStr">
        <is>
          <t>Föryngringsavverkning</t>
        </is>
      </c>
      <c r="D602" s="1" t="n">
        <v>45769</v>
      </c>
      <c r="E602" s="1" t="n">
        <v>46313</v>
      </c>
      <c r="F602" t="inlineStr">
        <is>
          <t>KALMAR LÄN</t>
        </is>
      </c>
      <c r="G602" t="inlineStr">
        <is>
          <t>EMMABODA</t>
        </is>
      </c>
      <c r="I602" t="n">
        <v>1.9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s="2" t="inlineStr"/>
    </row>
    <row r="603" ht="15" customHeight="1">
      <c r="A603" t="inlineStr">
        <is>
          <t>A 31070-2022</t>
        </is>
      </c>
      <c r="B603" t="inlineStr">
        <is>
          <t>avverkningsanmälan</t>
        </is>
      </c>
      <c r="C603" t="inlineStr">
        <is>
          <t>Föryngringsavverkning</t>
        </is>
      </c>
      <c r="D603" s="1" t="n">
        <v>44769</v>
      </c>
      <c r="E603" s="1" t="n">
        <v>46313</v>
      </c>
      <c r="F603" t="inlineStr">
        <is>
          <t>KALMAR LÄN</t>
        </is>
      </c>
      <c r="G603" t="inlineStr">
        <is>
          <t>EMMABODA</t>
        </is>
      </c>
      <c r="I603" t="n">
        <v>1.7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s="2" t="inlineStr"/>
    </row>
    <row r="604" ht="15" customHeight="1">
      <c r="A604" t="inlineStr">
        <is>
          <t>A 34191-2026</t>
        </is>
      </c>
      <c r="B604" t="inlineStr">
        <is>
          <t>avverkningsanmälan</t>
        </is>
      </c>
      <c r="C604" t="inlineStr">
        <is>
          <t>Föryngringsavverkning</t>
        </is>
      </c>
      <c r="D604" s="1" t="n">
        <v>46253</v>
      </c>
      <c r="E604" s="1" t="n">
        <v>46313</v>
      </c>
      <c r="F604" t="inlineStr">
        <is>
          <t>KALMAR LÄN</t>
        </is>
      </c>
      <c r="G604" t="inlineStr">
        <is>
          <t>EMMABODA</t>
        </is>
      </c>
      <c r="I604" t="n">
        <v>2.7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s="2" t="inlineStr"/>
    </row>
    <row r="605" ht="15" customHeight="1">
      <c r="A605" t="inlineStr">
        <is>
          <t>A 34891-2026</t>
        </is>
      </c>
      <c r="B605" t="inlineStr">
        <is>
          <t>avverkningsanmälan</t>
        </is>
      </c>
      <c r="C605" t="inlineStr">
        <is>
          <t>Föryngringsavverkning</t>
        </is>
      </c>
      <c r="D605" s="1" t="n">
        <v>46255</v>
      </c>
      <c r="E605" s="1" t="n">
        <v>46313</v>
      </c>
      <c r="F605" t="inlineStr">
        <is>
          <t>KALMAR LÄN</t>
        </is>
      </c>
      <c r="G605" t="inlineStr">
        <is>
          <t>EMMABODA</t>
        </is>
      </c>
      <c r="H605" t="inlineStr">
        <is>
          <t>Kyrkan</t>
        </is>
      </c>
      <c r="I605" t="n">
        <v>3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s="2" t="inlineStr"/>
    </row>
    <row r="606" ht="15" customHeight="1">
      <c r="A606" t="inlineStr">
        <is>
          <t>A 58592-2021</t>
        </is>
      </c>
      <c r="B606" t="inlineStr">
        <is>
          <t>avverkningsanmälan</t>
        </is>
      </c>
      <c r="C606" t="inlineStr">
        <is>
          <t>Föryngringsavverkning</t>
        </is>
      </c>
      <c r="D606" s="1" t="n">
        <v>44488</v>
      </c>
      <c r="E606" s="1" t="n">
        <v>46313</v>
      </c>
      <c r="F606" t="inlineStr">
        <is>
          <t>KALMAR LÄN</t>
        </is>
      </c>
      <c r="G606" t="inlineStr">
        <is>
          <t>EMMABODA</t>
        </is>
      </c>
      <c r="H606" t="inlineStr">
        <is>
          <t>Kommuner</t>
        </is>
      </c>
      <c r="I606" t="n">
        <v>0.8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s="2" t="inlineStr"/>
    </row>
    <row r="607" ht="15" customHeight="1">
      <c r="A607" t="inlineStr">
        <is>
          <t>A 19151-2025</t>
        </is>
      </c>
      <c r="B607" t="inlineStr">
        <is>
          <t>avverkningsanmälan</t>
        </is>
      </c>
      <c r="C607" t="inlineStr">
        <is>
          <t>Föryngringsavverkning</t>
        </is>
      </c>
      <c r="D607" s="1" t="n">
        <v>45769</v>
      </c>
      <c r="E607" s="1" t="n">
        <v>46313</v>
      </c>
      <c r="F607" t="inlineStr">
        <is>
          <t>KALMAR LÄN</t>
        </is>
      </c>
      <c r="G607" t="inlineStr">
        <is>
          <t>EMMABODA</t>
        </is>
      </c>
      <c r="I607" t="n">
        <v>0.4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s="2" t="inlineStr"/>
    </row>
    <row r="608" ht="15" customHeight="1">
      <c r="A608" t="inlineStr">
        <is>
          <t>A 34893-2026</t>
        </is>
      </c>
      <c r="B608" t="inlineStr">
        <is>
          <t>avverkningsanmälan</t>
        </is>
      </c>
      <c r="C608" t="inlineStr">
        <is>
          <t>Föryngringsavverkning</t>
        </is>
      </c>
      <c r="D608" s="1" t="n">
        <v>46255</v>
      </c>
      <c r="E608" s="1" t="n">
        <v>46313</v>
      </c>
      <c r="F608" t="inlineStr">
        <is>
          <t>KALMAR LÄN</t>
        </is>
      </c>
      <c r="G608" t="inlineStr">
        <is>
          <t>EMMABODA</t>
        </is>
      </c>
      <c r="H608" t="inlineStr">
        <is>
          <t>Kyrkan</t>
        </is>
      </c>
      <c r="I608" t="n">
        <v>1.4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s="2" t="inlineStr"/>
    </row>
    <row r="609" ht="15" customHeight="1">
      <c r="A609" t="inlineStr">
        <is>
          <t>A 34896-2026</t>
        </is>
      </c>
      <c r="B609" t="inlineStr">
        <is>
          <t>avverkningsanmälan</t>
        </is>
      </c>
      <c r="C609" t="inlineStr">
        <is>
          <t>Föryngringsavverkning</t>
        </is>
      </c>
      <c r="D609" s="1" t="n">
        <v>46255</v>
      </c>
      <c r="E609" s="1" t="n">
        <v>46313</v>
      </c>
      <c r="F609" t="inlineStr">
        <is>
          <t>KALMAR LÄN</t>
        </is>
      </c>
      <c r="G609" t="inlineStr">
        <is>
          <t>EMMABODA</t>
        </is>
      </c>
      <c r="H609" t="inlineStr">
        <is>
          <t>Kyrkan</t>
        </is>
      </c>
      <c r="I609" t="n">
        <v>1.9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s="2" t="inlineStr"/>
    </row>
    <row r="610" ht="15" customHeight="1">
      <c r="A610" t="inlineStr">
        <is>
          <t>A 34905-2026</t>
        </is>
      </c>
      <c r="B610" t="inlineStr">
        <is>
          <t>avverkningsanmälan</t>
        </is>
      </c>
      <c r="C610" t="inlineStr">
        <is>
          <t>Föryngringsavverkning</t>
        </is>
      </c>
      <c r="D610" s="1" t="n">
        <v>46255</v>
      </c>
      <c r="E610" s="1" t="n">
        <v>46313</v>
      </c>
      <c r="F610" t="inlineStr">
        <is>
          <t>KALMAR LÄN</t>
        </is>
      </c>
      <c r="G610" t="inlineStr">
        <is>
          <t>EMMABODA</t>
        </is>
      </c>
      <c r="H610" t="inlineStr">
        <is>
          <t>Kyrkan</t>
        </is>
      </c>
      <c r="I610" t="n">
        <v>0.9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s="2" t="inlineStr"/>
    </row>
    <row r="611" ht="15" customHeight="1">
      <c r="A611" t="inlineStr">
        <is>
          <t>A 34913-2026</t>
        </is>
      </c>
      <c r="B611" t="inlineStr">
        <is>
          <t>avverkningsanmälan</t>
        </is>
      </c>
      <c r="C611" t="inlineStr">
        <is>
          <t>Föryngringsavverkning</t>
        </is>
      </c>
      <c r="D611" s="1" t="n">
        <v>46255</v>
      </c>
      <c r="E611" s="1" t="n">
        <v>46313</v>
      </c>
      <c r="F611" t="inlineStr">
        <is>
          <t>KALMAR LÄN</t>
        </is>
      </c>
      <c r="G611" t="inlineStr">
        <is>
          <t>EMMABODA</t>
        </is>
      </c>
      <c r="H611" t="inlineStr">
        <is>
          <t>Kyrkan</t>
        </is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s="2" t="inlineStr"/>
    </row>
    <row r="612" ht="15" customHeight="1">
      <c r="A612" t="inlineStr">
        <is>
          <t>A 34146-2026</t>
        </is>
      </c>
      <c r="B612" t="inlineStr">
        <is>
          <t>avverkningsanmälan</t>
        </is>
      </c>
      <c r="C612" t="inlineStr">
        <is>
          <t>Föryngringsavverkning</t>
        </is>
      </c>
      <c r="D612" s="1" t="n">
        <v>46253</v>
      </c>
      <c r="E612" s="1" t="n">
        <v>46313</v>
      </c>
      <c r="F612" t="inlineStr">
        <is>
          <t>KALMAR LÄN</t>
        </is>
      </c>
      <c r="G612" t="inlineStr">
        <is>
          <t>EMMABODA</t>
        </is>
      </c>
      <c r="I612" t="n">
        <v>1.6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s="2" t="inlineStr"/>
    </row>
    <row r="613" ht="15" customHeight="1">
      <c r="A613" t="inlineStr">
        <is>
          <t>A 34904-2026</t>
        </is>
      </c>
      <c r="B613" t="inlineStr">
        <is>
          <t>avverkningsanmälan</t>
        </is>
      </c>
      <c r="C613" t="inlineStr">
        <is>
          <t>Föryngringsavverkning</t>
        </is>
      </c>
      <c r="D613" s="1" t="n">
        <v>46255</v>
      </c>
      <c r="E613" s="1" t="n">
        <v>46313</v>
      </c>
      <c r="F613" t="inlineStr">
        <is>
          <t>KALMAR LÄN</t>
        </is>
      </c>
      <c r="G613" t="inlineStr">
        <is>
          <t>EMMABODA</t>
        </is>
      </c>
      <c r="H613" t="inlineStr">
        <is>
          <t>Kyrkan</t>
        </is>
      </c>
      <c r="I613" t="n">
        <v>1.4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s="2" t="inlineStr"/>
    </row>
    <row r="614" ht="15" customHeight="1">
      <c r="A614" t="inlineStr">
        <is>
          <t>A 34914-2026</t>
        </is>
      </c>
      <c r="B614" t="inlineStr">
        <is>
          <t>avverkningsanmälan</t>
        </is>
      </c>
      <c r="C614" t="inlineStr">
        <is>
          <t>Föryngringsavverkning</t>
        </is>
      </c>
      <c r="D614" s="1" t="n">
        <v>46255</v>
      </c>
      <c r="E614" s="1" t="n">
        <v>46313</v>
      </c>
      <c r="F614" t="inlineStr">
        <is>
          <t>KALMAR LÄN</t>
        </is>
      </c>
      <c r="G614" t="inlineStr">
        <is>
          <t>EMMABODA</t>
        </is>
      </c>
      <c r="I614" t="n">
        <v>5.3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s="2" t="inlineStr"/>
    </row>
    <row r="615" ht="15" customHeight="1">
      <c r="A615" t="inlineStr">
        <is>
          <t>A 51649-2024</t>
        </is>
      </c>
      <c r="B615" t="inlineStr">
        <is>
          <t>avverkningsanmälan</t>
        </is>
      </c>
      <c r="C615" t="inlineStr">
        <is>
          <t>Föryngringsavverkning</t>
        </is>
      </c>
      <c r="D615" s="1" t="n">
        <v>45606</v>
      </c>
      <c r="E615" s="1" t="n">
        <v>46313</v>
      </c>
      <c r="F615" t="inlineStr">
        <is>
          <t>KALMAR LÄN</t>
        </is>
      </c>
      <c r="G615" t="inlineStr">
        <is>
          <t>EMMABODA</t>
        </is>
      </c>
      <c r="I615" t="n">
        <v>3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s="2" t="inlineStr"/>
    </row>
    <row r="616" ht="15" customHeight="1">
      <c r="A616" t="inlineStr">
        <is>
          <t>A 14467-2024</t>
        </is>
      </c>
      <c r="B616" t="inlineStr">
        <is>
          <t>avverkningsanmälan</t>
        </is>
      </c>
      <c r="C616" t="inlineStr">
        <is>
          <t>Föryngringsavverkning</t>
        </is>
      </c>
      <c r="D616" s="1" t="n">
        <v>45394</v>
      </c>
      <c r="E616" s="1" t="n">
        <v>46313</v>
      </c>
      <c r="F616" t="inlineStr">
        <is>
          <t>KALMAR LÄN</t>
        </is>
      </c>
      <c r="G616" t="inlineStr">
        <is>
          <t>EMMABODA</t>
        </is>
      </c>
      <c r="I616" t="n">
        <v>0.6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s="2" t="inlineStr"/>
    </row>
    <row r="617" ht="15" customHeight="1">
      <c r="A617" t="inlineStr">
        <is>
          <t>A 4885-2023</t>
        </is>
      </c>
      <c r="B617" t="inlineStr">
        <is>
          <t>avverkningsanmälan</t>
        </is>
      </c>
      <c r="C617" t="inlineStr">
        <is>
          <t>Föryngringsavverkning</t>
        </is>
      </c>
      <c r="D617" s="1" t="n">
        <v>44955</v>
      </c>
      <c r="E617" s="1" t="n">
        <v>46313</v>
      </c>
      <c r="F617" t="inlineStr">
        <is>
          <t>KALMAR LÄN</t>
        </is>
      </c>
      <c r="G617" t="inlineStr">
        <is>
          <t>EMMABODA</t>
        </is>
      </c>
      <c r="I617" t="n">
        <v>4.7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s="2" t="inlineStr"/>
    </row>
    <row r="618" ht="15" customHeight="1">
      <c r="A618" t="inlineStr">
        <is>
          <t>A 19098-2023</t>
        </is>
      </c>
      <c r="B618" t="inlineStr">
        <is>
          <t>avverkningsanmälan</t>
        </is>
      </c>
      <c r="C618" t="inlineStr">
        <is>
          <t>Föryngringsavverkning</t>
        </is>
      </c>
      <c r="D618" s="1" t="n">
        <v>45048</v>
      </c>
      <c r="E618" s="1" t="n">
        <v>46313</v>
      </c>
      <c r="F618" t="inlineStr">
        <is>
          <t>KALMAR LÄN</t>
        </is>
      </c>
      <c r="G618" t="inlineStr">
        <is>
          <t>EMMABODA</t>
        </is>
      </c>
      <c r="I618" t="n">
        <v>2.8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s="2" t="inlineStr"/>
    </row>
    <row r="619" ht="15" customHeight="1">
      <c r="A619" t="inlineStr">
        <is>
          <t>A 8151-2024</t>
        </is>
      </c>
      <c r="B619" t="inlineStr">
        <is>
          <t>avverkningsanmälan</t>
        </is>
      </c>
      <c r="C619" t="inlineStr">
        <is>
          <t>Föryngringsavverkning</t>
        </is>
      </c>
      <c r="D619" s="1" t="n">
        <v>45351</v>
      </c>
      <c r="E619" s="1" t="n">
        <v>46313</v>
      </c>
      <c r="F619" t="inlineStr">
        <is>
          <t>KALMAR LÄN</t>
        </is>
      </c>
      <c r="G619" t="inlineStr">
        <is>
          <t>EMMABODA</t>
        </is>
      </c>
      <c r="I619" t="n">
        <v>1.5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s="2" t="inlineStr"/>
    </row>
    <row r="620" ht="15" customHeight="1">
      <c r="A620" t="inlineStr">
        <is>
          <t>A 36367-2024</t>
        </is>
      </c>
      <c r="B620" t="inlineStr">
        <is>
          <t>avverkningsanmälan</t>
        </is>
      </c>
      <c r="C620" t="inlineStr">
        <is>
          <t>Föryngringsavverkning</t>
        </is>
      </c>
      <c r="D620" s="1" t="n">
        <v>45534</v>
      </c>
      <c r="E620" s="1" t="n">
        <v>46313</v>
      </c>
      <c r="F620" t="inlineStr">
        <is>
          <t>KALMAR LÄN</t>
        </is>
      </c>
      <c r="G620" t="inlineStr">
        <is>
          <t>EMMABODA</t>
        </is>
      </c>
      <c r="I620" t="n">
        <v>3.9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s="2" t="inlineStr"/>
    </row>
    <row r="621" ht="15" customHeight="1">
      <c r="A621" t="inlineStr">
        <is>
          <t>A 49953-2023</t>
        </is>
      </c>
      <c r="B621" t="inlineStr">
        <is>
          <t>avverkningsanmälan</t>
        </is>
      </c>
      <c r="C621" t="inlineStr">
        <is>
          <t>Föryngringsavverkning</t>
        </is>
      </c>
      <c r="D621" s="1" t="n">
        <v>45215</v>
      </c>
      <c r="E621" s="1" t="n">
        <v>46313</v>
      </c>
      <c r="F621" t="inlineStr">
        <is>
          <t>KALMAR LÄN</t>
        </is>
      </c>
      <c r="G621" t="inlineStr">
        <is>
          <t>EMMABODA</t>
        </is>
      </c>
      <c r="I621" t="n">
        <v>1.9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s="2" t="inlineStr"/>
    </row>
    <row r="622" ht="15" customHeight="1">
      <c r="A622" t="inlineStr">
        <is>
          <t>A 39521-2024</t>
        </is>
      </c>
      <c r="B622" t="inlineStr">
        <is>
          <t>avverkningsanmälan</t>
        </is>
      </c>
      <c r="C622" t="inlineStr">
        <is>
          <t>Föryngringsavverkning</t>
        </is>
      </c>
      <c r="D622" s="1" t="n">
        <v>45551</v>
      </c>
      <c r="E622" s="1" t="n">
        <v>46313</v>
      </c>
      <c r="F622" t="inlineStr">
        <is>
          <t>KALMAR LÄN</t>
        </is>
      </c>
      <c r="G622" t="inlineStr">
        <is>
          <t>EMMABODA</t>
        </is>
      </c>
      <c r="I622" t="n">
        <v>2.4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s="2" t="inlineStr"/>
    </row>
    <row r="623" ht="15" customHeight="1">
      <c r="A623" t="inlineStr">
        <is>
          <t>A 33980-2024</t>
        </is>
      </c>
      <c r="B623" t="inlineStr">
        <is>
          <t>avverkningsanmälan</t>
        </is>
      </c>
      <c r="C623" t="inlineStr">
        <is>
          <t>Föryngringsavverkning</t>
        </is>
      </c>
      <c r="D623" s="1" t="n">
        <v>45523</v>
      </c>
      <c r="E623" s="1" t="n">
        <v>46313</v>
      </c>
      <c r="F623" t="inlineStr">
        <is>
          <t>KALMAR LÄN</t>
        </is>
      </c>
      <c r="G623" t="inlineStr">
        <is>
          <t>EMMABODA</t>
        </is>
      </c>
      <c r="I623" t="n">
        <v>1.8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s="2" t="inlineStr"/>
    </row>
    <row r="624" ht="15" customHeight="1">
      <c r="A624" t="inlineStr">
        <is>
          <t>A 3321-2023</t>
        </is>
      </c>
      <c r="B624" t="inlineStr">
        <is>
          <t>avverkningsanmälan</t>
        </is>
      </c>
      <c r="C624" t="inlineStr">
        <is>
          <t>Föryngringsavverkning</t>
        </is>
      </c>
      <c r="D624" s="1" t="n">
        <v>44949</v>
      </c>
      <c r="E624" s="1" t="n">
        <v>46313</v>
      </c>
      <c r="F624" t="inlineStr">
        <is>
          <t>KALMAR LÄN</t>
        </is>
      </c>
      <c r="G624" t="inlineStr">
        <is>
          <t>EMMABODA</t>
        </is>
      </c>
      <c r="I624" t="n">
        <v>1.6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s="2" t="inlineStr"/>
    </row>
    <row r="625" ht="15" customHeight="1">
      <c r="A625" t="inlineStr">
        <is>
          <t>A 4089-2025</t>
        </is>
      </c>
      <c r="B625" t="inlineStr">
        <is>
          <t>avverkningsanmälan</t>
        </is>
      </c>
      <c r="C625" t="inlineStr">
        <is>
          <t>Föryngringsavverkning</t>
        </is>
      </c>
      <c r="D625" s="1" t="n">
        <v>45684</v>
      </c>
      <c r="E625" s="1" t="n">
        <v>46313</v>
      </c>
      <c r="F625" t="inlineStr">
        <is>
          <t>KALMAR LÄN</t>
        </is>
      </c>
      <c r="G625" t="inlineStr">
        <is>
          <t>EMMABODA</t>
        </is>
      </c>
      <c r="I625" t="n">
        <v>2.9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s="2" t="inlineStr"/>
    </row>
    <row r="626" ht="15" customHeight="1">
      <c r="A626" t="inlineStr">
        <is>
          <t>A 56254-2024</t>
        </is>
      </c>
      <c r="B626" t="inlineStr">
        <is>
          <t>avverkningsanmälan</t>
        </is>
      </c>
      <c r="C626" t="inlineStr">
        <is>
          <t>Föryngringsavverkning</t>
        </is>
      </c>
      <c r="D626" s="1" t="n">
        <v>45624</v>
      </c>
      <c r="E626" s="1" t="n">
        <v>46313</v>
      </c>
      <c r="F626" t="inlineStr">
        <is>
          <t>KALMAR LÄN</t>
        </is>
      </c>
      <c r="G626" t="inlineStr">
        <is>
          <t>EMMABODA</t>
        </is>
      </c>
      <c r="I626" t="n">
        <v>2.4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s="2" t="inlineStr"/>
    </row>
    <row r="627" ht="15" customHeight="1">
      <c r="A627" t="inlineStr">
        <is>
          <t>A 29539-2024</t>
        </is>
      </c>
      <c r="B627" t="inlineStr">
        <is>
          <t>avverkningsanmälan</t>
        </is>
      </c>
      <c r="C627" t="inlineStr">
        <is>
          <t>Föryngringsavverkning</t>
        </is>
      </c>
      <c r="D627" s="1" t="n">
        <v>45484</v>
      </c>
      <c r="E627" s="1" t="n">
        <v>46313</v>
      </c>
      <c r="F627" t="inlineStr">
        <is>
          <t>KALMAR LÄN</t>
        </is>
      </c>
      <c r="G627" t="inlineStr">
        <is>
          <t>EMMABODA</t>
        </is>
      </c>
      <c r="I627" t="n">
        <v>2.3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s="2" t="inlineStr"/>
    </row>
    <row r="628" ht="15" customHeight="1">
      <c r="A628" t="inlineStr">
        <is>
          <t>A 31780-2026</t>
        </is>
      </c>
      <c r="B628" t="inlineStr">
        <is>
          <t>avverkningsanmälan</t>
        </is>
      </c>
      <c r="C628" t="inlineStr">
        <is>
          <t>Föryngringsavverkning</t>
        </is>
      </c>
      <c r="D628" s="1" t="n">
        <v>46230</v>
      </c>
      <c r="E628" s="1" t="n">
        <v>46313</v>
      </c>
      <c r="F628" t="inlineStr">
        <is>
          <t>KALMAR LÄN</t>
        </is>
      </c>
      <c r="G628" t="inlineStr">
        <is>
          <t>EMMABODA</t>
        </is>
      </c>
      <c r="I628" t="n">
        <v>1.1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s="2" t="inlineStr"/>
    </row>
    <row r="629" ht="15" customHeight="1">
      <c r="A629" t="inlineStr">
        <is>
          <t>A 29782-2023</t>
        </is>
      </c>
      <c r="B629" t="inlineStr">
        <is>
          <t>avverkningsanmälan</t>
        </is>
      </c>
      <c r="C629" t="inlineStr">
        <is>
          <t>Föryngringsavverkning</t>
        </is>
      </c>
      <c r="D629" s="1" t="n">
        <v>45107</v>
      </c>
      <c r="E629" s="1" t="n">
        <v>46313</v>
      </c>
      <c r="F629" t="inlineStr">
        <is>
          <t>KALMAR LÄN</t>
        </is>
      </c>
      <c r="G629" t="inlineStr">
        <is>
          <t>EMMABODA</t>
        </is>
      </c>
      <c r="I629" t="n">
        <v>7.4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s="2" t="inlineStr"/>
    </row>
    <row r="630" ht="15" customHeight="1">
      <c r="A630" t="inlineStr">
        <is>
          <t>A 22145-2024</t>
        </is>
      </c>
      <c r="B630" t="inlineStr">
        <is>
          <t>avverkningsanmälan</t>
        </is>
      </c>
      <c r="C630" t="inlineStr">
        <is>
          <t>Föryngringsavverkning</t>
        </is>
      </c>
      <c r="D630" s="1" t="n">
        <v>45445</v>
      </c>
      <c r="E630" s="1" t="n">
        <v>46313</v>
      </c>
      <c r="F630" t="inlineStr">
        <is>
          <t>KALMAR LÄN</t>
        </is>
      </c>
      <c r="G630" t="inlineStr">
        <is>
          <t>EMMABODA</t>
        </is>
      </c>
      <c r="I630" t="n">
        <v>0.8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s="2" t="inlineStr"/>
    </row>
    <row r="631" ht="15" customHeight="1">
      <c r="A631" t="inlineStr">
        <is>
          <t>A 3291-2024</t>
        </is>
      </c>
      <c r="B631" t="inlineStr">
        <is>
          <t>avverkningsanmälan</t>
        </is>
      </c>
      <c r="C631" t="inlineStr">
        <is>
          <t>Föryngringsavverkning</t>
        </is>
      </c>
      <c r="D631" s="1" t="n">
        <v>45317</v>
      </c>
      <c r="E631" s="1" t="n">
        <v>46313</v>
      </c>
      <c r="F631" t="inlineStr">
        <is>
          <t>KALMAR LÄN</t>
        </is>
      </c>
      <c r="G631" t="inlineStr">
        <is>
          <t>EMMABODA</t>
        </is>
      </c>
      <c r="I631" t="n">
        <v>3.1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s="2" t="inlineStr"/>
    </row>
    <row r="632" ht="15" customHeight="1">
      <c r="A632" t="inlineStr">
        <is>
          <t>A 39169-2024</t>
        </is>
      </c>
      <c r="B632" t="inlineStr">
        <is>
          <t>avverkningsanmälan</t>
        </is>
      </c>
      <c r="C632" t="inlineStr">
        <is>
          <t>Föryngringsavverkning</t>
        </is>
      </c>
      <c r="D632" s="1" t="n">
        <v>45548</v>
      </c>
      <c r="E632" s="1" t="n">
        <v>46313</v>
      </c>
      <c r="F632" t="inlineStr">
        <is>
          <t>KALMAR LÄN</t>
        </is>
      </c>
      <c r="G632" t="inlineStr">
        <is>
          <t>EMMABODA</t>
        </is>
      </c>
      <c r="I632" t="n">
        <v>2.1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s="2" t="inlineStr"/>
    </row>
    <row r="633" ht="15" customHeight="1">
      <c r="A633" t="inlineStr">
        <is>
          <t>A 17527-2024</t>
        </is>
      </c>
      <c r="B633" t="inlineStr">
        <is>
          <t>avverkningsanmälan</t>
        </is>
      </c>
      <c r="C633" t="inlineStr">
        <is>
          <t>Föryngringsavverkning</t>
        </is>
      </c>
      <c r="D633" s="1" t="n">
        <v>45415</v>
      </c>
      <c r="E633" s="1" t="n">
        <v>46313</v>
      </c>
      <c r="F633" t="inlineStr">
        <is>
          <t>KALMAR LÄN</t>
        </is>
      </c>
      <c r="G633" t="inlineStr">
        <is>
          <t>EMMABODA</t>
        </is>
      </c>
      <c r="I633" t="n">
        <v>2.2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s="2" t="inlineStr"/>
    </row>
    <row r="634" ht="15" customHeight="1">
      <c r="A634" t="inlineStr">
        <is>
          <t>A 59413-2024</t>
        </is>
      </c>
      <c r="B634" t="inlineStr">
        <is>
          <t>avverkningsanmälan</t>
        </is>
      </c>
      <c r="C634" t="inlineStr">
        <is>
          <t>Föryngringsavverkning</t>
        </is>
      </c>
      <c r="D634" s="1" t="n">
        <v>45638</v>
      </c>
      <c r="E634" s="1" t="n">
        <v>46313</v>
      </c>
      <c r="F634" t="inlineStr">
        <is>
          <t>KALMAR LÄN</t>
        </is>
      </c>
      <c r="G634" t="inlineStr">
        <is>
          <t>EMMABODA</t>
        </is>
      </c>
      <c r="I634" t="n">
        <v>3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s="2" t="inlineStr"/>
    </row>
    <row r="635" ht="15" customHeight="1">
      <c r="A635" t="inlineStr">
        <is>
          <t>A 42448-2024</t>
        </is>
      </c>
      <c r="B635" t="inlineStr">
        <is>
          <t>avverkningsanmälan</t>
        </is>
      </c>
      <c r="C635" t="inlineStr">
        <is>
          <t>Föryngringsavverkning</t>
        </is>
      </c>
      <c r="D635" s="1" t="n">
        <v>45565</v>
      </c>
      <c r="E635" s="1" t="n">
        <v>46313</v>
      </c>
      <c r="F635" t="inlineStr">
        <is>
          <t>KALMAR LÄN</t>
        </is>
      </c>
      <c r="G635" t="inlineStr">
        <is>
          <t>EMMABODA</t>
        </is>
      </c>
      <c r="I635" t="n">
        <v>1.1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s="2" t="inlineStr"/>
    </row>
    <row r="636" ht="15" customHeight="1">
      <c r="A636" t="inlineStr">
        <is>
          <t>A 13148-2024</t>
        </is>
      </c>
      <c r="B636" t="inlineStr">
        <is>
          <t>avverkningsanmälan</t>
        </is>
      </c>
      <c r="C636" t="inlineStr">
        <is>
          <t>Föryngringsavverkning</t>
        </is>
      </c>
      <c r="D636" s="1" t="n">
        <v>45386</v>
      </c>
      <c r="E636" s="1" t="n">
        <v>46313</v>
      </c>
      <c r="F636" t="inlineStr">
        <is>
          <t>KALMAR LÄN</t>
        </is>
      </c>
      <c r="G636" t="inlineStr">
        <is>
          <t>EMMABODA</t>
        </is>
      </c>
      <c r="I636" t="n">
        <v>1.4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s="2" t="inlineStr"/>
    </row>
    <row r="637" ht="15" customHeight="1">
      <c r="A637" t="inlineStr">
        <is>
          <t>A 34907-2026</t>
        </is>
      </c>
      <c r="B637" t="inlineStr">
        <is>
          <t>avverkningsanmälan</t>
        </is>
      </c>
      <c r="C637" t="inlineStr">
        <is>
          <t>Föryngringsavverkning</t>
        </is>
      </c>
      <c r="D637" s="1" t="n">
        <v>46255</v>
      </c>
      <c r="E637" s="1" t="n">
        <v>46313</v>
      </c>
      <c r="F637" t="inlineStr">
        <is>
          <t>KALMAR LÄN</t>
        </is>
      </c>
      <c r="G637" t="inlineStr">
        <is>
          <t>EMMABODA</t>
        </is>
      </c>
      <c r="H637" t="inlineStr">
        <is>
          <t>Kyrkan</t>
        </is>
      </c>
      <c r="I637" t="n">
        <v>1.4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s="2" t="inlineStr"/>
    </row>
    <row r="638" ht="15" customHeight="1">
      <c r="A638" t="inlineStr">
        <is>
          <t>A 9867-2025</t>
        </is>
      </c>
      <c r="B638" t="inlineStr">
        <is>
          <t>avverkningsanmälan</t>
        </is>
      </c>
      <c r="C638" t="inlineStr">
        <is>
          <t>Föryngringsavverkning</t>
        </is>
      </c>
      <c r="D638" s="1" t="n">
        <v>45716</v>
      </c>
      <c r="E638" s="1" t="n">
        <v>46313</v>
      </c>
      <c r="F638" t="inlineStr">
        <is>
          <t>KALMAR LÄN</t>
        </is>
      </c>
      <c r="G638" t="inlineStr">
        <is>
          <t>EMMABODA</t>
        </is>
      </c>
      <c r="I638" t="n">
        <v>3.2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s="2" t="inlineStr"/>
    </row>
    <row r="639" ht="15" customHeight="1">
      <c r="A639" t="inlineStr">
        <is>
          <t>A 17444-2026</t>
        </is>
      </c>
      <c r="B639" t="inlineStr">
        <is>
          <t>avverkningsanmälan</t>
        </is>
      </c>
      <c r="C639" t="inlineStr">
        <is>
          <t>Föryngringsavverkning</t>
        </is>
      </c>
      <c r="D639" s="1" t="n">
        <v>46120</v>
      </c>
      <c r="E639" s="1" t="n">
        <v>46313</v>
      </c>
      <c r="F639" t="inlineStr">
        <is>
          <t>KALMAR LÄN</t>
        </is>
      </c>
      <c r="G639" t="inlineStr">
        <is>
          <t>EMMABODA</t>
        </is>
      </c>
      <c r="I639" t="n">
        <v>1.7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s="2" t="inlineStr"/>
    </row>
    <row r="640" ht="15" customHeight="1">
      <c r="A640" t="inlineStr">
        <is>
          <t>A 20506-2025</t>
        </is>
      </c>
      <c r="B640" t="inlineStr">
        <is>
          <t>avverkningsanmälan</t>
        </is>
      </c>
      <c r="C640" t="inlineStr">
        <is>
          <t>Föryngringsavverkning</t>
        </is>
      </c>
      <c r="D640" s="1" t="n">
        <v>45775</v>
      </c>
      <c r="E640" s="1" t="n">
        <v>46313</v>
      </c>
      <c r="F640" t="inlineStr">
        <is>
          <t>KALMAR LÄN</t>
        </is>
      </c>
      <c r="G640" t="inlineStr">
        <is>
          <t>EMMABODA</t>
        </is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s="2" t="inlineStr"/>
    </row>
    <row r="641" ht="15" customHeight="1">
      <c r="A641" t="inlineStr">
        <is>
          <t>A 29085-2024</t>
        </is>
      </c>
      <c r="B641" t="inlineStr">
        <is>
          <t>avverkningsanmälan</t>
        </is>
      </c>
      <c r="C641" t="inlineStr">
        <is>
          <t>Föryngringsavverkning</t>
        </is>
      </c>
      <c r="D641" s="1" t="n">
        <v>45481</v>
      </c>
      <c r="E641" s="1" t="n">
        <v>46313</v>
      </c>
      <c r="F641" t="inlineStr">
        <is>
          <t>KALMAR LÄN</t>
        </is>
      </c>
      <c r="G641" t="inlineStr">
        <is>
          <t>EMMABODA</t>
        </is>
      </c>
      <c r="I641" t="n">
        <v>1.6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s="2" t="inlineStr"/>
    </row>
    <row r="642" ht="15" customHeight="1">
      <c r="A642" t="inlineStr">
        <is>
          <t>A 27188-2026</t>
        </is>
      </c>
      <c r="B642" t="inlineStr">
        <is>
          <t>avverkningsanmälan</t>
        </is>
      </c>
      <c r="C642" t="inlineStr">
        <is>
          <t>Föryngringsavverkning</t>
        </is>
      </c>
      <c r="D642" s="1" t="n">
        <v>46188</v>
      </c>
      <c r="E642" s="1" t="n">
        <v>46313</v>
      </c>
      <c r="F642" t="inlineStr">
        <is>
          <t>KALMAR LÄN</t>
        </is>
      </c>
      <c r="G642" t="inlineStr">
        <is>
          <t>EMMABODA</t>
        </is>
      </c>
      <c r="I642" t="n">
        <v>1.9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s="2" t="inlineStr"/>
    </row>
    <row r="643" ht="15" customHeight="1">
      <c r="A643" t="inlineStr">
        <is>
          <t>A 42847-2024</t>
        </is>
      </c>
      <c r="B643" t="inlineStr">
        <is>
          <t>avverkningsanmälan</t>
        </is>
      </c>
      <c r="C643" t="inlineStr">
        <is>
          <t>Föryngringsavverkning</t>
        </is>
      </c>
      <c r="D643" s="1" t="n">
        <v>45566</v>
      </c>
      <c r="E643" s="1" t="n">
        <v>46313</v>
      </c>
      <c r="F643" t="inlineStr">
        <is>
          <t>KALMAR LÄN</t>
        </is>
      </c>
      <c r="G643" t="inlineStr">
        <is>
          <t>EMMABODA</t>
        </is>
      </c>
      <c r="I643" t="n">
        <v>1.1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s="2" t="inlineStr"/>
    </row>
    <row r="644" ht="15" customHeight="1">
      <c r="A644" t="inlineStr">
        <is>
          <t>A 46429-2024</t>
        </is>
      </c>
      <c r="B644" t="inlineStr">
        <is>
          <t>avverkningsanmälan</t>
        </is>
      </c>
      <c r="C644" t="inlineStr">
        <is>
          <t>Föryngringsavverkning</t>
        </is>
      </c>
      <c r="D644" s="1" t="n">
        <v>45582</v>
      </c>
      <c r="E644" s="1" t="n">
        <v>46313</v>
      </c>
      <c r="F644" t="inlineStr">
        <is>
          <t>KALMAR LÄN</t>
        </is>
      </c>
      <c r="G644" t="inlineStr">
        <is>
          <t>EMMABODA</t>
        </is>
      </c>
      <c r="I644" t="n">
        <v>2.5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s="2" t="inlineStr"/>
    </row>
    <row r="645" ht="15" customHeight="1">
      <c r="A645" t="inlineStr">
        <is>
          <t>A 52462-2024</t>
        </is>
      </c>
      <c r="B645" t="inlineStr">
        <is>
          <t>avverkningsanmälan</t>
        </is>
      </c>
      <c r="C645" t="inlineStr">
        <is>
          <t>Föryngringsavverkning</t>
        </is>
      </c>
      <c r="D645" s="1" t="n">
        <v>45609</v>
      </c>
      <c r="E645" s="1" t="n">
        <v>46313</v>
      </c>
      <c r="F645" t="inlineStr">
        <is>
          <t>KALMAR LÄN</t>
        </is>
      </c>
      <c r="G645" t="inlineStr">
        <is>
          <t>EMMABODA</t>
        </is>
      </c>
      <c r="I645" t="n">
        <v>3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s="2" t="inlineStr"/>
    </row>
    <row r="646" ht="15" customHeight="1">
      <c r="A646" t="inlineStr">
        <is>
          <t>A 29491-2024</t>
        </is>
      </c>
      <c r="B646" t="inlineStr">
        <is>
          <t>avverkningsanmälan</t>
        </is>
      </c>
      <c r="C646" t="inlineStr">
        <is>
          <t>Föryngringsavverkning</t>
        </is>
      </c>
      <c r="D646" s="1" t="n">
        <v>45484</v>
      </c>
      <c r="E646" s="1" t="n">
        <v>46313</v>
      </c>
      <c r="F646" t="inlineStr">
        <is>
          <t>KALMAR LÄN</t>
        </is>
      </c>
      <c r="G646" t="inlineStr">
        <is>
          <t>EMMABODA</t>
        </is>
      </c>
      <c r="I646" t="n">
        <v>1.7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s="2" t="inlineStr"/>
    </row>
    <row r="647" ht="15" customHeight="1">
      <c r="A647" t="inlineStr">
        <is>
          <t>A 5200-2025</t>
        </is>
      </c>
      <c r="B647" t="inlineStr">
        <is>
          <t>avverkningsanmälan</t>
        </is>
      </c>
      <c r="C647" t="inlineStr">
        <is>
          <t>Föryngringsavverkning</t>
        </is>
      </c>
      <c r="D647" s="1" t="n">
        <v>45688</v>
      </c>
      <c r="E647" s="1" t="n">
        <v>46313</v>
      </c>
      <c r="F647" t="inlineStr">
        <is>
          <t>KALMAR LÄN</t>
        </is>
      </c>
      <c r="G647" t="inlineStr">
        <is>
          <t>EMMABODA</t>
        </is>
      </c>
      <c r="I647" t="n">
        <v>1.1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s="2" t="inlineStr"/>
    </row>
    <row r="648" ht="15" customHeight="1">
      <c r="A648" t="inlineStr">
        <is>
          <t>A 52913-2024</t>
        </is>
      </c>
      <c r="B648" t="inlineStr">
        <is>
          <t>avverkningsanmälan</t>
        </is>
      </c>
      <c r="C648" t="inlineStr">
        <is>
          <t>Föryngringsavverkning</t>
        </is>
      </c>
      <c r="D648" s="1" t="n">
        <v>45610</v>
      </c>
      <c r="E648" s="1" t="n">
        <v>46313</v>
      </c>
      <c r="F648" t="inlineStr">
        <is>
          <t>KALMAR LÄN</t>
        </is>
      </c>
      <c r="G648" t="inlineStr">
        <is>
          <t>EMMABODA</t>
        </is>
      </c>
      <c r="I648" t="n">
        <v>6.6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s="2" t="inlineStr"/>
    </row>
    <row r="649" ht="15" customHeight="1">
      <c r="A649" t="inlineStr">
        <is>
          <t>A 41600-2026</t>
        </is>
      </c>
      <c r="B649" t="inlineStr">
        <is>
          <t>avverkningsanmälan</t>
        </is>
      </c>
      <c r="C649" t="inlineStr">
        <is>
          <t>Föryngringsavverkning</t>
        </is>
      </c>
      <c r="D649" s="1" t="n">
        <v>46302</v>
      </c>
      <c r="E649" s="1" t="n">
        <v>46313</v>
      </c>
      <c r="F649" t="inlineStr">
        <is>
          <t>KALMAR LÄN</t>
        </is>
      </c>
      <c r="G649" t="inlineStr">
        <is>
          <t>EMMABODA</t>
        </is>
      </c>
      <c r="I649" t="n">
        <v>1.2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s="2" t="inlineStr"/>
    </row>
    <row r="650" ht="15" customHeight="1">
      <c r="A650" t="inlineStr">
        <is>
          <t>A 15281-2024</t>
        </is>
      </c>
      <c r="B650" t="inlineStr">
        <is>
          <t>avverkningsanmälan</t>
        </is>
      </c>
      <c r="C650" t="inlineStr">
        <is>
          <t>Föryngringsavverkning</t>
        </is>
      </c>
      <c r="D650" s="1" t="n">
        <v>45400</v>
      </c>
      <c r="E650" s="1" t="n">
        <v>46313</v>
      </c>
      <c r="F650" t="inlineStr">
        <is>
          <t>KALMAR LÄN</t>
        </is>
      </c>
      <c r="G650" t="inlineStr">
        <is>
          <t>EMMABODA</t>
        </is>
      </c>
      <c r="I650" t="n">
        <v>8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s="2" t="inlineStr"/>
    </row>
    <row r="651" ht="15" customHeight="1">
      <c r="A651" t="inlineStr">
        <is>
          <t>A 34926-2026</t>
        </is>
      </c>
      <c r="B651" t="inlineStr">
        <is>
          <t>avverkningsanmälan</t>
        </is>
      </c>
      <c r="C651" t="inlineStr">
        <is>
          <t>Föryngringsavverkning</t>
        </is>
      </c>
      <c r="D651" s="1" t="n">
        <v>46259</v>
      </c>
      <c r="E651" s="1" t="n">
        <v>46313</v>
      </c>
      <c r="F651" t="inlineStr">
        <is>
          <t>KALMAR LÄN</t>
        </is>
      </c>
      <c r="G651" t="inlineStr">
        <is>
          <t>EMMABODA</t>
        </is>
      </c>
      <c r="I651" t="n">
        <v>2.2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s="2" t="inlineStr"/>
    </row>
    <row r="652" ht="15" customHeight="1">
      <c r="A652" t="inlineStr">
        <is>
          <t>A 23776-2024</t>
        </is>
      </c>
      <c r="B652" t="inlineStr">
        <is>
          <t>avverkningsanmälan</t>
        </is>
      </c>
      <c r="C652" t="inlineStr">
        <is>
          <t>Föryngringsavverkning</t>
        </is>
      </c>
      <c r="D652" s="1" t="n">
        <v>45455</v>
      </c>
      <c r="E652" s="1" t="n">
        <v>46313</v>
      </c>
      <c r="F652" t="inlineStr">
        <is>
          <t>KALMAR LÄN</t>
        </is>
      </c>
      <c r="G652" t="inlineStr">
        <is>
          <t>EMMABODA</t>
        </is>
      </c>
      <c r="I652" t="n">
        <v>2.2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s="2" t="inlineStr"/>
    </row>
    <row r="653" ht="15" customHeight="1">
      <c r="A653" t="inlineStr">
        <is>
          <t>A 768-2025</t>
        </is>
      </c>
      <c r="B653" t="inlineStr">
        <is>
          <t>avverkningsanmälan</t>
        </is>
      </c>
      <c r="C653" t="inlineStr">
        <is>
          <t>Föryngringsavverkning</t>
        </is>
      </c>
      <c r="D653" s="1" t="n">
        <v>45665</v>
      </c>
      <c r="E653" s="1" t="n">
        <v>46313</v>
      </c>
      <c r="F653" t="inlineStr">
        <is>
          <t>KALMAR LÄN</t>
        </is>
      </c>
      <c r="G653" t="inlineStr">
        <is>
          <t>EMMABODA</t>
        </is>
      </c>
      <c r="I653" t="n">
        <v>2.1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s="2" t="inlineStr"/>
    </row>
    <row r="654" ht="15" customHeight="1">
      <c r="A654" t="inlineStr">
        <is>
          <t>A 8397-2023</t>
        </is>
      </c>
      <c r="B654" t="inlineStr">
        <is>
          <t>avverkningsanmälan</t>
        </is>
      </c>
      <c r="C654" t="inlineStr">
        <is>
          <t>Avverkning för annat ändamål</t>
        </is>
      </c>
      <c r="D654" s="1" t="n">
        <v>44977</v>
      </c>
      <c r="E654" s="1" t="n">
        <v>46313</v>
      </c>
      <c r="F654" t="inlineStr">
        <is>
          <t>KALMAR LÄN</t>
        </is>
      </c>
      <c r="G654" t="inlineStr">
        <is>
          <t>EMMABODA</t>
        </is>
      </c>
      <c r="I654" t="n">
        <v>5.6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s="2" t="inlineStr"/>
    </row>
    <row r="655" ht="15" customHeight="1">
      <c r="A655" t="inlineStr">
        <is>
          <t>A 36491-2024</t>
        </is>
      </c>
      <c r="B655" t="inlineStr">
        <is>
          <t>avverkningsanmälan</t>
        </is>
      </c>
      <c r="C655" t="inlineStr">
        <is>
          <t>Föryngringsavverkning</t>
        </is>
      </c>
      <c r="D655" s="1" t="n">
        <v>45537</v>
      </c>
      <c r="E655" s="1" t="n">
        <v>46313</v>
      </c>
      <c r="F655" t="inlineStr">
        <is>
          <t>KALMAR LÄN</t>
        </is>
      </c>
      <c r="G655" t="inlineStr">
        <is>
          <t>EMMABODA</t>
        </is>
      </c>
      <c r="I655" t="n">
        <v>1.7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s="2" t="inlineStr"/>
    </row>
    <row r="656" ht="15" customHeight="1">
      <c r="A656" t="inlineStr">
        <is>
          <t>A 42208-2026</t>
        </is>
      </c>
      <c r="B656" t="inlineStr">
        <is>
          <t>avverkningsanmälan</t>
        </is>
      </c>
      <c r="C656" t="inlineStr">
        <is>
          <t>Föryngringsavverkning</t>
        </is>
      </c>
      <c r="D656" s="1" t="n">
        <v>46306</v>
      </c>
      <c r="E656" s="1" t="n">
        <v>46313</v>
      </c>
      <c r="F656" t="inlineStr">
        <is>
          <t>KALMAR LÄN</t>
        </is>
      </c>
      <c r="G656" t="inlineStr">
        <is>
          <t>EMMABODA</t>
        </is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s="2" t="inlineStr"/>
    </row>
    <row r="657" ht="15" customHeight="1">
      <c r="A657" t="inlineStr">
        <is>
          <t>A 4947-2023</t>
        </is>
      </c>
      <c r="B657" t="inlineStr">
        <is>
          <t>avverkningsanmälan</t>
        </is>
      </c>
      <c r="C657" t="inlineStr">
        <is>
          <t>Föryngringsavverkning</t>
        </is>
      </c>
      <c r="D657" s="1" t="n">
        <v>44958</v>
      </c>
      <c r="E657" s="1" t="n">
        <v>46313</v>
      </c>
      <c r="F657" t="inlineStr">
        <is>
          <t>KALMAR LÄN</t>
        </is>
      </c>
      <c r="G657" t="inlineStr">
        <is>
          <t>EMMABODA</t>
        </is>
      </c>
      <c r="I657" t="n">
        <v>3.3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s="2" t="inlineStr"/>
    </row>
    <row r="658" ht="15" customHeight="1">
      <c r="A658" t="inlineStr">
        <is>
          <t>A 42498-2026</t>
        </is>
      </c>
      <c r="B658" t="inlineStr">
        <is>
          <t>avverkningsanmälan</t>
        </is>
      </c>
      <c r="C658" t="inlineStr">
        <is>
          <t>Föryngringsavverkning</t>
        </is>
      </c>
      <c r="D658" s="1" t="n">
        <v>46308</v>
      </c>
      <c r="E658" s="1" t="n">
        <v>46313</v>
      </c>
      <c r="F658" t="inlineStr">
        <is>
          <t>KALMAR LÄN</t>
        </is>
      </c>
      <c r="G658" t="inlineStr">
        <is>
          <t>EMMABODA</t>
        </is>
      </c>
      <c r="I658" t="n">
        <v>0.6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s="2" t="inlineStr"/>
    </row>
    <row r="659" ht="15" customHeight="1">
      <c r="A659" t="inlineStr">
        <is>
          <t>A 25316-2025</t>
        </is>
      </c>
      <c r="B659" t="inlineStr">
        <is>
          <t>avverkningsanmälan</t>
        </is>
      </c>
      <c r="C659" t="inlineStr">
        <is>
          <t>Föryngringsavverkning</t>
        </is>
      </c>
      <c r="D659" s="1" t="n">
        <v>45800</v>
      </c>
      <c r="E659" s="1" t="n">
        <v>46313</v>
      </c>
      <c r="F659" t="inlineStr">
        <is>
          <t>KALMAR LÄN</t>
        </is>
      </c>
      <c r="G659" t="inlineStr">
        <is>
          <t>EMMABODA</t>
        </is>
      </c>
      <c r="I659" t="n">
        <v>1.3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s="2" t="inlineStr"/>
    </row>
    <row r="660" ht="15" customHeight="1">
      <c r="A660" t="inlineStr">
        <is>
          <t>A 25776-2025</t>
        </is>
      </c>
      <c r="B660" t="inlineStr">
        <is>
          <t>avverkningsanmälan</t>
        </is>
      </c>
      <c r="C660" t="inlineStr">
        <is>
          <t>Föryngringsavverkning</t>
        </is>
      </c>
      <c r="D660" s="1" t="n">
        <v>45804</v>
      </c>
      <c r="E660" s="1" t="n">
        <v>46313</v>
      </c>
      <c r="F660" t="inlineStr">
        <is>
          <t>KALMAR LÄN</t>
        </is>
      </c>
      <c r="G660" t="inlineStr">
        <is>
          <t>EMMABODA</t>
        </is>
      </c>
      <c r="I660" t="n">
        <v>2.2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s="2" t="inlineStr"/>
    </row>
    <row r="661" ht="15" customHeight="1">
      <c r="A661" t="inlineStr">
        <is>
          <t>A 27533-2025</t>
        </is>
      </c>
      <c r="B661" t="inlineStr">
        <is>
          <t>avverkningsanmälan</t>
        </is>
      </c>
      <c r="C661" t="inlineStr">
        <is>
          <t>Föryngringsavverkning</t>
        </is>
      </c>
      <c r="D661" s="1" t="n">
        <v>45813</v>
      </c>
      <c r="E661" s="1" t="n">
        <v>46313</v>
      </c>
      <c r="F661" t="inlineStr">
        <is>
          <t>KALMAR LÄN</t>
        </is>
      </c>
      <c r="G661" t="inlineStr">
        <is>
          <t>EMMABODA</t>
        </is>
      </c>
      <c r="I661" t="n">
        <v>1.1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s="2" t="inlineStr"/>
    </row>
    <row r="662" ht="15" customHeight="1">
      <c r="A662" t="inlineStr">
        <is>
          <t>A 19551-2026</t>
        </is>
      </c>
      <c r="B662" t="inlineStr">
        <is>
          <t>avverkningsanmälan</t>
        </is>
      </c>
      <c r="C662" t="inlineStr">
        <is>
          <t>Avverkning för att bevara och utveckla /försöksver</t>
        </is>
      </c>
      <c r="D662" s="1" t="n">
        <v>46134</v>
      </c>
      <c r="E662" s="1" t="n">
        <v>46313</v>
      </c>
      <c r="F662" t="inlineStr">
        <is>
          <t>KALMAR LÄN</t>
        </is>
      </c>
      <c r="G662" t="inlineStr">
        <is>
          <t>EMMABODA</t>
        </is>
      </c>
      <c r="I662" t="n">
        <v>2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s="2" t="inlineStr"/>
    </row>
    <row r="663" ht="15" customHeight="1">
      <c r="A663" t="inlineStr">
        <is>
          <t>A 36314-2026</t>
        </is>
      </c>
      <c r="B663" t="inlineStr">
        <is>
          <t>avverkningsanmälan</t>
        </is>
      </c>
      <c r="C663" t="inlineStr">
        <is>
          <t>Föryngringsavverkning</t>
        </is>
      </c>
      <c r="D663" s="1" t="n">
        <v>46268</v>
      </c>
      <c r="E663" s="1" t="n">
        <v>46313</v>
      </c>
      <c r="F663" t="inlineStr">
        <is>
          <t>KALMAR LÄN</t>
        </is>
      </c>
      <c r="G663" t="inlineStr">
        <is>
          <t>EMMABODA</t>
        </is>
      </c>
      <c r="I663" t="n">
        <v>0.7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s="2" t="inlineStr"/>
    </row>
    <row r="664" ht="15" customHeight="1">
      <c r="A664" t="inlineStr">
        <is>
          <t>A 29807-2025</t>
        </is>
      </c>
      <c r="B664" t="inlineStr">
        <is>
          <t>avverkningsanmälan</t>
        </is>
      </c>
      <c r="C664" t="inlineStr">
        <is>
          <t>Föryngringsavverkning</t>
        </is>
      </c>
      <c r="D664" s="1" t="n">
        <v>45825</v>
      </c>
      <c r="E664" s="1" t="n">
        <v>46313</v>
      </c>
      <c r="F664" t="inlineStr">
        <is>
          <t>KALMAR LÄN</t>
        </is>
      </c>
      <c r="G664" t="inlineStr">
        <is>
          <t>EMMABODA</t>
        </is>
      </c>
      <c r="I664" t="n">
        <v>4.5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s="2" t="inlineStr"/>
    </row>
    <row r="665" ht="15" customHeight="1">
      <c r="A665" t="inlineStr">
        <is>
          <t>A 29869-2025</t>
        </is>
      </c>
      <c r="B665" t="inlineStr">
        <is>
          <t>avverkningsanmälan</t>
        </is>
      </c>
      <c r="C665" t="inlineStr">
        <is>
          <t>Föryngringsavverkning</t>
        </is>
      </c>
      <c r="D665" s="1" t="n">
        <v>45826</v>
      </c>
      <c r="E665" s="1" t="n">
        <v>46313</v>
      </c>
      <c r="F665" t="inlineStr">
        <is>
          <t>KALMAR LÄN</t>
        </is>
      </c>
      <c r="G665" t="inlineStr">
        <is>
          <t>EMMABODA</t>
        </is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s="2" t="inlineStr"/>
    </row>
    <row r="666" ht="15" customHeight="1">
      <c r="A666" t="inlineStr">
        <is>
          <t>A 29886-2025</t>
        </is>
      </c>
      <c r="B666" t="inlineStr">
        <is>
          <t>avverkningsanmälan</t>
        </is>
      </c>
      <c r="C666" t="inlineStr">
        <is>
          <t>Föryngringsavverkning</t>
        </is>
      </c>
      <c r="D666" s="1" t="n">
        <v>45826</v>
      </c>
      <c r="E666" s="1" t="n">
        <v>46313</v>
      </c>
      <c r="F666" t="inlineStr">
        <is>
          <t>KALMAR LÄN</t>
        </is>
      </c>
      <c r="G666" t="inlineStr">
        <is>
          <t>EMMABODA</t>
        </is>
      </c>
      <c r="I666" t="n">
        <v>7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s="2" t="inlineStr"/>
    </row>
    <row r="667" ht="15" customHeight="1">
      <c r="A667" t="inlineStr">
        <is>
          <t>A 33160-2026</t>
        </is>
      </c>
      <c r="B667" t="inlineStr">
        <is>
          <t>avverkningsanmälan</t>
        </is>
      </c>
      <c r="C667" t="inlineStr">
        <is>
          <t>Avverkning för att bevara och utveckla /försöksver</t>
        </is>
      </c>
      <c r="D667" s="1" t="n">
        <v>46245</v>
      </c>
      <c r="E667" s="1" t="n">
        <v>46313</v>
      </c>
      <c r="F667" t="inlineStr">
        <is>
          <t>KALMAR LÄN</t>
        </is>
      </c>
      <c r="G667" t="inlineStr">
        <is>
          <t>EMMABODA</t>
        </is>
      </c>
      <c r="I667" t="n">
        <v>0.8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s="2" t="inlineStr"/>
    </row>
    <row r="668" ht="15" customHeight="1">
      <c r="A668" t="inlineStr">
        <is>
          <t>A 30118-2025</t>
        </is>
      </c>
      <c r="B668" t="inlineStr">
        <is>
          <t>avverkningsanmälan</t>
        </is>
      </c>
      <c r="C668" t="inlineStr">
        <is>
          <t>Föryngringsavverkning</t>
        </is>
      </c>
      <c r="D668" s="1" t="n">
        <v>45826</v>
      </c>
      <c r="E668" s="1" t="n">
        <v>46313</v>
      </c>
      <c r="F668" t="inlineStr">
        <is>
          <t>KALMAR LÄN</t>
        </is>
      </c>
      <c r="G668" t="inlineStr">
        <is>
          <t>EMMABODA</t>
        </is>
      </c>
      <c r="I668" t="n">
        <v>1.9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s="2" t="inlineStr"/>
    </row>
    <row r="669" ht="15" customHeight="1">
      <c r="A669" t="inlineStr">
        <is>
          <t>A 29875-2025</t>
        </is>
      </c>
      <c r="B669" t="inlineStr">
        <is>
          <t>avverkningsanmälan</t>
        </is>
      </c>
      <c r="C669" t="inlineStr">
        <is>
          <t>Föryngringsavverkning</t>
        </is>
      </c>
      <c r="D669" s="1" t="n">
        <v>45826</v>
      </c>
      <c r="E669" s="1" t="n">
        <v>46313</v>
      </c>
      <c r="F669" t="inlineStr">
        <is>
          <t>KALMAR LÄN</t>
        </is>
      </c>
      <c r="G669" t="inlineStr">
        <is>
          <t>EMMABODA</t>
        </is>
      </c>
      <c r="I669" t="n">
        <v>3.9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s="2" t="inlineStr"/>
    </row>
    <row r="670" ht="15" customHeight="1">
      <c r="A670" t="inlineStr">
        <is>
          <t>A 29874-2025</t>
        </is>
      </c>
      <c r="B670" t="inlineStr">
        <is>
          <t>avverkningsanmälan</t>
        </is>
      </c>
      <c r="C670" t="inlineStr">
        <is>
          <t>Föryngringsavverkning</t>
        </is>
      </c>
      <c r="D670" s="1" t="n">
        <v>45826</v>
      </c>
      <c r="E670" s="1" t="n">
        <v>46313</v>
      </c>
      <c r="F670" t="inlineStr">
        <is>
          <t>KALMAR LÄN</t>
        </is>
      </c>
      <c r="G670" t="inlineStr">
        <is>
          <t>EMMABODA</t>
        </is>
      </c>
      <c r="I670" t="n">
        <v>2.6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s="2" t="inlineStr"/>
    </row>
    <row r="671" ht="15" customHeight="1">
      <c r="A671" t="inlineStr">
        <is>
          <t>A 29879-2025</t>
        </is>
      </c>
      <c r="B671" t="inlineStr">
        <is>
          <t>avverkningsanmälan</t>
        </is>
      </c>
      <c r="C671" t="inlineStr">
        <is>
          <t>Föryngringsavverkning</t>
        </is>
      </c>
      <c r="D671" s="1" t="n">
        <v>45826</v>
      </c>
      <c r="E671" s="1" t="n">
        <v>46313</v>
      </c>
      <c r="F671" t="inlineStr">
        <is>
          <t>KALMAR LÄN</t>
        </is>
      </c>
      <c r="G671" t="inlineStr">
        <is>
          <t>EMMABODA</t>
        </is>
      </c>
      <c r="I671" t="n">
        <v>0.9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s="2" t="inlineStr"/>
    </row>
    <row r="672" ht="15" customHeight="1">
      <c r="A672" t="inlineStr">
        <is>
          <t>A 31208-2025</t>
        </is>
      </c>
      <c r="B672" t="inlineStr">
        <is>
          <t>avverkningsanmälan</t>
        </is>
      </c>
      <c r="C672" t="inlineStr">
        <is>
          <t>Föryngringsavverkning</t>
        </is>
      </c>
      <c r="D672" s="1" t="n">
        <v>45832</v>
      </c>
      <c r="E672" s="1" t="n">
        <v>46313</v>
      </c>
      <c r="F672" t="inlineStr">
        <is>
          <t>KALMAR LÄN</t>
        </is>
      </c>
      <c r="G672" t="inlineStr">
        <is>
          <t>EMMABODA</t>
        </is>
      </c>
      <c r="I672" t="n">
        <v>0.2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s="2" t="inlineStr"/>
    </row>
    <row r="673" ht="15" customHeight="1">
      <c r="A673" t="inlineStr">
        <is>
          <t>A 26111-2025</t>
        </is>
      </c>
      <c r="B673" t="inlineStr">
        <is>
          <t>avverkningsanmälan</t>
        </is>
      </c>
      <c r="C673" t="inlineStr">
        <is>
          <t>Föryngringsavverkning</t>
        </is>
      </c>
      <c r="D673" s="1" t="n">
        <v>45805</v>
      </c>
      <c r="E673" s="1" t="n">
        <v>46313</v>
      </c>
      <c r="F673" t="inlineStr">
        <is>
          <t>KALMAR LÄN</t>
        </is>
      </c>
      <c r="G673" t="inlineStr">
        <is>
          <t>EMMABODA</t>
        </is>
      </c>
      <c r="I673" t="n">
        <v>12.5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s="2" t="inlineStr"/>
    </row>
    <row r="674" ht="15" customHeight="1">
      <c r="A674" t="inlineStr">
        <is>
          <t>A 34055-2025</t>
        </is>
      </c>
      <c r="B674" t="inlineStr">
        <is>
          <t>avverkningsanmälan</t>
        </is>
      </c>
      <c r="C674" t="inlineStr">
        <is>
          <t>Avverkning för att bevara och utveckla /försöksver</t>
        </is>
      </c>
      <c r="D674" s="1" t="n">
        <v>45845</v>
      </c>
      <c r="E674" s="1" t="n">
        <v>46313</v>
      </c>
      <c r="F674" t="inlineStr">
        <is>
          <t>KALMAR LÄN</t>
        </is>
      </c>
      <c r="G674" t="inlineStr">
        <is>
          <t>EMMABODA</t>
        </is>
      </c>
      <c r="I674" t="n">
        <v>3.9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s="2" t="inlineStr"/>
    </row>
    <row r="675" ht="15" customHeight="1">
      <c r="A675" t="inlineStr">
        <is>
          <t>A 55604-2024</t>
        </is>
      </c>
      <c r="B675" t="inlineStr">
        <is>
          <t>avverkningsanmälan</t>
        </is>
      </c>
      <c r="C675" t="inlineStr">
        <is>
          <t>Föryngringsavverkning</t>
        </is>
      </c>
      <c r="D675" s="1" t="n">
        <v>45621</v>
      </c>
      <c r="E675" s="1" t="n">
        <v>46313</v>
      </c>
      <c r="F675" t="inlineStr">
        <is>
          <t>KALMAR LÄN</t>
        </is>
      </c>
      <c r="G675" t="inlineStr">
        <is>
          <t>EMMABODA</t>
        </is>
      </c>
      <c r="I675" t="n">
        <v>2.4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s="2" t="inlineStr"/>
    </row>
    <row r="676" ht="15" customHeight="1">
      <c r="A676" t="inlineStr">
        <is>
          <t>A 11758-2025</t>
        </is>
      </c>
      <c r="B676" t="inlineStr">
        <is>
          <t>avverkningsanmälan</t>
        </is>
      </c>
      <c r="C676" t="inlineStr">
        <is>
          <t>Föryngringsavverkning</t>
        </is>
      </c>
      <c r="D676" s="1" t="n">
        <v>45727</v>
      </c>
      <c r="E676" s="1" t="n">
        <v>46313</v>
      </c>
      <c r="F676" t="inlineStr">
        <is>
          <t>KALMAR LÄN</t>
        </is>
      </c>
      <c r="G676" t="inlineStr">
        <is>
          <t>EMMABODA</t>
        </is>
      </c>
      <c r="I676" t="n">
        <v>9.300000000000001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s="2" t="inlineStr"/>
    </row>
    <row r="677" ht="15" customHeight="1">
      <c r="A677" t="inlineStr">
        <is>
          <t>A 34878-2025</t>
        </is>
      </c>
      <c r="B677" t="inlineStr">
        <is>
          <t>avverkningsanmälan</t>
        </is>
      </c>
      <c r="C677" t="inlineStr">
        <is>
          <t>Föryngringsavverkning</t>
        </is>
      </c>
      <c r="D677" s="1" t="n">
        <v>45849</v>
      </c>
      <c r="E677" s="1" t="n">
        <v>46313</v>
      </c>
      <c r="F677" t="inlineStr">
        <is>
          <t>KALMAR LÄN</t>
        </is>
      </c>
      <c r="G677" t="inlineStr">
        <is>
          <t>EMMABODA</t>
        </is>
      </c>
      <c r="I677" t="n">
        <v>0.5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s="2" t="inlineStr"/>
    </row>
    <row r="678" ht="15" customHeight="1">
      <c r="A678" t="inlineStr">
        <is>
          <t>A 20511-2025</t>
        </is>
      </c>
      <c r="B678" t="inlineStr">
        <is>
          <t>avverkningsanmälan</t>
        </is>
      </c>
      <c r="C678" t="inlineStr">
        <is>
          <t>Föryngringsavverkning</t>
        </is>
      </c>
      <c r="D678" s="1" t="n">
        <v>45775</v>
      </c>
      <c r="E678" s="1" t="n">
        <v>46313</v>
      </c>
      <c r="F678" t="inlineStr">
        <is>
          <t>KALMAR LÄN</t>
        </is>
      </c>
      <c r="G678" t="inlineStr">
        <is>
          <t>EMMABODA</t>
        </is>
      </c>
      <c r="I678" t="n">
        <v>1.9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s="2" t="inlineStr"/>
    </row>
    <row r="679" ht="15" customHeight="1">
      <c r="A679" t="inlineStr">
        <is>
          <t>A 9715-2025</t>
        </is>
      </c>
      <c r="B679" t="inlineStr">
        <is>
          <t>avverkningsanmälan</t>
        </is>
      </c>
      <c r="C679" t="inlineStr">
        <is>
          <t>Föryngringsavverkning</t>
        </is>
      </c>
      <c r="D679" s="1" t="n">
        <v>45716</v>
      </c>
      <c r="E679" s="1" t="n">
        <v>46313</v>
      </c>
      <c r="F679" t="inlineStr">
        <is>
          <t>KALMAR LÄN</t>
        </is>
      </c>
      <c r="G679" t="inlineStr">
        <is>
          <t>EMMABODA</t>
        </is>
      </c>
      <c r="I679" t="n">
        <v>1.1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s="2" t="inlineStr"/>
    </row>
    <row r="680" ht="15" customHeight="1">
      <c r="A680" t="inlineStr">
        <is>
          <t>A 35020-2025</t>
        </is>
      </c>
      <c r="B680" t="inlineStr">
        <is>
          <t>avverkningsanmälan</t>
        </is>
      </c>
      <c r="C680" t="inlineStr">
        <is>
          <t>Föryngringsavverkning</t>
        </is>
      </c>
      <c r="D680" s="1" t="n">
        <v>45851</v>
      </c>
      <c r="E680" s="1" t="n">
        <v>46313</v>
      </c>
      <c r="F680" t="inlineStr">
        <is>
          <t>KALMAR LÄN</t>
        </is>
      </c>
      <c r="G680" t="inlineStr">
        <is>
          <t>EMMABODA</t>
        </is>
      </c>
      <c r="I680" t="n">
        <v>0.7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s="2" t="inlineStr"/>
    </row>
    <row r="681" ht="15" customHeight="1">
      <c r="A681" t="inlineStr">
        <is>
          <t>A 35021-2025</t>
        </is>
      </c>
      <c r="B681" t="inlineStr">
        <is>
          <t>avverkningsanmälan</t>
        </is>
      </c>
      <c r="C681" t="inlineStr">
        <is>
          <t>Föryngringsavverkning</t>
        </is>
      </c>
      <c r="D681" s="1" t="n">
        <v>45851</v>
      </c>
      <c r="E681" s="1" t="n">
        <v>46313</v>
      </c>
      <c r="F681" t="inlineStr">
        <is>
          <t>KALMAR LÄN</t>
        </is>
      </c>
      <c r="G681" t="inlineStr">
        <is>
          <t>EMMABODA</t>
        </is>
      </c>
      <c r="I681" t="n">
        <v>4.1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s="2" t="inlineStr"/>
    </row>
    <row r="682" ht="15" customHeight="1">
      <c r="A682" t="inlineStr">
        <is>
          <t>A 20053-2025</t>
        </is>
      </c>
      <c r="B682" t="inlineStr">
        <is>
          <t>avverkningsanmälan</t>
        </is>
      </c>
      <c r="C682" t="inlineStr">
        <is>
          <t>Föryngringsavverkning</t>
        </is>
      </c>
      <c r="D682" s="1" t="n">
        <v>45772</v>
      </c>
      <c r="E682" s="1" t="n">
        <v>46313</v>
      </c>
      <c r="F682" t="inlineStr">
        <is>
          <t>KALMAR LÄN</t>
        </is>
      </c>
      <c r="G682" t="inlineStr">
        <is>
          <t>EMMABODA</t>
        </is>
      </c>
      <c r="I682" t="n">
        <v>3.1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s="2" t="inlineStr"/>
    </row>
    <row r="683" ht="15" customHeight="1">
      <c r="A683" t="inlineStr">
        <is>
          <t>A 35592-2025</t>
        </is>
      </c>
      <c r="B683" t="inlineStr">
        <is>
          <t>avverkningsanmälan</t>
        </is>
      </c>
      <c r="C683" t="inlineStr">
        <is>
          <t>Avverkning för annat ändamål</t>
        </is>
      </c>
      <c r="D683" s="1" t="n">
        <v>45857</v>
      </c>
      <c r="E683" s="1" t="n">
        <v>46313</v>
      </c>
      <c r="F683" t="inlineStr">
        <is>
          <t>KALMAR LÄN</t>
        </is>
      </c>
      <c r="G683" t="inlineStr">
        <is>
          <t>EMMABODA</t>
        </is>
      </c>
      <c r="I683" t="n">
        <v>5.3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s="2" t="inlineStr"/>
    </row>
    <row r="684" ht="15" customHeight="1">
      <c r="A684" t="inlineStr">
        <is>
          <t>A 36012-2025</t>
        </is>
      </c>
      <c r="B684" t="inlineStr">
        <is>
          <t>avverkningsanmälan</t>
        </is>
      </c>
      <c r="C684" t="inlineStr">
        <is>
          <t>Föryngringsavverkning</t>
        </is>
      </c>
      <c r="D684" s="1" t="n">
        <v>45863</v>
      </c>
      <c r="E684" s="1" t="n">
        <v>46313</v>
      </c>
      <c r="F684" t="inlineStr">
        <is>
          <t>KALMAR LÄN</t>
        </is>
      </c>
      <c r="G684" t="inlineStr">
        <is>
          <t>EMMABODA</t>
        </is>
      </c>
      <c r="I684" t="n">
        <v>0.9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s="2" t="inlineStr"/>
    </row>
    <row r="685" ht="15" customHeight="1">
      <c r="A685" t="inlineStr">
        <is>
          <t>A 16273-2025</t>
        </is>
      </c>
      <c r="B685" t="inlineStr">
        <is>
          <t>avverkningsanmälan</t>
        </is>
      </c>
      <c r="C685" t="inlineStr">
        <is>
          <t>Föryngringsavverkning</t>
        </is>
      </c>
      <c r="D685" s="1" t="n">
        <v>45750</v>
      </c>
      <c r="E685" s="1" t="n">
        <v>46313</v>
      </c>
      <c r="F685" t="inlineStr">
        <is>
          <t>KALMAR LÄN</t>
        </is>
      </c>
      <c r="G685" t="inlineStr">
        <is>
          <t>EMMABODA</t>
        </is>
      </c>
      <c r="I685" t="n">
        <v>4.1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s="2" t="inlineStr"/>
    </row>
    <row r="686" ht="15" customHeight="1">
      <c r="A686" t="inlineStr">
        <is>
          <t>A 22899-2025</t>
        </is>
      </c>
      <c r="B686" t="inlineStr">
        <is>
          <t>avverkningsanmälan</t>
        </is>
      </c>
      <c r="C686" t="inlineStr">
        <is>
          <t>Föryngringsavverkning</t>
        </is>
      </c>
      <c r="D686" s="1" t="n">
        <v>45790</v>
      </c>
      <c r="E686" s="1" t="n">
        <v>46313</v>
      </c>
      <c r="F686" t="inlineStr">
        <is>
          <t>KALMAR LÄN</t>
        </is>
      </c>
      <c r="G686" t="inlineStr">
        <is>
          <t>EMMABODA</t>
        </is>
      </c>
      <c r="I686" t="n">
        <v>1.3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s="2" t="inlineStr"/>
    </row>
    <row r="687" ht="15" customHeight="1">
      <c r="A687" t="inlineStr">
        <is>
          <t>A 37812-2025</t>
        </is>
      </c>
      <c r="B687" t="inlineStr">
        <is>
          <t>avverkningsanmälan</t>
        </is>
      </c>
      <c r="C687" t="inlineStr">
        <is>
          <t>Föryngringsavverkning</t>
        </is>
      </c>
      <c r="D687" s="1" t="n">
        <v>45881</v>
      </c>
      <c r="E687" s="1" t="n">
        <v>46313</v>
      </c>
      <c r="F687" t="inlineStr">
        <is>
          <t>KALMAR LÄN</t>
        </is>
      </c>
      <c r="G687" t="inlineStr">
        <is>
          <t>EMMABODA</t>
        </is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s="2" t="inlineStr"/>
    </row>
    <row r="688" ht="15" customHeight="1">
      <c r="A688" t="inlineStr">
        <is>
          <t>S 7596-2021</t>
        </is>
      </c>
      <c r="B688" t="inlineStr">
        <is>
          <t>samrådsanmälan</t>
        </is>
      </c>
      <c r="C688" t="inlineStr">
        <is>
          <t>Askåterföring</t>
        </is>
      </c>
      <c r="D688" s="1" t="n">
        <v>44476</v>
      </c>
      <c r="E688" s="1" t="n">
        <v>46313</v>
      </c>
      <c r="F688" t="inlineStr">
        <is>
          <t>KALMAR LÄN</t>
        </is>
      </c>
      <c r="G688" t="inlineStr">
        <is>
          <t>EMMABODA</t>
        </is>
      </c>
      <c r="I688" t="n">
        <v>35.3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s="2" t="inlineStr"/>
    </row>
    <row r="689" ht="15" customHeight="1">
      <c r="A689" t="inlineStr">
        <is>
          <t>S 3248-2023</t>
        </is>
      </c>
      <c r="B689" t="inlineStr">
        <is>
          <t>samrådsanmälan</t>
        </is>
      </c>
      <c r="C689" t="inlineStr">
        <is>
          <t>Askåterföring</t>
        </is>
      </c>
      <c r="D689" s="1" t="n">
        <v>45191</v>
      </c>
      <c r="E689" s="1" t="n">
        <v>46313</v>
      </c>
      <c r="F689" t="inlineStr">
        <is>
          <t>KALMAR LÄN</t>
        </is>
      </c>
      <c r="G689" t="inlineStr">
        <is>
          <t>EMMABODA</t>
        </is>
      </c>
      <c r="I689" t="n">
        <v>30.4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s="2" t="inlineStr"/>
    </row>
    <row r="690" ht="15" customHeight="1">
      <c r="A690" t="inlineStr">
        <is>
          <t>S 393-2023</t>
        </is>
      </c>
      <c r="B690" t="inlineStr">
        <is>
          <t>samrådsanmälan</t>
        </is>
      </c>
      <c r="C690" t="inlineStr">
        <is>
          <t>Askåterföring</t>
        </is>
      </c>
      <c r="D690" s="1" t="n">
        <v>44959</v>
      </c>
      <c r="E690" s="1" t="n">
        <v>46313</v>
      </c>
      <c r="F690" t="inlineStr">
        <is>
          <t>KALMAR LÄN</t>
        </is>
      </c>
      <c r="G690" t="inlineStr">
        <is>
          <t>EMMABODA</t>
        </is>
      </c>
      <c r="I690" t="n">
        <v>14.2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s="2" t="inlineStr"/>
    </row>
    <row r="691" ht="15" customHeight="1">
      <c r="A691" t="inlineStr">
        <is>
          <t>S 3275-2023</t>
        </is>
      </c>
      <c r="B691" t="inlineStr">
        <is>
          <t>samrådsanmälan</t>
        </is>
      </c>
      <c r="C691" t="inlineStr">
        <is>
          <t>Askåterföring</t>
        </is>
      </c>
      <c r="D691" s="1" t="n">
        <v>45194</v>
      </c>
      <c r="E691" s="1" t="n">
        <v>46313</v>
      </c>
      <c r="F691" t="inlineStr">
        <is>
          <t>KALMAR LÄN</t>
        </is>
      </c>
      <c r="G691" t="inlineStr">
        <is>
          <t>EMMABODA</t>
        </is>
      </c>
      <c r="I691" t="n">
        <v>18.8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s="2" t="inlineStr"/>
    </row>
    <row r="692" ht="15" customHeight="1">
      <c r="A692" t="inlineStr">
        <is>
          <t>S 916-2024</t>
        </is>
      </c>
      <c r="B692" t="inlineStr">
        <is>
          <t>samrådsanmälan</t>
        </is>
      </c>
      <c r="C692" t="inlineStr">
        <is>
          <t>Askåterföring</t>
        </is>
      </c>
      <c r="D692" s="1" t="n">
        <v>45377</v>
      </c>
      <c r="E692" s="1" t="n">
        <v>46313</v>
      </c>
      <c r="F692" t="inlineStr">
        <is>
          <t>KALMAR LÄN</t>
        </is>
      </c>
      <c r="G692" t="inlineStr">
        <is>
          <t>EMMABODA</t>
        </is>
      </c>
      <c r="I692" t="n">
        <v>34.2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s="2" t="inlineStr"/>
    </row>
    <row r="693" ht="15" customHeight="1">
      <c r="A693" t="inlineStr">
        <is>
          <t>S 1064-2024</t>
        </is>
      </c>
      <c r="B693" t="inlineStr">
        <is>
          <t>samrådsanmälan</t>
        </is>
      </c>
      <c r="C693" t="inlineStr">
        <is>
          <t>Askåterföring</t>
        </is>
      </c>
      <c r="D693" s="1" t="n">
        <v>45387</v>
      </c>
      <c r="E693" s="1" t="n">
        <v>46313</v>
      </c>
      <c r="F693" t="inlineStr">
        <is>
          <t>KALMAR LÄN</t>
        </is>
      </c>
      <c r="G693" t="inlineStr">
        <is>
          <t>EMMABODA</t>
        </is>
      </c>
      <c r="I693" t="n">
        <v>14.4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s="2" t="inlineStr"/>
    </row>
    <row r="694" ht="15" customHeight="1">
      <c r="A694" t="inlineStr">
        <is>
          <t>S 7020-2022</t>
        </is>
      </c>
      <c r="B694" t="inlineStr">
        <is>
          <t>samrådsanmälan</t>
        </is>
      </c>
      <c r="C694" t="inlineStr">
        <is>
          <t>Askåterföring</t>
        </is>
      </c>
      <c r="D694" s="1" t="n">
        <v>44903</v>
      </c>
      <c r="E694" s="1" t="n">
        <v>46313</v>
      </c>
      <c r="F694" t="inlineStr">
        <is>
          <t>KALMAR LÄN</t>
        </is>
      </c>
      <c r="G694" t="inlineStr">
        <is>
          <t>EMMABODA</t>
        </is>
      </c>
      <c r="I694" t="n">
        <v>10.5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s="2" t="inlineStr"/>
    </row>
    <row r="695" ht="15" customHeight="1">
      <c r="A695" t="inlineStr">
        <is>
          <t>S 6951-2022</t>
        </is>
      </c>
      <c r="B695" t="inlineStr">
        <is>
          <t>samrådsanmälan</t>
        </is>
      </c>
      <c r="C695" t="inlineStr">
        <is>
          <t>Askåterföring</t>
        </is>
      </c>
      <c r="D695" s="1" t="n">
        <v>44900</v>
      </c>
      <c r="E695" s="1" t="n">
        <v>46313</v>
      </c>
      <c r="F695" t="inlineStr">
        <is>
          <t>KALMAR LÄN</t>
        </is>
      </c>
      <c r="G695" t="inlineStr">
        <is>
          <t>EMMABODA</t>
        </is>
      </c>
      <c r="I695" t="n">
        <v>16.2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s="2" t="inlineStr"/>
    </row>
    <row r="696" ht="15" customHeight="1">
      <c r="A696" t="inlineStr">
        <is>
          <t>S 5811-2022</t>
        </is>
      </c>
      <c r="B696" t="inlineStr">
        <is>
          <t>samrådsanmälan</t>
        </is>
      </c>
      <c r="C696" t="inlineStr">
        <is>
          <t>Askåterföring</t>
        </is>
      </c>
      <c r="D696" s="1" t="n">
        <v>44852</v>
      </c>
      <c r="E696" s="1" t="n">
        <v>46313</v>
      </c>
      <c r="F696" t="inlineStr">
        <is>
          <t>KALMAR LÄN</t>
        </is>
      </c>
      <c r="G696" t="inlineStr">
        <is>
          <t>EMMABODA</t>
        </is>
      </c>
      <c r="I696" t="n">
        <v>20.2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s="2" t="inlineStr"/>
    </row>
    <row r="697" ht="15" customHeight="1">
      <c r="A697" t="inlineStr">
        <is>
          <t>S 3326-2023</t>
        </is>
      </c>
      <c r="B697" t="inlineStr">
        <is>
          <t>samrådsanmälan</t>
        </is>
      </c>
      <c r="C697" t="inlineStr">
        <is>
          <t>Annan skogsbruksåtgärd</t>
        </is>
      </c>
      <c r="D697" s="1" t="n">
        <v>45200</v>
      </c>
      <c r="E697" s="1" t="n">
        <v>46313</v>
      </c>
      <c r="F697" t="inlineStr">
        <is>
          <t>KALMAR LÄN</t>
        </is>
      </c>
      <c r="G697" t="inlineStr">
        <is>
          <t>EMMABODA</t>
        </is>
      </c>
      <c r="I697" t="n">
        <v>0.8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s="2" t="inlineStr"/>
    </row>
    <row r="698" ht="15" customHeight="1">
      <c r="A698" t="inlineStr">
        <is>
          <t>S 3397-2024</t>
        </is>
      </c>
      <c r="B698" t="inlineStr">
        <is>
          <t>samrådsanmälan</t>
        </is>
      </c>
      <c r="C698" t="inlineStr">
        <is>
          <t>Askåterföring</t>
        </is>
      </c>
      <c r="D698" s="1" t="n">
        <v>45534</v>
      </c>
      <c r="E698" s="1" t="n">
        <v>46313</v>
      </c>
      <c r="F698" t="inlineStr">
        <is>
          <t>KALMAR LÄN</t>
        </is>
      </c>
      <c r="G698" t="inlineStr">
        <is>
          <t>EMMABODA</t>
        </is>
      </c>
      <c r="I698" t="n">
        <v>49.9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s="2" t="inlineStr"/>
    </row>
    <row r="699" ht="15" customHeight="1">
      <c r="A699" t="inlineStr">
        <is>
          <t>S 3244-2023</t>
        </is>
      </c>
      <c r="B699" t="inlineStr">
        <is>
          <t>samrådsanmälan</t>
        </is>
      </c>
      <c r="C699" t="inlineStr">
        <is>
          <t>Askåterföring</t>
        </is>
      </c>
      <c r="D699" s="1" t="n">
        <v>45191</v>
      </c>
      <c r="E699" s="1" t="n">
        <v>46313</v>
      </c>
      <c r="F699" t="inlineStr">
        <is>
          <t>KALMAR LÄN</t>
        </is>
      </c>
      <c r="G699" t="inlineStr">
        <is>
          <t>EMMABODA</t>
        </is>
      </c>
      <c r="I699" t="n">
        <v>86.2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s="2" t="inlineStr"/>
    </row>
    <row r="700" ht="15" customHeight="1">
      <c r="A700" t="inlineStr">
        <is>
          <t>S 1011-2024</t>
        </is>
      </c>
      <c r="B700" t="inlineStr">
        <is>
          <t>samrådsanmälan</t>
        </is>
      </c>
      <c r="C700" t="inlineStr">
        <is>
          <t>Askåterföring</t>
        </is>
      </c>
      <c r="D700" s="1" t="n">
        <v>45386</v>
      </c>
      <c r="E700" s="1" t="n">
        <v>46313</v>
      </c>
      <c r="F700" t="inlineStr">
        <is>
          <t>KALMAR LÄN</t>
        </is>
      </c>
      <c r="G700" t="inlineStr">
        <is>
          <t>EMMABODA</t>
        </is>
      </c>
      <c r="I700" t="n">
        <v>25.2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s="2" t="inlineStr"/>
    </row>
    <row r="701" ht="15" customHeight="1">
      <c r="A701" t="inlineStr">
        <is>
          <t>S 4594-2023</t>
        </is>
      </c>
      <c r="B701" t="inlineStr">
        <is>
          <t>samrådsanmälan</t>
        </is>
      </c>
      <c r="C701" t="inlineStr">
        <is>
          <t>Annan skogsbruksåtgärd</t>
        </is>
      </c>
      <c r="D701" s="1" t="n">
        <v>45287</v>
      </c>
      <c r="E701" s="1" t="n">
        <v>46313</v>
      </c>
      <c r="F701" t="inlineStr">
        <is>
          <t>KALMAR LÄN</t>
        </is>
      </c>
      <c r="G701" t="inlineStr">
        <is>
          <t>EMMABODA</t>
        </is>
      </c>
      <c r="I701" t="n">
        <v>4.1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s="2" t="inlineStr"/>
    </row>
    <row r="702" ht="15" customHeight="1">
      <c r="A702" t="inlineStr">
        <is>
          <t>S 1017-2024</t>
        </is>
      </c>
      <c r="B702" t="inlineStr">
        <is>
          <t>samrådsanmälan</t>
        </is>
      </c>
      <c r="C702" t="inlineStr">
        <is>
          <t>Askåterföring</t>
        </is>
      </c>
      <c r="D702" s="1" t="n">
        <v>45386</v>
      </c>
      <c r="E702" s="1" t="n">
        <v>46313</v>
      </c>
      <c r="F702" t="inlineStr">
        <is>
          <t>KALMAR LÄN</t>
        </is>
      </c>
      <c r="G702" t="inlineStr">
        <is>
          <t>EMMABODA</t>
        </is>
      </c>
      <c r="I702" t="n">
        <v>70.90000000000001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s="2" t="inlineStr"/>
    </row>
    <row r="703" ht="15" customHeight="1">
      <c r="A703" t="inlineStr">
        <is>
          <t>S 1014-2024</t>
        </is>
      </c>
      <c r="B703" t="inlineStr">
        <is>
          <t>samrådsanmälan</t>
        </is>
      </c>
      <c r="C703" t="inlineStr">
        <is>
          <t>Askåterföring</t>
        </is>
      </c>
      <c r="D703" s="1" t="n">
        <v>45386</v>
      </c>
      <c r="E703" s="1" t="n">
        <v>46313</v>
      </c>
      <c r="F703" t="inlineStr">
        <is>
          <t>KALMAR LÄN</t>
        </is>
      </c>
      <c r="G703" t="inlineStr">
        <is>
          <t>EMMABODA</t>
        </is>
      </c>
      <c r="I703" t="n">
        <v>21.8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s="2" t="inlineStr"/>
    </row>
    <row r="704" ht="15" customHeight="1">
      <c r="A704" t="inlineStr">
        <is>
          <t>S 1018-2024</t>
        </is>
      </c>
      <c r="B704" t="inlineStr">
        <is>
          <t>samrådsanmälan</t>
        </is>
      </c>
      <c r="C704" t="inlineStr">
        <is>
          <t>Askåterföring</t>
        </is>
      </c>
      <c r="D704" s="1" t="n">
        <v>45386</v>
      </c>
      <c r="E704" s="1" t="n">
        <v>46313</v>
      </c>
      <c r="F704" t="inlineStr">
        <is>
          <t>KALMAR LÄN</t>
        </is>
      </c>
      <c r="G704" t="inlineStr">
        <is>
          <t>EMMABODA</t>
        </is>
      </c>
      <c r="I704" t="n">
        <v>17.9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s="2" t="inlineStr"/>
    </row>
    <row r="705" ht="15" customHeight="1">
      <c r="A705" t="inlineStr">
        <is>
          <t>S 1028-2024</t>
        </is>
      </c>
      <c r="B705" t="inlineStr">
        <is>
          <t>samrådsanmälan</t>
        </is>
      </c>
      <c r="C705" t="inlineStr">
        <is>
          <t>Askåterföring</t>
        </is>
      </c>
      <c r="D705" s="1" t="n">
        <v>45387</v>
      </c>
      <c r="E705" s="1" t="n">
        <v>46313</v>
      </c>
      <c r="F705" t="inlineStr">
        <is>
          <t>KALMAR LÄN</t>
        </is>
      </c>
      <c r="G705" t="inlineStr">
        <is>
          <t>EMMABODA</t>
        </is>
      </c>
      <c r="I705" t="n">
        <v>7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s="2" t="inlineStr"/>
    </row>
    <row r="706" ht="15" customHeight="1">
      <c r="A706" t="inlineStr">
        <is>
          <t>S 9363-2021</t>
        </is>
      </c>
      <c r="B706" t="inlineStr">
        <is>
          <t>samrådsanmälan</t>
        </is>
      </c>
      <c r="C706" t="inlineStr">
        <is>
          <t>Askåterföring</t>
        </is>
      </c>
      <c r="D706" s="1" t="n">
        <v>44519</v>
      </c>
      <c r="E706" s="1" t="n">
        <v>46313</v>
      </c>
      <c r="F706" t="inlineStr">
        <is>
          <t>KALMAR LÄN</t>
        </is>
      </c>
      <c r="G706" t="inlineStr">
        <is>
          <t>EMMABODA</t>
        </is>
      </c>
      <c r="I706" t="n">
        <v>9.199999999999999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s="2" t="inlineStr"/>
    </row>
    <row r="707" ht="15" customHeight="1">
      <c r="A707" t="inlineStr">
        <is>
          <t>S 3393-2024</t>
        </is>
      </c>
      <c r="B707" t="inlineStr">
        <is>
          <t>samrådsanmälan</t>
        </is>
      </c>
      <c r="C707" t="inlineStr">
        <is>
          <t>Askåterföring</t>
        </is>
      </c>
      <c r="D707" s="1" t="n">
        <v>45534</v>
      </c>
      <c r="E707" s="1" t="n">
        <v>46313</v>
      </c>
      <c r="F707" t="inlineStr">
        <is>
          <t>KALMAR LÄN</t>
        </is>
      </c>
      <c r="G707" t="inlineStr">
        <is>
          <t>EMMABODA</t>
        </is>
      </c>
      <c r="I707" t="n">
        <v>48.6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s="2" t="inlineStr"/>
    </row>
    <row r="708" ht="15" customHeight="1">
      <c r="A708" t="inlineStr">
        <is>
          <t>S 918-2024</t>
        </is>
      </c>
      <c r="B708" t="inlineStr">
        <is>
          <t>samrådsanmälan</t>
        </is>
      </c>
      <c r="C708" t="inlineStr">
        <is>
          <t>Askåterföring</t>
        </is>
      </c>
      <c r="D708" s="1" t="n">
        <v>45377</v>
      </c>
      <c r="E708" s="1" t="n">
        <v>46313</v>
      </c>
      <c r="F708" t="inlineStr">
        <is>
          <t>KALMAR LÄN</t>
        </is>
      </c>
      <c r="G708" t="inlineStr">
        <is>
          <t>EMMABODA</t>
        </is>
      </c>
      <c r="I708" t="n">
        <v>30.6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s="2" t="inlineStr"/>
    </row>
    <row r="709" ht="15" customHeight="1">
      <c r="A709" t="inlineStr">
        <is>
          <t>S 66-2023</t>
        </is>
      </c>
      <c r="B709" t="inlineStr">
        <is>
          <t>samrådsanmälan</t>
        </is>
      </c>
      <c r="C709" t="inlineStr">
        <is>
          <t>Askåterföring</t>
        </is>
      </c>
      <c r="D709" s="1" t="n">
        <v>44928</v>
      </c>
      <c r="E709" s="1" t="n">
        <v>46313</v>
      </c>
      <c r="F709" t="inlineStr">
        <is>
          <t>KALMAR LÄN</t>
        </is>
      </c>
      <c r="G709" t="inlineStr">
        <is>
          <t>EMMABODA</t>
        </is>
      </c>
      <c r="I709" t="n">
        <v>29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s="2" t="inlineStr"/>
    </row>
    <row r="710" ht="15" customHeight="1">
      <c r="A710" t="inlineStr">
        <is>
          <t>S 921-2024</t>
        </is>
      </c>
      <c r="B710" t="inlineStr">
        <is>
          <t>samrådsanmälan</t>
        </is>
      </c>
      <c r="C710" t="inlineStr">
        <is>
          <t>Askåterföring</t>
        </is>
      </c>
      <c r="D710" s="1" t="n">
        <v>45377</v>
      </c>
      <c r="E710" s="1" t="n">
        <v>46313</v>
      </c>
      <c r="F710" t="inlineStr">
        <is>
          <t>KALMAR LÄN</t>
        </is>
      </c>
      <c r="G710" t="inlineStr">
        <is>
          <t>EMMABODA</t>
        </is>
      </c>
      <c r="I710" t="n">
        <v>15.6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s="2" t="inlineStr"/>
    </row>
    <row r="711" ht="15" customHeight="1">
      <c r="A711" t="inlineStr">
        <is>
          <t>S 9386-2021</t>
        </is>
      </c>
      <c r="B711" t="inlineStr">
        <is>
          <t>samrådsanmälan</t>
        </is>
      </c>
      <c r="C711" t="inlineStr">
        <is>
          <t>Askåterföring</t>
        </is>
      </c>
      <c r="D711" s="1" t="n">
        <v>44519</v>
      </c>
      <c r="E711" s="1" t="n">
        <v>46313</v>
      </c>
      <c r="F711" t="inlineStr">
        <is>
          <t>KALMAR LÄN</t>
        </is>
      </c>
      <c r="G711" t="inlineStr">
        <is>
          <t>EMMABODA</t>
        </is>
      </c>
      <c r="I711" t="n">
        <v>18.7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s="2" t="inlineStr"/>
    </row>
    <row r="712" ht="15" customHeight="1">
      <c r="A712" t="inlineStr">
        <is>
          <t>S 3325-2023</t>
        </is>
      </c>
      <c r="B712" t="inlineStr">
        <is>
          <t>samrådsanmälan</t>
        </is>
      </c>
      <c r="C712" t="inlineStr">
        <is>
          <t>Annan skogsbruksåtgärd</t>
        </is>
      </c>
      <c r="D712" s="1" t="n">
        <v>45200</v>
      </c>
      <c r="E712" s="1" t="n">
        <v>46313</v>
      </c>
      <c r="F712" t="inlineStr">
        <is>
          <t>KALMAR LÄN</t>
        </is>
      </c>
      <c r="G712" t="inlineStr">
        <is>
          <t>EMMABODA</t>
        </is>
      </c>
      <c r="I712" t="n">
        <v>0.4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s="2" t="inlineStr"/>
    </row>
    <row r="713" ht="15" customHeight="1">
      <c r="A713" t="inlineStr">
        <is>
          <t>S 6949-2022</t>
        </is>
      </c>
      <c r="B713" t="inlineStr">
        <is>
          <t>samrådsanmälan</t>
        </is>
      </c>
      <c r="C713" t="inlineStr">
        <is>
          <t>Askåterföring</t>
        </is>
      </c>
      <c r="D713" s="1" t="n">
        <v>44900</v>
      </c>
      <c r="E713" s="1" t="n">
        <v>46313</v>
      </c>
      <c r="F713" t="inlineStr">
        <is>
          <t>KALMAR LÄN</t>
        </is>
      </c>
      <c r="G713" t="inlineStr">
        <is>
          <t>EMMABODA</t>
        </is>
      </c>
      <c r="I713" t="n">
        <v>11.9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s="2" t="inlineStr"/>
    </row>
    <row r="714" ht="15" customHeight="1">
      <c r="A714" t="inlineStr">
        <is>
          <t>S 361-2024</t>
        </is>
      </c>
      <c r="B714" t="inlineStr">
        <is>
          <t>samrådsanmälan</t>
        </is>
      </c>
      <c r="C714" t="inlineStr">
        <is>
          <t>Askåterföring</t>
        </is>
      </c>
      <c r="D714" s="1" t="n">
        <v>45330</v>
      </c>
      <c r="E714" s="1" t="n">
        <v>46313</v>
      </c>
      <c r="F714" t="inlineStr">
        <is>
          <t>KALMAR LÄN</t>
        </is>
      </c>
      <c r="G714" t="inlineStr">
        <is>
          <t>EMMABODA</t>
        </is>
      </c>
      <c r="I714" t="n">
        <v>8.4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s="2" t="inlineStr"/>
    </row>
    <row r="715" ht="15" customHeight="1">
      <c r="A715" t="inlineStr">
        <is>
          <t>S 388-2023</t>
        </is>
      </c>
      <c r="B715" t="inlineStr">
        <is>
          <t>samrådsanmälan</t>
        </is>
      </c>
      <c r="C715" t="inlineStr">
        <is>
          <t>Askåterföring</t>
        </is>
      </c>
      <c r="D715" s="1" t="n">
        <v>44959</v>
      </c>
      <c r="E715" s="1" t="n">
        <v>46313</v>
      </c>
      <c r="F715" t="inlineStr">
        <is>
          <t>KALMAR LÄN</t>
        </is>
      </c>
      <c r="G715" t="inlineStr">
        <is>
          <t>EMMABODA</t>
        </is>
      </c>
      <c r="I715" t="n">
        <v>13.7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s="2" t="inlineStr"/>
    </row>
    <row r="716" ht="15" customHeight="1">
      <c r="A716" t="inlineStr">
        <is>
          <t>S 919-2024</t>
        </is>
      </c>
      <c r="B716" t="inlineStr">
        <is>
          <t>samrådsanmälan</t>
        </is>
      </c>
      <c r="C716" t="inlineStr">
        <is>
          <t>Askåterföring</t>
        </is>
      </c>
      <c r="D716" s="1" t="n">
        <v>45348</v>
      </c>
      <c r="E716" s="1" t="n">
        <v>46313</v>
      </c>
      <c r="F716" t="inlineStr">
        <is>
          <t>KALMAR LÄN</t>
        </is>
      </c>
      <c r="G716" t="inlineStr">
        <is>
          <t>EMMABODA</t>
        </is>
      </c>
      <c r="I716" t="n">
        <v>12.3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s="2" t="inlineStr"/>
    </row>
    <row r="717" ht="15" customHeight="1">
      <c r="A717" t="inlineStr">
        <is>
          <t>S 1775-2025</t>
        </is>
      </c>
      <c r="B717" t="inlineStr">
        <is>
          <t>samrådsanmälan</t>
        </is>
      </c>
      <c r="C717" t="inlineStr">
        <is>
          <t>Askåterföring</t>
        </is>
      </c>
      <c r="D717" s="1" t="n">
        <v>45813</v>
      </c>
      <c r="E717" s="1" t="n">
        <v>46313</v>
      </c>
      <c r="F717" t="inlineStr">
        <is>
          <t>KALMAR LÄN</t>
        </is>
      </c>
      <c r="G717" t="inlineStr">
        <is>
          <t>EMMABODA</t>
        </is>
      </c>
      <c r="I717" t="n">
        <v>8.300000000000001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s="2" t="inlineStr"/>
    </row>
    <row r="718" ht="15" customHeight="1">
      <c r="A718" t="inlineStr">
        <is>
          <t>S 1774-2025</t>
        </is>
      </c>
      <c r="B718" t="inlineStr">
        <is>
          <t>samrådsanmälan</t>
        </is>
      </c>
      <c r="C718" t="inlineStr">
        <is>
          <t>Askåterföring</t>
        </is>
      </c>
      <c r="D718" s="1" t="n">
        <v>45813</v>
      </c>
      <c r="E718" s="1" t="n">
        <v>46313</v>
      </c>
      <c r="F718" t="inlineStr">
        <is>
          <t>KALMAR LÄN</t>
        </is>
      </c>
      <c r="G718" t="inlineStr">
        <is>
          <t>EMMABODA</t>
        </is>
      </c>
      <c r="I718" t="n">
        <v>21.5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s="2" t="inlineStr"/>
    </row>
    <row r="719" ht="15" customHeight="1">
      <c r="A719" t="inlineStr">
        <is>
          <t>S 2164-2025</t>
        </is>
      </c>
      <c r="B719" t="inlineStr">
        <is>
          <t>samrådsanmälan</t>
        </is>
      </c>
      <c r="C719" t="inlineStr">
        <is>
          <t>Annan skogsbruksåtgärd</t>
        </is>
      </c>
      <c r="D719" s="1" t="n">
        <v>45849</v>
      </c>
      <c r="E719" s="1" t="n">
        <v>46313</v>
      </c>
      <c r="F719" t="inlineStr">
        <is>
          <t>KALMAR LÄN</t>
        </is>
      </c>
      <c r="G719" t="inlineStr">
        <is>
          <t>EMMABODA</t>
        </is>
      </c>
      <c r="I719" t="n">
        <v>2.7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s="2" t="inlineStr"/>
    </row>
    <row r="720" ht="15" customHeight="1">
      <c r="A720" t="inlineStr">
        <is>
          <t>S 2433-2025</t>
        </is>
      </c>
      <c r="B720" t="inlineStr">
        <is>
          <t>samrådsanmälan</t>
        </is>
      </c>
      <c r="C720" t="inlineStr">
        <is>
          <t>Askåterföring</t>
        </is>
      </c>
      <c r="D720" s="1" t="n">
        <v>45898</v>
      </c>
      <c r="E720" s="1" t="n">
        <v>46313</v>
      </c>
      <c r="F720" t="inlineStr">
        <is>
          <t>KALMAR LÄN</t>
        </is>
      </c>
      <c r="G720" t="inlineStr">
        <is>
          <t>EMMABODA</t>
        </is>
      </c>
      <c r="I720" t="n">
        <v>16.5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s="2" t="inlineStr"/>
    </row>
    <row r="721" ht="15" customHeight="1">
      <c r="A721" t="inlineStr">
        <is>
          <t>S 2757-2025</t>
        </is>
      </c>
      <c r="B721" t="inlineStr">
        <is>
          <t>samrådsanmälan</t>
        </is>
      </c>
      <c r="C721" t="inlineStr">
        <is>
          <t>Askåterföring</t>
        </is>
      </c>
      <c r="D721" s="1" t="n">
        <v>45935</v>
      </c>
      <c r="E721" s="1" t="n">
        <v>46313</v>
      </c>
      <c r="F721" t="inlineStr">
        <is>
          <t>KALMAR LÄN</t>
        </is>
      </c>
      <c r="G721" t="inlineStr">
        <is>
          <t>EMMABODA</t>
        </is>
      </c>
      <c r="I721" t="n">
        <v>17.8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s="2" t="inlineStr"/>
    </row>
    <row r="722" ht="15" customHeight="1">
      <c r="A722" t="inlineStr">
        <is>
          <t>S 3189-2025</t>
        </is>
      </c>
      <c r="B722" t="inlineStr">
        <is>
          <t>samrådsanmälan</t>
        </is>
      </c>
      <c r="C722" t="inlineStr">
        <is>
          <t>Askåterföring</t>
        </is>
      </c>
      <c r="D722" s="1" t="n">
        <v>45978</v>
      </c>
      <c r="E722" s="1" t="n">
        <v>46313</v>
      </c>
      <c r="F722" t="inlineStr">
        <is>
          <t>KALMAR LÄN</t>
        </is>
      </c>
      <c r="G722" t="inlineStr">
        <is>
          <t>EMMABODA</t>
        </is>
      </c>
      <c r="I722" t="n">
        <v>7.8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s="2" t="inlineStr"/>
    </row>
    <row r="723" ht="15" customHeight="1">
      <c r="A723" t="inlineStr">
        <is>
          <t>S 82-2026</t>
        </is>
      </c>
      <c r="B723" t="inlineStr">
        <is>
          <t>samrådsanmälan</t>
        </is>
      </c>
      <c r="C723" t="inlineStr">
        <is>
          <t>Askåterföring</t>
        </is>
      </c>
      <c r="D723" s="1" t="n">
        <v>46034</v>
      </c>
      <c r="E723" s="1" t="n">
        <v>46313</v>
      </c>
      <c r="F723" t="inlineStr">
        <is>
          <t>KALMAR LÄN</t>
        </is>
      </c>
      <c r="G723" t="inlineStr">
        <is>
          <t>EMMABODA</t>
        </is>
      </c>
      <c r="I723" t="n">
        <v>47.8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s="2" t="inlineStr"/>
    </row>
    <row r="724" ht="15" customHeight="1">
      <c r="A724" t="inlineStr">
        <is>
          <t>S 193-2026</t>
        </is>
      </c>
      <c r="B724" t="inlineStr">
        <is>
          <t>samrådsanmälan</t>
        </is>
      </c>
      <c r="C724" t="inlineStr">
        <is>
          <t>Askåterföring</t>
        </is>
      </c>
      <c r="D724" s="1" t="n">
        <v>46049</v>
      </c>
      <c r="E724" s="1" t="n">
        <v>46313</v>
      </c>
      <c r="F724" t="inlineStr">
        <is>
          <t>KALMAR LÄN</t>
        </is>
      </c>
      <c r="G724" t="inlineStr">
        <is>
          <t>EMMABODA</t>
        </is>
      </c>
      <c r="I724" t="n">
        <v>12.9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s="2" t="inlineStr"/>
    </row>
    <row r="725" ht="15" customHeight="1">
      <c r="A725" t="inlineStr">
        <is>
          <t>S 194-2026</t>
        </is>
      </c>
      <c r="B725" t="inlineStr">
        <is>
          <t>samrådsanmälan</t>
        </is>
      </c>
      <c r="C725" t="inlineStr">
        <is>
          <t>Askåterföring</t>
        </is>
      </c>
      <c r="D725" s="1" t="n">
        <v>46049</v>
      </c>
      <c r="E725" s="1" t="n">
        <v>46313</v>
      </c>
      <c r="F725" t="inlineStr">
        <is>
          <t>KALMAR LÄN</t>
        </is>
      </c>
      <c r="G725" t="inlineStr">
        <is>
          <t>EMMABODA</t>
        </is>
      </c>
      <c r="I725" t="n">
        <v>4.3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s="2" t="inlineStr"/>
    </row>
    <row r="726" ht="15" customHeight="1">
      <c r="A726" t="inlineStr">
        <is>
          <t>S 374-2026</t>
        </is>
      </c>
      <c r="B726" t="inlineStr">
        <is>
          <t>samrådsanmälan</t>
        </is>
      </c>
      <c r="C726" t="inlineStr">
        <is>
          <t>Askåterföring</t>
        </is>
      </c>
      <c r="D726" s="1" t="n">
        <v>46065</v>
      </c>
      <c r="E726" s="1" t="n">
        <v>46313</v>
      </c>
      <c r="F726" t="inlineStr">
        <is>
          <t>KALMAR LÄN</t>
        </is>
      </c>
      <c r="G726" t="inlineStr">
        <is>
          <t>EMMABODA</t>
        </is>
      </c>
      <c r="I726" t="n">
        <v>22.4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s="2" t="inlineStr"/>
    </row>
    <row r="727" ht="15" customHeight="1">
      <c r="A727" t="inlineStr">
        <is>
          <t>S 700-2026</t>
        </is>
      </c>
      <c r="B727" t="inlineStr">
        <is>
          <t>samrådsanmälan</t>
        </is>
      </c>
      <c r="C727" t="inlineStr">
        <is>
          <t>Askåterföring</t>
        </is>
      </c>
      <c r="D727" s="1" t="n">
        <v>46092</v>
      </c>
      <c r="E727" s="1" t="n">
        <v>46313</v>
      </c>
      <c r="F727" t="inlineStr">
        <is>
          <t>KALMAR LÄN</t>
        </is>
      </c>
      <c r="G727" t="inlineStr">
        <is>
          <t>EMMABODA</t>
        </is>
      </c>
      <c r="I727" t="n">
        <v>22.1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s="2" t="inlineStr"/>
    </row>
    <row r="728" ht="15" customHeight="1">
      <c r="A728" t="inlineStr">
        <is>
          <t>S 337-2026</t>
        </is>
      </c>
      <c r="B728" t="inlineStr">
        <is>
          <t>samrådsanmälan</t>
        </is>
      </c>
      <c r="C728" t="inlineStr">
        <is>
          <t>Askåterföring</t>
        </is>
      </c>
      <c r="D728" s="1" t="n">
        <v>46062</v>
      </c>
      <c r="E728" s="1" t="n">
        <v>46313</v>
      </c>
      <c r="F728" t="inlineStr">
        <is>
          <t>KALMAR LÄN</t>
        </is>
      </c>
      <c r="G728" t="inlineStr">
        <is>
          <t>EMMABODA</t>
        </is>
      </c>
      <c r="I728" t="n">
        <v>38.4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s="2" t="inlineStr"/>
    </row>
    <row r="729" ht="15" customHeight="1">
      <c r="A729" t="inlineStr">
        <is>
          <t>S 978-2026</t>
        </is>
      </c>
      <c r="B729" t="inlineStr">
        <is>
          <t>samrådsanmälan</t>
        </is>
      </c>
      <c r="C729" t="inlineStr">
        <is>
          <t>Askåterföring</t>
        </is>
      </c>
      <c r="D729" s="1" t="n">
        <v>46119</v>
      </c>
      <c r="E729" s="1" t="n">
        <v>46313</v>
      </c>
      <c r="F729" t="inlineStr">
        <is>
          <t>KALMAR LÄN</t>
        </is>
      </c>
      <c r="G729" t="inlineStr">
        <is>
          <t>EMMABODA</t>
        </is>
      </c>
      <c r="I729" t="n">
        <v>14.1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s="2" t="inlineStr"/>
    </row>
    <row r="730" ht="15" customHeight="1">
      <c r="A730" t="inlineStr">
        <is>
          <t>S 988-2026</t>
        </is>
      </c>
      <c r="B730" t="inlineStr">
        <is>
          <t>samrådsanmälan</t>
        </is>
      </c>
      <c r="C730" t="inlineStr">
        <is>
          <t>Askåterföring</t>
        </is>
      </c>
      <c r="D730" s="1" t="n">
        <v>46119</v>
      </c>
      <c r="E730" s="1" t="n">
        <v>46313</v>
      </c>
      <c r="F730" t="inlineStr">
        <is>
          <t>KALMAR LÄN</t>
        </is>
      </c>
      <c r="G730" t="inlineStr">
        <is>
          <t>EMMABODA</t>
        </is>
      </c>
      <c r="I730" t="n">
        <v>11.2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s="2" t="inlineStr"/>
    </row>
    <row r="731" ht="15" customHeight="1">
      <c r="A731" t="inlineStr">
        <is>
          <t>S 1058-2026</t>
        </is>
      </c>
      <c r="B731" t="inlineStr">
        <is>
          <t>samrådsanmälan</t>
        </is>
      </c>
      <c r="C731" t="inlineStr">
        <is>
          <t>Annan skogsbruksåtgärd</t>
        </is>
      </c>
      <c r="D731" s="1" t="n">
        <v>46127</v>
      </c>
      <c r="E731" s="1" t="n">
        <v>46313</v>
      </c>
      <c r="F731" t="inlineStr">
        <is>
          <t>KALMAR LÄN</t>
        </is>
      </c>
      <c r="G731" t="inlineStr">
        <is>
          <t>EMMABODA</t>
        </is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s="2" t="inlineStr"/>
    </row>
    <row r="732" ht="15" customHeight="1">
      <c r="A732" t="inlineStr">
        <is>
          <t>S 1527-2026</t>
        </is>
      </c>
      <c r="B732" t="inlineStr">
        <is>
          <t>samrådsanmälan</t>
        </is>
      </c>
      <c r="C732" t="inlineStr">
        <is>
          <t>Askåterföring</t>
        </is>
      </c>
      <c r="D732" s="1" t="n">
        <v>46167</v>
      </c>
      <c r="E732" s="1" t="n">
        <v>46313</v>
      </c>
      <c r="F732" t="inlineStr">
        <is>
          <t>KALMAR LÄN</t>
        </is>
      </c>
      <c r="G732" t="inlineStr">
        <is>
          <t>EMMABODA</t>
        </is>
      </c>
      <c r="I732" t="n">
        <v>12.7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s="2" t="inlineStr"/>
    </row>
    <row r="733" ht="15" customHeight="1">
      <c r="A733" t="inlineStr">
        <is>
          <t>S 1430-2026</t>
        </is>
      </c>
      <c r="B733" t="inlineStr">
        <is>
          <t>samrådsanmälan</t>
        </is>
      </c>
      <c r="C733" t="inlineStr">
        <is>
          <t>Skogsgödsling</t>
        </is>
      </c>
      <c r="D733" s="1" t="n">
        <v>46156</v>
      </c>
      <c r="E733" s="1" t="n">
        <v>46313</v>
      </c>
      <c r="F733" t="inlineStr">
        <is>
          <t>KALMAR LÄN</t>
        </is>
      </c>
      <c r="G733" t="inlineStr">
        <is>
          <t>EMMABODA</t>
        </is>
      </c>
      <c r="I733" t="n">
        <v>17.1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s="2" t="inlineStr"/>
    </row>
    <row r="734" ht="15" customHeight="1">
      <c r="A734" t="inlineStr">
        <is>
          <t>S 1688-2026</t>
        </is>
      </c>
      <c r="B734" t="inlineStr">
        <is>
          <t>samrådsanmälan</t>
        </is>
      </c>
      <c r="C734" t="inlineStr">
        <is>
          <t>Askåterföring</t>
        </is>
      </c>
      <c r="D734" s="1" t="n">
        <v>46183</v>
      </c>
      <c r="E734" s="1" t="n">
        <v>46313</v>
      </c>
      <c r="F734" t="inlineStr">
        <is>
          <t>KALMAR LÄN</t>
        </is>
      </c>
      <c r="G734" t="inlineStr">
        <is>
          <t>EMMABODA</t>
        </is>
      </c>
      <c r="I734" t="n">
        <v>40.2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s="2" t="inlineStr"/>
    </row>
    <row r="735" ht="15" customHeight="1">
      <c r="A735" t="inlineStr">
        <is>
          <t>S 1771-2026</t>
        </is>
      </c>
      <c r="B735" t="inlineStr">
        <is>
          <t>samrådsanmälan</t>
        </is>
      </c>
      <c r="C735" t="inlineStr">
        <is>
          <t>Annan skogsbruksåtgärd</t>
        </is>
      </c>
      <c r="D735" s="1" t="n">
        <v>46191</v>
      </c>
      <c r="E735" s="1" t="n">
        <v>46313</v>
      </c>
      <c r="F735" t="inlineStr">
        <is>
          <t>KALMAR LÄN</t>
        </is>
      </c>
      <c r="G735" t="inlineStr">
        <is>
          <t>EMMABODA</t>
        </is>
      </c>
      <c r="I735" t="n">
        <v>3.2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s="2" t="inlineStr"/>
    </row>
    <row r="736" ht="15" customHeight="1">
      <c r="A736" t="inlineStr">
        <is>
          <t>S 2395-2026</t>
        </is>
      </c>
      <c r="B736" t="inlineStr">
        <is>
          <t>samrådsanmälan</t>
        </is>
      </c>
      <c r="C736" t="inlineStr">
        <is>
          <t>Askåterföring</t>
        </is>
      </c>
      <c r="D736" s="1" t="n">
        <v>46276</v>
      </c>
      <c r="E736" s="1" t="n">
        <v>46313</v>
      </c>
      <c r="F736" t="inlineStr">
        <is>
          <t>KALMAR LÄN</t>
        </is>
      </c>
      <c r="G736" t="inlineStr">
        <is>
          <t>EMMABODA</t>
        </is>
      </c>
      <c r="H736" t="inlineStr">
        <is>
          <t>Kyrkan</t>
        </is>
      </c>
      <c r="I736" t="n">
        <v>113.3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s="2" t="inlineStr"/>
    </row>
    <row r="737" ht="15" customHeight="1">
      <c r="A737" t="inlineStr">
        <is>
          <t>S 2471-2026</t>
        </is>
      </c>
      <c r="B737" t="inlineStr">
        <is>
          <t>samrådsanmälan</t>
        </is>
      </c>
      <c r="C737" t="inlineStr">
        <is>
          <t>Askåterföring</t>
        </is>
      </c>
      <c r="D737" s="1" t="n">
        <v>46283</v>
      </c>
      <c r="E737" s="1" t="n">
        <v>46313</v>
      </c>
      <c r="F737" t="inlineStr">
        <is>
          <t>KALMAR LÄN</t>
        </is>
      </c>
      <c r="G737" t="inlineStr">
        <is>
          <t>EMMABODA</t>
        </is>
      </c>
      <c r="I737" t="n">
        <v>70.90000000000001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s="2" t="inlineStr"/>
    </row>
    <row r="738">
      <c r="A738" t="inlineStr">
        <is>
          <t>S 2480-2026</t>
        </is>
      </c>
      <c r="B738" t="inlineStr">
        <is>
          <t>samrådsanmälan</t>
        </is>
      </c>
      <c r="C738" t="inlineStr">
        <is>
          <t>Askåterföring</t>
        </is>
      </c>
      <c r="D738" s="1" t="n">
        <v>46286</v>
      </c>
      <c r="E738" s="1" t="n">
        <v>46313</v>
      </c>
      <c r="F738" t="inlineStr">
        <is>
          <t>KALMAR LÄN</t>
        </is>
      </c>
      <c r="G738" t="inlineStr">
        <is>
          <t>EMMABODA</t>
        </is>
      </c>
      <c r="I738" t="n">
        <v>23.1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2026-10-18T08:07:59Z</dcterms:created>
  <dcterms:modified xmlns:dcterms="http://purl.org/dc/terms/" xmlns:xsi="http://www.w3.org/2001/XMLSchema-instance" xsi:type="dcterms:W3CDTF">2026-10-18T08:07:59Z</dcterms:modified>
</cp:coreProperties>
</file>