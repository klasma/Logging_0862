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45755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45755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45755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45755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45755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45755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61674-2019</t>
        </is>
      </c>
      <c r="B8" s="1" t="n">
        <v>43784</v>
      </c>
      <c r="C8" s="1" t="n">
        <v>45755</v>
      </c>
      <c r="D8" t="inlineStr">
        <is>
          <t>KALMAR LÄN</t>
        </is>
      </c>
      <c r="E8" t="inlineStr">
        <is>
          <t>EMMABODA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Skogsduva</t>
        </is>
      </c>
      <c r="S8">
        <f>HYPERLINK("https://klasma.github.io/Logging_0862/artfynd/A 61674-2019 artfynd.xlsx", "A 61674-2019")</f>
        <v/>
      </c>
      <c r="T8">
        <f>HYPERLINK("https://klasma.github.io/Logging_0862/kartor/A 61674-2019 karta.png", "A 61674-2019")</f>
        <v/>
      </c>
      <c r="V8">
        <f>HYPERLINK("https://klasma.github.io/Logging_0862/klagomål/A 61674-2019 FSC-klagomål.docx", "A 61674-2019")</f>
        <v/>
      </c>
      <c r="W8">
        <f>HYPERLINK("https://klasma.github.io/Logging_0862/klagomålsmail/A 61674-2019 FSC-klagomål mail.docx", "A 61674-2019")</f>
        <v/>
      </c>
      <c r="X8">
        <f>HYPERLINK("https://klasma.github.io/Logging_0862/tillsyn/A 61674-2019 tillsynsbegäran.docx", "A 61674-2019")</f>
        <v/>
      </c>
      <c r="Y8">
        <f>HYPERLINK("https://klasma.github.io/Logging_0862/tillsynsmail/A 61674-2019 tillsynsbegäran mail.docx", "A 61674-2019")</f>
        <v/>
      </c>
      <c r="Z8">
        <f>HYPERLINK("https://klasma.github.io/Logging_0862/fåglar/A 61674-2019 prioriterade fågelarter.docx", "A 61674-2019")</f>
        <v/>
      </c>
    </row>
    <row r="9" ht="15" customHeight="1">
      <c r="A9" t="inlineStr">
        <is>
          <t>A 37170-2020</t>
        </is>
      </c>
      <c r="B9" s="1" t="n">
        <v>44054</v>
      </c>
      <c r="C9" s="1" t="n">
        <v>45755</v>
      </c>
      <c r="D9" t="inlineStr">
        <is>
          <t>KALMAR LÄN</t>
        </is>
      </c>
      <c r="E9" t="inlineStr">
        <is>
          <t>EMMABODA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37170-2020 artfynd.xlsx", "A 37170-2020")</f>
        <v/>
      </c>
      <c r="T9">
        <f>HYPERLINK("https://klasma.github.io/Logging_0862/kartor/A 37170-2020 karta.png", "A 37170-2020")</f>
        <v/>
      </c>
      <c r="V9">
        <f>HYPERLINK("https://klasma.github.io/Logging_0862/klagomål/A 37170-2020 FSC-klagomål.docx", "A 37170-2020")</f>
        <v/>
      </c>
      <c r="W9">
        <f>HYPERLINK("https://klasma.github.io/Logging_0862/klagomålsmail/A 37170-2020 FSC-klagomål mail.docx", "A 37170-2020")</f>
        <v/>
      </c>
      <c r="X9">
        <f>HYPERLINK("https://klasma.github.io/Logging_0862/tillsyn/A 37170-2020 tillsynsbegäran.docx", "A 37170-2020")</f>
        <v/>
      </c>
      <c r="Y9">
        <f>HYPERLINK("https://klasma.github.io/Logging_0862/tillsynsmail/A 37170-2020 tillsynsbegäran mail.docx", "A 37170-2020")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45755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7490-2021</t>
        </is>
      </c>
      <c r="B11" s="1" t="n">
        <v>44238</v>
      </c>
      <c r="C11" s="1" t="n">
        <v>45755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HYPERLINK("https://klasma.github.io/Logging_0862/artfynd/A 7490-2021 artfynd.xlsx", "A 7490-2021")</f>
        <v/>
      </c>
      <c r="T11">
        <f>HYPERLINK("https://klasma.github.io/Logging_0862/kartor/A 7490-2021 karta.png", "A 7490-2021")</f>
        <v/>
      </c>
      <c r="V11">
        <f>HYPERLINK("https://klasma.github.io/Logging_0862/klagomål/A 7490-2021 FSC-klagomål.docx", "A 7490-2021")</f>
        <v/>
      </c>
      <c r="W11">
        <f>HYPERLINK("https://klasma.github.io/Logging_0862/klagomålsmail/A 7490-2021 FSC-klagomål mail.docx", "A 7490-2021")</f>
        <v/>
      </c>
      <c r="X11">
        <f>HYPERLINK("https://klasma.github.io/Logging_0862/tillsyn/A 7490-2021 tillsynsbegäran.docx", "A 7490-2021")</f>
        <v/>
      </c>
      <c r="Y11">
        <f>HYPERLINK("https://klasma.github.io/Logging_0862/tillsynsmail/A 7490-2021 tillsynsbegäran mail.docx", "A 7490-2021")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45755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45755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45755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45755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45755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6612-2023</t>
        </is>
      </c>
      <c r="B17" s="1" t="n">
        <v>44966</v>
      </c>
      <c r="C17" s="1" t="n">
        <v>45755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9633-2023</t>
        </is>
      </c>
      <c r="B18" s="1" t="n">
        <v>44984</v>
      </c>
      <c r="C18" s="1" t="n">
        <v>45755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45755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38119-2023</t>
        </is>
      </c>
      <c r="B20" s="1" t="n">
        <v>45161</v>
      </c>
      <c r="C20" s="1" t="n">
        <v>45755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38813-2023</t>
        </is>
      </c>
      <c r="B21" s="1" t="n">
        <v>45163</v>
      </c>
      <c r="C21" s="1" t="n">
        <v>45755</v>
      </c>
      <c r="D21" t="inlineStr">
        <is>
          <t>KALMAR LÄN</t>
        </is>
      </c>
      <c r="E21" t="inlineStr">
        <is>
          <t>EMMABODA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38813-2023 artfynd.xlsx", "A 38813-2023")</f>
        <v/>
      </c>
      <c r="T21">
        <f>HYPERLINK("https://klasma.github.io/Logging_0862/kartor/A 38813-2023 karta.png", "A 38813-2023")</f>
        <v/>
      </c>
      <c r="V21">
        <f>HYPERLINK("https://klasma.github.io/Logging_0862/klagomål/A 38813-2023 FSC-klagomål.docx", "A 38813-2023")</f>
        <v/>
      </c>
      <c r="W21">
        <f>HYPERLINK("https://klasma.github.io/Logging_0862/klagomålsmail/A 38813-2023 FSC-klagomål mail.docx", "A 38813-2023")</f>
        <v/>
      </c>
      <c r="X21">
        <f>HYPERLINK("https://klasma.github.io/Logging_0862/tillsyn/A 38813-2023 tillsynsbegäran.docx", "A 38813-2023")</f>
        <v/>
      </c>
      <c r="Y21">
        <f>HYPERLINK("https://klasma.github.io/Logging_0862/tillsynsmail/A 38813-2023 tillsynsbegäran mail.docx", "A 38813-2023")</f>
        <v/>
      </c>
    </row>
    <row r="22" ht="15" customHeight="1">
      <c r="A22" t="inlineStr">
        <is>
          <t>A 51594-2023</t>
        </is>
      </c>
      <c r="B22" s="1" t="n">
        <v>45222</v>
      </c>
      <c r="C22" s="1" t="n">
        <v>45755</v>
      </c>
      <c r="D22" t="inlineStr">
        <is>
          <t>KALMAR LÄN</t>
        </is>
      </c>
      <c r="E22" t="inlineStr">
        <is>
          <t>EMMABODA</t>
        </is>
      </c>
      <c r="G22" t="n">
        <v>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HYPERLINK("https://klasma.github.io/Logging_0862/artfynd/A 51594-2023 artfynd.xlsx", "A 51594-2023")</f>
        <v/>
      </c>
      <c r="T22">
        <f>HYPERLINK("https://klasma.github.io/Logging_0862/kartor/A 51594-2023 karta.png", "A 51594-2023")</f>
        <v/>
      </c>
      <c r="V22">
        <f>HYPERLINK("https://klasma.github.io/Logging_0862/klagomål/A 51594-2023 FSC-klagomål.docx", "A 51594-2023")</f>
        <v/>
      </c>
      <c r="W22">
        <f>HYPERLINK("https://klasma.github.io/Logging_0862/klagomålsmail/A 51594-2023 FSC-klagomål mail.docx", "A 51594-2023")</f>
        <v/>
      </c>
      <c r="X22">
        <f>HYPERLINK("https://klasma.github.io/Logging_0862/tillsyn/A 51594-2023 tillsynsbegäran.docx", "A 51594-2023")</f>
        <v/>
      </c>
      <c r="Y22">
        <f>HYPERLINK("https://klasma.github.io/Logging_0862/tillsynsmail/A 51594-2023 tillsynsbegäran mail.docx", "A 51594-2023")</f>
        <v/>
      </c>
      <c r="Z22">
        <f>HYPERLINK("https://klasma.github.io/Logging_0862/fåglar/A 51594-2023 prioriterade fågelarter.docx", "A 51594-2023")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45755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45755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45755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45755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45755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45755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45755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45755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45755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45755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45755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45755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45755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45755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45755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45755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45755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45755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45755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45755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45755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45755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45755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45755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45755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45755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45755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45755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45755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45755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45755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45755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45755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45755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45755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45755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45755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45755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45755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45755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45755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45755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45755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45755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45755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45755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45755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45755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45755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45755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45755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45755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45755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45755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45755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45755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45755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45755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45755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45755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45755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45755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45755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45755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45755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45755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45755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45755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45755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45755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45755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45755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45755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45755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45755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45755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45755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45755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45755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45755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45755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45755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45755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45755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45755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45755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45755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45755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45755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45755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45755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45755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45755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45755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45755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45755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45755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45755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45755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45755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45755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45755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45755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45755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45755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45755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45755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45755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45755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45755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45755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45755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45755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45755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45755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45755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45755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45755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45755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45755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45755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45755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45755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45755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45755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45755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45755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45755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45755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45755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45755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45755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45755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45755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45755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45755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45755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45755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45755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45755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45755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45755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45755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45755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45755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45755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45755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45755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45755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45755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45755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45755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45755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45755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45755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45755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45755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45755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45755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45755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45755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45755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45755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45755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45755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45755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45755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45755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45755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45755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45755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45755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45755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45755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45755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45755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45755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45755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45755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45755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45755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45755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45755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45755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45755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45755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45755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45755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45755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45755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45755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45755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45755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45755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45755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45755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45755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45755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45755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45755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45755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45755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45755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45755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45755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45755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45755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45755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45755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45755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45755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45755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45755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45755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45755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45755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45755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45755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45755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45755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45755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45755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45755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45755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45755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45755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45755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45755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45755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45755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45755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45755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45755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45755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45755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45755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45755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45755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45755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45755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45755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45755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45755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45755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45755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45755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45755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45755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45755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45755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45755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45755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45755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45755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45755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45755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45755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45755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45755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45755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45755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45755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45755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45755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45755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45755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45755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45755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45755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45755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45755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45755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45755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45755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45755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45755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45755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45755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45755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45755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45755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45755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45755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45755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45755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45755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45755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45755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45755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45755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45755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45755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45755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45755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45755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45755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45755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45755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45755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45755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45755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45755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45755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45755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45755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45755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45755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45755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45755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45755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45755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45755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45755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45755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45755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45755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45755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45755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45755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45755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45755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45755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45755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45755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45755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45755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45755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45755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45755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45755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45755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45755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45755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45755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45755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45755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45755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45755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45755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45755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45755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45755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45755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45755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45755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45755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45755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45755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45755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45755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45755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45755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45755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45755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45755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45755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45755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45755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45755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45755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45755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45755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45755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45755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45755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45755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45755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45755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45755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45755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45755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45755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45755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45755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45755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45755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45755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45755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45755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45755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45755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45755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45755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45755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45755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45755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45755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45755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45755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45755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45755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45755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45755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45755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45755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45755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45755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45755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45755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45755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45755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45755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45755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45755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45755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45755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45755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45755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45755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45755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45755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45755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45755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45755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45755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45755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45755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45755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45755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45755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45755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45755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45755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45755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45755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45755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45755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45755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45755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45755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45755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45755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45755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45755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45755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45755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45755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45755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45755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45755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45755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45755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45755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45755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45755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45755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45755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45755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45755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45755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45755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45755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45755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45755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45755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45755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45755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45755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45755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45755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45755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45755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45755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45755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45755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45755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45755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45755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45755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45755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45755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45755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45755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45755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45755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45755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45755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45755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45755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45755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45755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45755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45755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45755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45755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45755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45755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45755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45755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45755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45755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45755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45755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45755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45755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45755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45755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45755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45755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45755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45755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45755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45755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45755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45755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45755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45755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45755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45755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45755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45755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45755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45755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45755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45755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45755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45755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45755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45755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45755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45755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45755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45755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45755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45755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45755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45755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45755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45755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45755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45755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45755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45755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45755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45755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45755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45755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45755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45755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45755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45755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45755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45755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45755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45755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45755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45755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45755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45755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45755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45755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45755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45755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45755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45755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45755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45755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45755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45755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45755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45755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45755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45755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45755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45755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45755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45755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45755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45755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45755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45755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45755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45755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45755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45755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45755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45755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45755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45755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45755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45755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45755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45755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45755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45755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45755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45755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45755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45755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45755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45755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45755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45755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45755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45755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45755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45755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45755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45755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45755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45755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45755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45755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45755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45755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45755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45755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45755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45755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45755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45755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45755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45755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45755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45755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45755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45755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45755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45755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45755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45755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45755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45755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45755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45755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45755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45755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45755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45755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45755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45755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45755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45755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45755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45755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45755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45755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45755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45755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45755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45755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45755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45755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45755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45755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45755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45755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45755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45755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45755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45755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45755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45755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45755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45755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45755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45755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45755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45755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45755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45755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45755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45755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45755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45755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45755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45755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45755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45755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45755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45755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45755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45755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45755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45755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45755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45755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45755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45755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45755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45755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45755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45755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45755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45755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45755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45755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45755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45755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45755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45755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45755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45755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45755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45755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45755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45755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45755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45755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45755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45755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45755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45755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45755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45755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45755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45755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45755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45755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45755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45755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45755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45755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45755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45755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45755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45755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45755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45755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45755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45755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45755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45755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45755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45755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45755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45755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45755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45755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45755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45755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45755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45755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45755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45755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45755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45755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45755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45755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45755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45755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45755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45755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45755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45755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45755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45755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45755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45755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45755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45755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45755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45755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45755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45755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45755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45755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45755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45755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45755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45755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45755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45755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45755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45755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45755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45755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45755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45755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45755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45755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45755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45755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45755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45755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45755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45755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45755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45755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45755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45755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45755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45755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45755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45755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45755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45755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45755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45755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45755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45755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45755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45755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45755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45755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45755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45755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45755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45755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45755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45755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45755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45755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45755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45755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45755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45755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45755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45755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45755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45755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45755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45755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45755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45755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45755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45755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45755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45755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45755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45755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45755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45755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45755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45755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45755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45755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45755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45755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45755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45755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45755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45755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45755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45755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45755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45755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45755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45755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45755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45755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45755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45755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45755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45755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45755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45755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45755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45755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45755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45755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45755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45755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45755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45755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45755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45755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45755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45755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45755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45755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45755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45755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45755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45755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45755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45755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45755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45755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45755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45755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45755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45755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45755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45755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45755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45755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45755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45755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45755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45755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45755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45755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45755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45755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45755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45755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45755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45755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45755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45755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45755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45755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45755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45755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45755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45755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45755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45755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45755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45755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45755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45755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45755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45755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45755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45755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45755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45755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45755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45755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45755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45755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45755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45755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45755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45755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45755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45755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45755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45755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45755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45755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45755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45755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45755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45755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45755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45755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45755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45755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45755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45755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45755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45755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45755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45755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45755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45755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45755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45755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45755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45755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45755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45755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45755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45755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45755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45755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45755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45755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45755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45755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45755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45755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45755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45755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45755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45755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45755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45755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45755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45755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45755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45755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45755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45755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45755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45755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45755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45755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45755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45755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45755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45755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45755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45755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45755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45755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45755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45755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45755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45755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45755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45755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45755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45755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45755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45755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45755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45755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45755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45755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45755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45755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45755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45755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45755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45755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45755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45755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45755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45755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45755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45755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45755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45755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45755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45755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45755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45755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45755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45755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45755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45755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45755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45755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45755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45755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45755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45755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45755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45755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45755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45755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45755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45755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45755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45755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45755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45755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45755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45755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45755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45755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45755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45755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45755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45755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45755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45755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45755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45755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45755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45755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45755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45755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45755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45755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45755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45755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45755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45755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45755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45755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45755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45755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45755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45755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45755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45755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45755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45755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45755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45755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45755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45755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45755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45755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45755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45755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45755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45755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45755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45755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45755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45755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45755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45755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45755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45755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45755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45755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45755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45755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45755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45755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45755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45755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45755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45755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45755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45755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45755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45755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45755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45755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45755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45755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45755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45755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45755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45755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45755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45755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45755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45755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45755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45755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45755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45755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45755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45755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45755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45755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45755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45755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45755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45755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45755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45755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45755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45755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45755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45755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45755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45755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45755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45755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45755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45755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45755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45755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45755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45755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45755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45755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45755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45755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45755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45755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45755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45755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45755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45755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45755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45755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45755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45755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45755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45755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45755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45755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45755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45755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45755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45755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45755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45755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45755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45755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45755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45755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45755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45755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45755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45755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45755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45755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45755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45755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45755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45755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45755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45755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45755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45755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45755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45755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45755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45755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45755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45755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45755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45755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45755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45755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45755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45755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45755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45755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45755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45755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45755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45755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45755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45755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45755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45755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45755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45755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45755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45755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45755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45755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45755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45755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45755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45755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45755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45755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45755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45755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45755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45755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45755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45755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45755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45755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45755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45755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45755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45755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45755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45755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45755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45755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45755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45755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45755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45755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45755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45755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45755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45755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45755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45755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45755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45755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45755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45755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45755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45755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45755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45755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45755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45755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45755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45755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45755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45755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45755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45755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45755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45755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45755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5020-2025</t>
        </is>
      </c>
      <c r="B1279" s="1" t="n">
        <v>45691</v>
      </c>
      <c r="C1279" s="1" t="n">
        <v>45755</v>
      </c>
      <c r="D1279" t="inlineStr">
        <is>
          <t>KALMAR LÄN</t>
        </is>
      </c>
      <c r="E1279" t="inlineStr">
        <is>
          <t>EMMABODA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5016-2025</t>
        </is>
      </c>
      <c r="B1280" s="1" t="n">
        <v>45691</v>
      </c>
      <c r="C1280" s="1" t="n">
        <v>45755</v>
      </c>
      <c r="D1280" t="inlineStr">
        <is>
          <t>KALMAR LÄN</t>
        </is>
      </c>
      <c r="E1280" t="inlineStr">
        <is>
          <t>EMMABODA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45755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45755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45755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45755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45755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45755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45755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45755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8096-2025</t>
        </is>
      </c>
      <c r="B1289" s="1" t="n">
        <v>45707</v>
      </c>
      <c r="C1289" s="1" t="n">
        <v>45755</v>
      </c>
      <c r="D1289" t="inlineStr">
        <is>
          <t>KALMAR LÄN</t>
        </is>
      </c>
      <c r="E1289" t="inlineStr">
        <is>
          <t>EMMABODA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8112-2025</t>
        </is>
      </c>
      <c r="B1290" s="1" t="n">
        <v>45707</v>
      </c>
      <c r="C1290" s="1" t="n">
        <v>45755</v>
      </c>
      <c r="D1290" t="inlineStr">
        <is>
          <t>KALMAR LÄN</t>
        </is>
      </c>
      <c r="E1290" t="inlineStr">
        <is>
          <t>EMMABODA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8058-2025</t>
        </is>
      </c>
      <c r="B1291" s="1" t="n">
        <v>45707</v>
      </c>
      <c r="C1291" s="1" t="n">
        <v>45755</v>
      </c>
      <c r="D1291" t="inlineStr">
        <is>
          <t>KALMAR LÄN</t>
        </is>
      </c>
      <c r="E1291" t="inlineStr">
        <is>
          <t>EMMABODA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45755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9275-2025</t>
        </is>
      </c>
      <c r="B1293" s="1" t="n">
        <v>45714</v>
      </c>
      <c r="C1293" s="1" t="n">
        <v>45755</v>
      </c>
      <c r="D1293" t="inlineStr">
        <is>
          <t>KALMAR LÄN</t>
        </is>
      </c>
      <c r="E1293" t="inlineStr">
        <is>
          <t>EMMABODA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9273-2025</t>
        </is>
      </c>
      <c r="B1294" s="1" t="n">
        <v>45714</v>
      </c>
      <c r="C1294" s="1" t="n">
        <v>45755</v>
      </c>
      <c r="D1294" t="inlineStr">
        <is>
          <t>KALMAR LÄN</t>
        </is>
      </c>
      <c r="E1294" t="inlineStr">
        <is>
          <t>EMMABODA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9544-2025</t>
        </is>
      </c>
      <c r="B1295" s="1" t="n">
        <v>45714</v>
      </c>
      <c r="C1295" s="1" t="n">
        <v>45755</v>
      </c>
      <c r="D1295" t="inlineStr">
        <is>
          <t>KALMAR LÄN</t>
        </is>
      </c>
      <c r="E1295" t="inlineStr">
        <is>
          <t>EMMABODA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9408-2025</t>
        </is>
      </c>
      <c r="B1296" s="1" t="n">
        <v>45715</v>
      </c>
      <c r="C1296" s="1" t="n">
        <v>45755</v>
      </c>
      <c r="D1296" t="inlineStr">
        <is>
          <t>KALMAR LÄN</t>
        </is>
      </c>
      <c r="E1296" t="inlineStr">
        <is>
          <t>EMMABODA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9417-2025</t>
        </is>
      </c>
      <c r="B1297" s="1" t="n">
        <v>45715</v>
      </c>
      <c r="C1297" s="1" t="n">
        <v>45755</v>
      </c>
      <c r="D1297" t="inlineStr">
        <is>
          <t>KALMAR LÄN</t>
        </is>
      </c>
      <c r="E1297" t="inlineStr">
        <is>
          <t>EMMABODA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9867-2025</t>
        </is>
      </c>
      <c r="B1298" s="1" t="n">
        <v>45716</v>
      </c>
      <c r="C1298" s="1" t="n">
        <v>45755</v>
      </c>
      <c r="D1298" t="inlineStr">
        <is>
          <t>KALMAR LÄN</t>
        </is>
      </c>
      <c r="E1298" t="inlineStr">
        <is>
          <t>EMMABODA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9684-2025</t>
        </is>
      </c>
      <c r="B1299" s="1" t="n">
        <v>45716</v>
      </c>
      <c r="C1299" s="1" t="n">
        <v>45755</v>
      </c>
      <c r="D1299" t="inlineStr">
        <is>
          <t>KALMAR LÄN</t>
        </is>
      </c>
      <c r="E1299" t="inlineStr">
        <is>
          <t>EMMABODA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9681-2025</t>
        </is>
      </c>
      <c r="B1300" s="1" t="n">
        <v>45716</v>
      </c>
      <c r="C1300" s="1" t="n">
        <v>45755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9688-2025</t>
        </is>
      </c>
      <c r="B1301" s="1" t="n">
        <v>45716</v>
      </c>
      <c r="C1301" s="1" t="n">
        <v>45755</v>
      </c>
      <c r="D1301" t="inlineStr">
        <is>
          <t>KALMAR LÄN</t>
        </is>
      </c>
      <c r="E1301" t="inlineStr">
        <is>
          <t>EMMABODA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9715-2025</t>
        </is>
      </c>
      <c r="B1302" s="1" t="n">
        <v>45716</v>
      </c>
      <c r="C1302" s="1" t="n">
        <v>45755</v>
      </c>
      <c r="D1302" t="inlineStr">
        <is>
          <t>KALMAR LÄN</t>
        </is>
      </c>
      <c r="E1302" t="inlineStr">
        <is>
          <t>EMMABODA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9791-2025</t>
        </is>
      </c>
      <c r="B1303" s="1" t="n">
        <v>45716</v>
      </c>
      <c r="C1303" s="1" t="n">
        <v>45755</v>
      </c>
      <c r="D1303" t="inlineStr">
        <is>
          <t>KALMAR LÄN</t>
        </is>
      </c>
      <c r="E1303" t="inlineStr">
        <is>
          <t>EMMABODA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9789-2025</t>
        </is>
      </c>
      <c r="B1304" s="1" t="n">
        <v>45716</v>
      </c>
      <c r="C1304" s="1" t="n">
        <v>45755</v>
      </c>
      <c r="D1304" t="inlineStr">
        <is>
          <t>KALMAR LÄN</t>
        </is>
      </c>
      <c r="E1304" t="inlineStr">
        <is>
          <t>EMMABODA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9864-2025</t>
        </is>
      </c>
      <c r="B1305" s="1" t="n">
        <v>45716</v>
      </c>
      <c r="C1305" s="1" t="n">
        <v>45755</v>
      </c>
      <c r="D1305" t="inlineStr">
        <is>
          <t>KALMAR LÄN</t>
        </is>
      </c>
      <c r="E1305" t="inlineStr">
        <is>
          <t>EMMABODA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10155-2025</t>
        </is>
      </c>
      <c r="B1306" s="1" t="n">
        <v>45719</v>
      </c>
      <c r="C1306" s="1" t="n">
        <v>45755</v>
      </c>
      <c r="D1306" t="inlineStr">
        <is>
          <t>KALMAR LÄN</t>
        </is>
      </c>
      <c r="E1306" t="inlineStr">
        <is>
          <t>EMMABODA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10104-2025</t>
        </is>
      </c>
      <c r="B1307" s="1" t="n">
        <v>45719</v>
      </c>
      <c r="C1307" s="1" t="n">
        <v>45755</v>
      </c>
      <c r="D1307" t="inlineStr">
        <is>
          <t>KALMAR LÄN</t>
        </is>
      </c>
      <c r="E1307" t="inlineStr">
        <is>
          <t>EMMABODA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10040-2025</t>
        </is>
      </c>
      <c r="B1308" s="1" t="n">
        <v>45719</v>
      </c>
      <c r="C1308" s="1" t="n">
        <v>45755</v>
      </c>
      <c r="D1308" t="inlineStr">
        <is>
          <t>KALMAR LÄN</t>
        </is>
      </c>
      <c r="E1308" t="inlineStr">
        <is>
          <t>EMMABODA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10167-2025</t>
        </is>
      </c>
      <c r="B1309" s="1" t="n">
        <v>45719</v>
      </c>
      <c r="C1309" s="1" t="n">
        <v>45755</v>
      </c>
      <c r="D1309" t="inlineStr">
        <is>
          <t>KALMAR LÄN</t>
        </is>
      </c>
      <c r="E1309" t="inlineStr">
        <is>
          <t>EMMABODA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10157-2025</t>
        </is>
      </c>
      <c r="B1310" s="1" t="n">
        <v>45719</v>
      </c>
      <c r="C1310" s="1" t="n">
        <v>45755</v>
      </c>
      <c r="D1310" t="inlineStr">
        <is>
          <t>KALMAR LÄN</t>
        </is>
      </c>
      <c r="E1310" t="inlineStr">
        <is>
          <t>EMMABODA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10875-2025</t>
        </is>
      </c>
      <c r="B1311" s="1" t="n">
        <v>45722</v>
      </c>
      <c r="C1311" s="1" t="n">
        <v>45755</v>
      </c>
      <c r="D1311" t="inlineStr">
        <is>
          <t>KALMAR LÄN</t>
        </is>
      </c>
      <c r="E1311" t="inlineStr">
        <is>
          <t>EMMABODA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10869-2025</t>
        </is>
      </c>
      <c r="B1312" s="1" t="n">
        <v>45722</v>
      </c>
      <c r="C1312" s="1" t="n">
        <v>45755</v>
      </c>
      <c r="D1312" t="inlineStr">
        <is>
          <t>KALMAR LÄN</t>
        </is>
      </c>
      <c r="E1312" t="inlineStr">
        <is>
          <t>EMMABODA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11414-2025</t>
        </is>
      </c>
      <c r="B1313" s="1" t="n">
        <v>45726</v>
      </c>
      <c r="C1313" s="1" t="n">
        <v>45755</v>
      </c>
      <c r="D1313" t="inlineStr">
        <is>
          <t>KALMAR LÄN</t>
        </is>
      </c>
      <c r="E1313" t="inlineStr">
        <is>
          <t>EMMABODA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11503-2025</t>
        </is>
      </c>
      <c r="B1314" s="1" t="n">
        <v>45726</v>
      </c>
      <c r="C1314" s="1" t="n">
        <v>45755</v>
      </c>
      <c r="D1314" t="inlineStr">
        <is>
          <t>KALMAR LÄN</t>
        </is>
      </c>
      <c r="E1314" t="inlineStr">
        <is>
          <t>EMMABODA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11504-2025</t>
        </is>
      </c>
      <c r="B1315" s="1" t="n">
        <v>45726</v>
      </c>
      <c r="C1315" s="1" t="n">
        <v>45755</v>
      </c>
      <c r="D1315" t="inlineStr">
        <is>
          <t>KALMAR LÄN</t>
        </is>
      </c>
      <c r="E1315" t="inlineStr">
        <is>
          <t>EMMABODA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11616-2025</t>
        </is>
      </c>
      <c r="B1316" s="1" t="n">
        <v>45727</v>
      </c>
      <c r="C1316" s="1" t="n">
        <v>45755</v>
      </c>
      <c r="D1316" t="inlineStr">
        <is>
          <t>KALMAR LÄN</t>
        </is>
      </c>
      <c r="E1316" t="inlineStr">
        <is>
          <t>EMMABODA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11621-2025</t>
        </is>
      </c>
      <c r="B1317" s="1" t="n">
        <v>45727</v>
      </c>
      <c r="C1317" s="1" t="n">
        <v>45755</v>
      </c>
      <c r="D1317" t="inlineStr">
        <is>
          <t>KALMAR LÄN</t>
        </is>
      </c>
      <c r="E1317" t="inlineStr">
        <is>
          <t>EMMABODA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11758-2025</t>
        </is>
      </c>
      <c r="B1318" s="1" t="n">
        <v>45727</v>
      </c>
      <c r="C1318" s="1" t="n">
        <v>45755</v>
      </c>
      <c r="D1318" t="inlineStr">
        <is>
          <t>KALMAR LÄN</t>
        </is>
      </c>
      <c r="E1318" t="inlineStr">
        <is>
          <t>EMMABODA</t>
        </is>
      </c>
      <c r="G1318" t="n">
        <v>9.300000000000001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11876-2025</t>
        </is>
      </c>
      <c r="B1319" s="1" t="n">
        <v>45728</v>
      </c>
      <c r="C1319" s="1" t="n">
        <v>45755</v>
      </c>
      <c r="D1319" t="inlineStr">
        <is>
          <t>KALMAR LÄN</t>
        </is>
      </c>
      <c r="E1319" t="inlineStr">
        <is>
          <t>EMMABODA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12383-2025</t>
        </is>
      </c>
      <c r="B1320" s="1" t="n">
        <v>45730</v>
      </c>
      <c r="C1320" s="1" t="n">
        <v>45755</v>
      </c>
      <c r="D1320" t="inlineStr">
        <is>
          <t>KALMAR LÄN</t>
        </is>
      </c>
      <c r="E1320" t="inlineStr">
        <is>
          <t>EMMABODA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12468-2025</t>
        </is>
      </c>
      <c r="B1321" s="1" t="n">
        <v>45730</v>
      </c>
      <c r="C1321" s="1" t="n">
        <v>45755</v>
      </c>
      <c r="D1321" t="inlineStr">
        <is>
          <t>KALMAR LÄN</t>
        </is>
      </c>
      <c r="E1321" t="inlineStr">
        <is>
          <t>EMMABODA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12884-2025</t>
        </is>
      </c>
      <c r="B1322" s="1" t="n">
        <v>45733</v>
      </c>
      <c r="C1322" s="1" t="n">
        <v>45755</v>
      </c>
      <c r="D1322" t="inlineStr">
        <is>
          <t>KALMAR LÄN</t>
        </is>
      </c>
      <c r="E1322" t="inlineStr">
        <is>
          <t>EMMABODA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13361-2025</t>
        </is>
      </c>
      <c r="B1323" s="1" t="n">
        <v>45735</v>
      </c>
      <c r="C1323" s="1" t="n">
        <v>45755</v>
      </c>
      <c r="D1323" t="inlineStr">
        <is>
          <t>KALMAR LÄN</t>
        </is>
      </c>
      <c r="E1323" t="inlineStr">
        <is>
          <t>EMMABODA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13244-2025</t>
        </is>
      </c>
      <c r="B1324" s="1" t="n">
        <v>45735</v>
      </c>
      <c r="C1324" s="1" t="n">
        <v>45755</v>
      </c>
      <c r="D1324" t="inlineStr">
        <is>
          <t>KALMAR LÄN</t>
        </is>
      </c>
      <c r="E1324" t="inlineStr">
        <is>
          <t>EMMABODA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13564-2025</t>
        </is>
      </c>
      <c r="B1325" s="1" t="n">
        <v>45736</v>
      </c>
      <c r="C1325" s="1" t="n">
        <v>45755</v>
      </c>
      <c r="D1325" t="inlineStr">
        <is>
          <t>KALMAR LÄN</t>
        </is>
      </c>
      <c r="E1325" t="inlineStr">
        <is>
          <t>EMMABODA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14035-2025</t>
        </is>
      </c>
      <c r="B1326" s="1" t="n">
        <v>45740</v>
      </c>
      <c r="C1326" s="1" t="n">
        <v>45755</v>
      </c>
      <c r="D1326" t="inlineStr">
        <is>
          <t>KALMAR LÄN</t>
        </is>
      </c>
      <c r="E1326" t="inlineStr">
        <is>
          <t>EMMABODA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14163-2025</t>
        </is>
      </c>
      <c r="B1327" s="1" t="n">
        <v>45740</v>
      </c>
      <c r="C1327" s="1" t="n">
        <v>45755</v>
      </c>
      <c r="D1327" t="inlineStr">
        <is>
          <t>KALMAR LÄN</t>
        </is>
      </c>
      <c r="E1327" t="inlineStr">
        <is>
          <t>EMMABODA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14167-2025</t>
        </is>
      </c>
      <c r="B1328" s="1" t="n">
        <v>45740</v>
      </c>
      <c r="C1328" s="1" t="n">
        <v>45755</v>
      </c>
      <c r="D1328" t="inlineStr">
        <is>
          <t>KALMAR LÄN</t>
        </is>
      </c>
      <c r="E1328" t="inlineStr">
        <is>
          <t>EMMABODA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14160-2025</t>
        </is>
      </c>
      <c r="B1329" s="1" t="n">
        <v>45740</v>
      </c>
      <c r="C1329" s="1" t="n">
        <v>45755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14547-2025</t>
        </is>
      </c>
      <c r="B1330" s="1" t="n">
        <v>45741</v>
      </c>
      <c r="C1330" s="1" t="n">
        <v>45755</v>
      </c>
      <c r="D1330" t="inlineStr">
        <is>
          <t>KALMAR LÄN</t>
        </is>
      </c>
      <c r="E1330" t="inlineStr">
        <is>
          <t>EMMABODA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14791-2025</t>
        </is>
      </c>
      <c r="B1331" s="1" t="n">
        <v>45742</v>
      </c>
      <c r="C1331" s="1" t="n">
        <v>45755</v>
      </c>
      <c r="D1331" t="inlineStr">
        <is>
          <t>KALMAR LÄN</t>
        </is>
      </c>
      <c r="E1331" t="inlineStr">
        <is>
          <t>EMMABODA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14792-2025</t>
        </is>
      </c>
      <c r="B1332" s="1" t="n">
        <v>45742</v>
      </c>
      <c r="C1332" s="1" t="n">
        <v>45755</v>
      </c>
      <c r="D1332" t="inlineStr">
        <is>
          <t>KALMAR LÄN</t>
        </is>
      </c>
      <c r="E1332" t="inlineStr">
        <is>
          <t>EMMABODA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14880-2025</t>
        </is>
      </c>
      <c r="B1333" s="1" t="n">
        <v>45743</v>
      </c>
      <c r="C1333" s="1" t="n">
        <v>45755</v>
      </c>
      <c r="D1333" t="inlineStr">
        <is>
          <t>KALMAR LÄN</t>
        </is>
      </c>
      <c r="E1333" t="inlineStr">
        <is>
          <t>EMMABODA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14962-2025</t>
        </is>
      </c>
      <c r="B1334" s="1" t="n">
        <v>45743</v>
      </c>
      <c r="C1334" s="1" t="n">
        <v>45755</v>
      </c>
      <c r="D1334" t="inlineStr">
        <is>
          <t>KALMAR LÄN</t>
        </is>
      </c>
      <c r="E1334" t="inlineStr">
        <is>
          <t>EMMABODA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14970-2025</t>
        </is>
      </c>
      <c r="B1335" s="1" t="n">
        <v>45743</v>
      </c>
      <c r="C1335" s="1" t="n">
        <v>45755</v>
      </c>
      <c r="D1335" t="inlineStr">
        <is>
          <t>KALMAR LÄN</t>
        </is>
      </c>
      <c r="E1335" t="inlineStr">
        <is>
          <t>EMMABODA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15913-2025</t>
        </is>
      </c>
      <c r="B1336" s="1" t="n">
        <v>45749</v>
      </c>
      <c r="C1336" s="1" t="n">
        <v>45755</v>
      </c>
      <c r="D1336" t="inlineStr">
        <is>
          <t>KALMAR LÄN</t>
        </is>
      </c>
      <c r="E1336" t="inlineStr">
        <is>
          <t>EMMABODA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15898-2025</t>
        </is>
      </c>
      <c r="B1337" s="1" t="n">
        <v>45749</v>
      </c>
      <c r="C1337" s="1" t="n">
        <v>45755</v>
      </c>
      <c r="D1337" t="inlineStr">
        <is>
          <t>KALMAR LÄN</t>
        </is>
      </c>
      <c r="E1337" t="inlineStr">
        <is>
          <t>EMMABODA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16273-2025</t>
        </is>
      </c>
      <c r="B1338" s="1" t="n">
        <v>45751</v>
      </c>
      <c r="C1338" s="1" t="n">
        <v>45755</v>
      </c>
      <c r="D1338" t="inlineStr">
        <is>
          <t>KALMAR LÄN</t>
        </is>
      </c>
      <c r="E1338" t="inlineStr">
        <is>
          <t>EMMABODA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16432-2025</t>
        </is>
      </c>
      <c r="B1339" s="1" t="n">
        <v>45751</v>
      </c>
      <c r="C1339" s="1" t="n">
        <v>45755</v>
      </c>
      <c r="D1339" t="inlineStr">
        <is>
          <t>KALMAR LÄN</t>
        </is>
      </c>
      <c r="E1339" t="inlineStr">
        <is>
          <t>EMMABODA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16361-2025</t>
        </is>
      </c>
      <c r="B1340" s="1" t="n">
        <v>45751</v>
      </c>
      <c r="C1340" s="1" t="n">
        <v>45755</v>
      </c>
      <c r="D1340" t="inlineStr">
        <is>
          <t>KALMAR LÄN</t>
        </is>
      </c>
      <c r="E1340" t="inlineStr">
        <is>
          <t>EMMABODA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>
      <c r="A1341" t="inlineStr">
        <is>
          <t>A 16427-2025</t>
        </is>
      </c>
      <c r="B1341" s="1" t="n">
        <v>45751</v>
      </c>
      <c r="C1341" s="1" t="n">
        <v>45755</v>
      </c>
      <c r="D1341" t="inlineStr">
        <is>
          <t>KALMAR LÄN</t>
        </is>
      </c>
      <c r="E1341" t="inlineStr">
        <is>
          <t>EMMABODA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2025-04-08T16:51:09Z</dcterms:created>
  <dcterms:modified xmlns:dcterms="http://purl.org/dc/terms/" xmlns:xsi="http://www.w3.org/2001/XMLSchema-instance" xsi:type="dcterms:W3CDTF">2025-04-08T16:51:11Z</dcterms:modified>
</cp:coreProperties>
</file>