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46299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46299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46299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46299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46299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46299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46299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46299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46299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46299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46299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46299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46299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30597-2022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44762</v>
      </c>
      <c r="E20" s="1" t="n">
        <v>46299</v>
      </c>
      <c r="F20" t="inlineStr">
        <is>
          <t>KALMAR LÄN</t>
        </is>
      </c>
      <c r="G20" t="inlineStr">
        <is>
          <t>EMMABODA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HYPERLINK("https://klasma.github.io/Logging_0862/artfynd/A 30597-2022 artfynd.xlsx", "A 30597-2022")</f>
        <v/>
      </c>
      <c r="X20">
        <f>HYPERLINK("https://klasma.github.io/Logging_0862/kartor/A 30597-2022 karta.png", "A 30597-2022")</f>
        <v/>
      </c>
      <c r="Y20">
        <f>HYPERLINK("https://klasma.github.io/Logging_0862/kartor_geotiff/A 30597-2022 georefererad karta.tif", "A 30597-2022")</f>
        <v/>
      </c>
      <c r="AA20">
        <f>HYPERLINK("https://klasma.github.io/Logging_0862/klagomål/A 30597-2022 FSC-klagomål.docx", "A 30597-2022")</f>
        <v/>
      </c>
      <c r="AB20">
        <f>HYPERLINK("https://klasma.github.io/Logging_0862/klagomålsmail/A 30597-2022 FSC-klagomål mail.docx", "A 30597-2022")</f>
        <v/>
      </c>
      <c r="AC20">
        <f>HYPERLINK("https://klasma.github.io/Logging_0862/tillsyn/A 30597-2022 tillsynsbegäran.docx", "A 30597-2022")</f>
        <v/>
      </c>
      <c r="AD20">
        <f>HYPERLINK("https://klasma.github.io/Logging_0862/tillsynsmail/A 30597-2022 tillsynsbegäran mail.docx", "A 30597-2022")</f>
        <v/>
      </c>
    </row>
    <row r="21" ht="15" customHeight="1">
      <c r="A21" t="inlineStr">
        <is>
          <t>A 58883-2022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46299</v>
      </c>
      <c r="F21" t="inlineStr">
        <is>
          <t>KALMAR LÄN</t>
        </is>
      </c>
      <c r="G21" t="inlineStr">
        <is>
          <t>EMMABODA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Blåmossa</t>
        </is>
      </c>
      <c r="W21">
        <f>HYPERLINK("https://klasma.github.io/Logging_0862/artfynd/A 58883-2022 artfynd.xlsx", "A 58883-2022")</f>
        <v/>
      </c>
      <c r="X21">
        <f>HYPERLINK("https://klasma.github.io/Logging_0862/kartor/A 58883-2022 karta.png", "A 58883-2022")</f>
        <v/>
      </c>
      <c r="Y21">
        <f>HYPERLINK("https://klasma.github.io/Logging_0862/kartor_geotiff/A 58883-2022 georefererad karta.tif", "A 58883-2022")</f>
        <v/>
      </c>
      <c r="AA21">
        <f>HYPERLINK("https://klasma.github.io/Logging_0862/klagomål/A 58883-2022 FSC-klagomål.docx", "A 58883-2022")</f>
        <v/>
      </c>
      <c r="AB21">
        <f>HYPERLINK("https://klasma.github.io/Logging_0862/klagomålsmail/A 58883-2022 FSC-klagomål mail.docx", "A 58883-2022")</f>
        <v/>
      </c>
      <c r="AC21">
        <f>HYPERLINK("https://klasma.github.io/Logging_0862/tillsyn/A 58883-2022 tillsynsbegäran.docx", "A 58883-2022")</f>
        <v/>
      </c>
      <c r="AD21">
        <f>HYPERLINK("https://klasma.github.io/Logging_0862/tillsynsmail/A 58883-2022 tillsynsbegäran mail.docx", "A 58883-2022")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46299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6612-2023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44966</v>
      </c>
      <c r="E23" s="1" t="n">
        <v>46299</v>
      </c>
      <c r="F23" t="inlineStr">
        <is>
          <t>KALMAR LÄN</t>
        </is>
      </c>
      <c r="G23" t="inlineStr">
        <is>
          <t>EMMABODA</t>
        </is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HYPERLINK("https://klasma.github.io/Logging_0862/artfynd/A 6612-2023 artfynd.xlsx", "A 6612-2023")</f>
        <v/>
      </c>
      <c r="X23">
        <f>HYPERLINK("https://klasma.github.io/Logging_0862/kartor/A 6612-2023 karta.png", "A 6612-2023")</f>
        <v/>
      </c>
      <c r="Y23">
        <f>HYPERLINK("https://klasma.github.io/Logging_0862/kartor_geotiff/A 6612-2023 georefererad karta.tif", "A 6612-2023")</f>
        <v/>
      </c>
      <c r="AA23">
        <f>HYPERLINK("https://klasma.github.io/Logging_0862/klagomål/A 6612-2023 FSC-klagomål.docx", "A 6612-2023")</f>
        <v/>
      </c>
      <c r="AB23">
        <f>HYPERLINK("https://klasma.github.io/Logging_0862/klagomålsmail/A 6612-2023 FSC-klagomål mail.docx", "A 6612-2023")</f>
        <v/>
      </c>
      <c r="AC23">
        <f>HYPERLINK("https://klasma.github.io/Logging_0862/tillsyn/A 6612-2023 tillsynsbegäran.docx", "A 6612-2023")</f>
        <v/>
      </c>
      <c r="AD23">
        <f>HYPERLINK("https://klasma.github.io/Logging_0862/tillsynsmail/A 6612-2023 tillsynsbegäran mail.docx", "A 6612-2023")</f>
        <v/>
      </c>
    </row>
    <row r="24" ht="15" customHeight="1">
      <c r="A24" t="inlineStr">
        <is>
          <t>A 24282-2025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45797</v>
      </c>
      <c r="E24" s="1" t="n">
        <v>46299</v>
      </c>
      <c r="F24" t="inlineStr">
        <is>
          <t>KALMAR LÄN</t>
        </is>
      </c>
      <c r="G24" t="inlineStr">
        <is>
          <t>EMMABODA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HYPERLINK("https://klasma.github.io/Logging_0862/artfynd/A 24282-2025 artfynd.xlsx", "A 24282-2025")</f>
        <v/>
      </c>
      <c r="X24">
        <f>HYPERLINK("https://klasma.github.io/Logging_0862/kartor/A 24282-2025 karta.png", "A 24282-2025")</f>
        <v/>
      </c>
      <c r="Y24">
        <f>HYPERLINK("https://klasma.github.io/Logging_0862/kartor_geotiff/A 24282-2025 georefererad karta.tif", "A 24282-2025")</f>
        <v/>
      </c>
      <c r="AA24">
        <f>HYPERLINK("https://klasma.github.io/Logging_0862/klagomål/A 24282-2025 FSC-klagomål.docx", "A 24282-2025")</f>
        <v/>
      </c>
      <c r="AB24">
        <f>HYPERLINK("https://klasma.github.io/Logging_0862/klagomålsmail/A 24282-2025 FSC-klagomål mail.docx", "A 24282-2025")</f>
        <v/>
      </c>
      <c r="AC24">
        <f>HYPERLINK("https://klasma.github.io/Logging_0862/tillsyn/A 24282-2025 tillsynsbegäran.docx", "A 24282-2025")</f>
        <v/>
      </c>
      <c r="AD24">
        <f>HYPERLINK("https://klasma.github.io/Logging_0862/tillsynsmail/A 24282-2025 tillsynsbegäran mail.docx", "A 24282-2025")</f>
        <v/>
      </c>
      <c r="AE24">
        <f>HYPERLINK("https://klasma.github.io/Logging_0862/fåglar/A 24282-2025 prioriterade fågelarter.docx", "A 24282-2025")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46299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46299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46299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46299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46299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46299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46299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46299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5884-2024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46299</v>
      </c>
      <c r="F33" t="inlineStr">
        <is>
          <t>KALMAR LÄN</t>
        </is>
      </c>
      <c r="G33" t="inlineStr">
        <is>
          <t>EMMABODA</t>
        </is>
      </c>
      <c r="I33" t="n">
        <v>4.7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HYPERLINK("https://klasma.github.io/Logging_0862/artfynd/A 5884-2024 artfynd.xlsx", "A 5884-2024")</f>
        <v/>
      </c>
      <c r="X33">
        <f>HYPERLINK("https://klasma.github.io/Logging_0862/kartor/A 5884-2024 karta.png", "A 5884-2024")</f>
        <v/>
      </c>
      <c r="Y33">
        <f>HYPERLINK("https://klasma.github.io/Logging_0862/kartor_geotiff/A 5884-2024 georefererad karta.tif", "A 5884-2024")</f>
        <v/>
      </c>
      <c r="AA33">
        <f>HYPERLINK("https://klasma.github.io/Logging_0862/klagomål/A 5884-2024 FSC-klagomål.docx", "A 5884-2024")</f>
        <v/>
      </c>
      <c r="AB33">
        <f>HYPERLINK("https://klasma.github.io/Logging_0862/klagomålsmail/A 5884-2024 FSC-klagomål mail.docx", "A 5884-2024")</f>
        <v/>
      </c>
      <c r="AC33">
        <f>HYPERLINK("https://klasma.github.io/Logging_0862/tillsyn/A 5884-2024 tillsynsbegäran.docx", "A 5884-2024")</f>
        <v/>
      </c>
      <c r="AD33">
        <f>HYPERLINK("https://klasma.github.io/Logging_0862/tillsynsmail/A 5884-2024 tillsynsbegäran mail.docx", "A 5884-2024")</f>
        <v/>
      </c>
    </row>
    <row r="34" ht="15" customHeight="1">
      <c r="A34" t="inlineStr">
        <is>
          <t>A 38119-2023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45161</v>
      </c>
      <c r="E34" s="1" t="n">
        <v>46299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38119-2023 artfynd.xlsx", "A 38119-2023")</f>
        <v/>
      </c>
      <c r="X34">
        <f>HYPERLINK("https://klasma.github.io/Logging_0862/kartor/A 38119-2023 karta.png", "A 38119-2023")</f>
        <v/>
      </c>
      <c r="Y34">
        <f>HYPERLINK("https://klasma.github.io/Logging_0862/kartor_geotiff/A 38119-2023 georefererad karta.tif", "A 38119-2023")</f>
        <v/>
      </c>
      <c r="AA34">
        <f>HYPERLINK("https://klasma.github.io/Logging_0862/klagomål/A 38119-2023 FSC-klagomål.docx", "A 38119-2023")</f>
        <v/>
      </c>
      <c r="AB34">
        <f>HYPERLINK("https://klasma.github.io/Logging_0862/klagomålsmail/A 38119-2023 FSC-klagomål mail.docx", "A 38119-2023")</f>
        <v/>
      </c>
      <c r="AC34">
        <f>HYPERLINK("https://klasma.github.io/Logging_0862/tillsyn/A 38119-2023 tillsynsbegäran.docx", "A 38119-2023")</f>
        <v/>
      </c>
      <c r="AD34">
        <f>HYPERLINK("https://klasma.github.io/Logging_0862/tillsynsmail/A 38119-2023 tillsynsbegäran mail.docx", "A 38119-2023")</f>
        <v/>
      </c>
    </row>
    <row r="35" ht="15" customHeight="1">
      <c r="A35" t="inlineStr">
        <is>
          <t>A 21846-2023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46299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21846-2023 artfynd.xlsx", "A 21846-2023")</f>
        <v/>
      </c>
      <c r="X35">
        <f>HYPERLINK("https://klasma.github.io/Logging_0862/kartor/A 21846-2023 karta.png", "A 21846-2023")</f>
        <v/>
      </c>
      <c r="Y35">
        <f>HYPERLINK("https://klasma.github.io/Logging_0862/kartor_geotiff/A 21846-2023 georefererad karta.tif", "A 21846-2023")</f>
        <v/>
      </c>
      <c r="AA35">
        <f>HYPERLINK("https://klasma.github.io/Logging_0862/klagomål/A 21846-2023 FSC-klagomål.docx", "A 21846-2023")</f>
        <v/>
      </c>
      <c r="AB35">
        <f>HYPERLINK("https://klasma.github.io/Logging_0862/klagomålsmail/A 21846-2023 FSC-klagomål mail.docx", "A 21846-2023")</f>
        <v/>
      </c>
      <c r="AC35">
        <f>HYPERLINK("https://klasma.github.io/Logging_0862/tillsyn/A 21846-2023 tillsynsbegäran.docx", "A 21846-2023")</f>
        <v/>
      </c>
      <c r="AD35">
        <f>HYPERLINK("https://klasma.github.io/Logging_0862/tillsynsmail/A 21846-2023 tillsynsbegäran mail.docx", "A 21846-2023")</f>
        <v/>
      </c>
    </row>
    <row r="36" ht="15" customHeight="1">
      <c r="A36" t="inlineStr">
        <is>
          <t>A 31226-2022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44771</v>
      </c>
      <c r="E36" s="1" t="n">
        <v>46299</v>
      </c>
      <c r="F36" t="inlineStr">
        <is>
          <t>KALMAR LÄN</t>
        </is>
      </c>
      <c r="G36" t="inlineStr">
        <is>
          <t>EMMABODA</t>
        </is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Lappuggla</t>
        </is>
      </c>
      <c r="W36">
        <f>HYPERLINK("https://klasma.github.io/Logging_0862/artfynd/A 31226-2022 artfynd.xlsx", "A 31226-2022")</f>
        <v/>
      </c>
      <c r="X36">
        <f>HYPERLINK("https://klasma.github.io/Logging_0862/kartor/A 31226-2022 karta.png", "A 31226-2022")</f>
        <v/>
      </c>
      <c r="Y36">
        <f>HYPERLINK("https://klasma.github.io/Logging_0862/kartor_geotiff/A 31226-2022 georefererad karta.tif", "A 31226-2022")</f>
        <v/>
      </c>
      <c r="AA36">
        <f>HYPERLINK("https://klasma.github.io/Logging_0862/klagomål/A 31226-2022 FSC-klagomål.docx", "A 31226-2022")</f>
        <v/>
      </c>
      <c r="AB36">
        <f>HYPERLINK("https://klasma.github.io/Logging_0862/klagomålsmail/A 31226-2022 FSC-klagomål mail.docx", "A 31226-2022")</f>
        <v/>
      </c>
      <c r="AC36">
        <f>HYPERLINK("https://klasma.github.io/Logging_0862/tillsyn/A 31226-2022 tillsynsbegäran.docx", "A 31226-2022")</f>
        <v/>
      </c>
      <c r="AD36">
        <f>HYPERLINK("https://klasma.github.io/Logging_0862/tillsynsmail/A 31226-2022 tillsynsbegäran mail.docx", "A 31226-2022")</f>
        <v/>
      </c>
      <c r="AE36">
        <f>HYPERLINK("https://klasma.github.io/Logging_0862/fåglar/A 31226-2022 prioriterade fågelarter.docx", "A 31226-2022")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46299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46299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31261-2026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46299</v>
      </c>
      <c r="F39" t="inlineStr">
        <is>
          <t>KALMAR LÄN</t>
        </is>
      </c>
      <c r="G39" t="inlineStr">
        <is>
          <t>EMMABODA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Stubbspretmossa</t>
        </is>
      </c>
      <c r="W39">
        <f>HYPERLINK("https://klasma.github.io/Logging_0862/artfynd/A 31261-2026 artfynd.xlsx", "A 31261-2026")</f>
        <v/>
      </c>
      <c r="X39">
        <f>HYPERLINK("https://klasma.github.io/Logging_0862/kartor/A 31261-2026 karta.png", "A 31261-2026")</f>
        <v/>
      </c>
      <c r="Y39">
        <f>HYPERLINK("https://klasma.github.io/Logging_0862/kartor_geotiff/A 31261-2026 georefererad karta.tif", "A 31261-2026")</f>
        <v/>
      </c>
      <c r="AA39">
        <f>HYPERLINK("https://klasma.github.io/Logging_0862/klagomål/A 31261-2026 FSC-klagomål.docx", "A 31261-2026")</f>
        <v/>
      </c>
      <c r="AB39">
        <f>HYPERLINK("https://klasma.github.io/Logging_0862/klagomålsmail/A 31261-2026 FSC-klagomål mail.docx", "A 31261-2026")</f>
        <v/>
      </c>
      <c r="AC39">
        <f>HYPERLINK("https://klasma.github.io/Logging_0862/tillsyn/A 31261-2026 tillsynsbegäran.docx", "A 31261-2026")</f>
        <v/>
      </c>
      <c r="AD39">
        <f>HYPERLINK("https://klasma.github.io/Logging_0862/tillsynsmail/A 31261-2026 tillsynsbegäran mail.docx", "A 31261-2026")</f>
        <v/>
      </c>
    </row>
    <row r="40" ht="15" customHeight="1">
      <c r="A40" t="inlineStr">
        <is>
          <t>A 38379-2026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46299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38379-2026 artfynd.xlsx", "A 38379-2026")</f>
        <v/>
      </c>
      <c r="X40">
        <f>HYPERLINK("https://klasma.github.io/Logging_0862/kartor/A 38379-2026 karta.png", "A 38379-2026")</f>
        <v/>
      </c>
      <c r="Y40">
        <f>HYPERLINK("https://klasma.github.io/Logging_0862/kartor_geotiff/A 38379-2026 georefererad karta.tif", "A 38379-2026")</f>
        <v/>
      </c>
      <c r="AA40">
        <f>HYPERLINK("https://klasma.github.io/Logging_0862/klagomål/A 38379-2026 FSC-klagomål.docx", "A 38379-2026")</f>
        <v/>
      </c>
      <c r="AB40">
        <f>HYPERLINK("https://klasma.github.io/Logging_0862/klagomålsmail/A 38379-2026 FSC-klagomål mail.docx", "A 38379-2026")</f>
        <v/>
      </c>
      <c r="AC40">
        <f>HYPERLINK("https://klasma.github.io/Logging_0862/tillsyn/A 38379-2026 tillsynsbegäran.docx", "A 38379-2026")</f>
        <v/>
      </c>
      <c r="AD40">
        <f>HYPERLINK("https://klasma.github.io/Logging_0862/tillsynsmail/A 38379-2026 tillsynsbegäran mail.docx", "A 38379-2026")</f>
        <v/>
      </c>
    </row>
    <row r="41" ht="15" customHeight="1">
      <c r="A41" t="inlineStr">
        <is>
          <t>A 6247-2026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46299</v>
      </c>
      <c r="F41" t="inlineStr">
        <is>
          <t>KALMAR LÄN</t>
        </is>
      </c>
      <c r="G41" t="inlineStr">
        <is>
          <t>EMMABODA</t>
        </is>
      </c>
      <c r="I41" t="n">
        <v>1.2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HYPERLINK("https://klasma.github.io/Logging_0862/artfynd/A 6247-2026 artfynd.xlsx", "A 6247-2026")</f>
        <v/>
      </c>
      <c r="X41">
        <f>HYPERLINK("https://klasma.github.io/Logging_0862/kartor/A 6247-2026 karta.png", "A 6247-2026")</f>
        <v/>
      </c>
      <c r="Y41">
        <f>HYPERLINK("https://klasma.github.io/Logging_0862/kartor_geotiff/A 6247-2026 georefererad karta.tif", "A 6247-2026")</f>
        <v/>
      </c>
      <c r="AA41">
        <f>HYPERLINK("https://klasma.github.io/Logging_0862/klagomål/A 6247-2026 FSC-klagomål.docx", "A 6247-2026")</f>
        <v/>
      </c>
      <c r="AB41">
        <f>HYPERLINK("https://klasma.github.io/Logging_0862/klagomålsmail/A 6247-2026 FSC-klagomål mail.docx", "A 6247-2026")</f>
        <v/>
      </c>
      <c r="AC41">
        <f>HYPERLINK("https://klasma.github.io/Logging_0862/tillsyn/A 6247-2026 tillsynsbegäran.docx", "A 6247-2026")</f>
        <v/>
      </c>
      <c r="AD41">
        <f>HYPERLINK("https://klasma.github.io/Logging_0862/tillsynsmail/A 6247-2026 tillsynsbegäran mail.docx", "A 6247-2026")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46299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29859-2023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46299</v>
      </c>
      <c r="F43" t="inlineStr">
        <is>
          <t>KALMAR LÄN</t>
        </is>
      </c>
      <c r="G43" t="inlineStr">
        <is>
          <t>EMMABODA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HYPERLINK("https://klasma.github.io/Logging_0862/artfynd/A 29859-2023 artfynd.xlsx", "A 29859-2023")</f>
        <v/>
      </c>
      <c r="X43">
        <f>HYPERLINK("https://klasma.github.io/Logging_0862/kartor/A 29859-2023 karta.png", "A 29859-2023")</f>
        <v/>
      </c>
      <c r="Y43">
        <f>HYPERLINK("https://klasma.github.io/Logging_0862/kartor_geotiff/A 29859-2023 georefererad karta.tif", "A 29859-2023")</f>
        <v/>
      </c>
      <c r="AA43">
        <f>HYPERLINK("https://klasma.github.io/Logging_0862/klagomål/A 29859-2023 FSC-klagomål.docx", "A 29859-2023")</f>
        <v/>
      </c>
      <c r="AB43">
        <f>HYPERLINK("https://klasma.github.io/Logging_0862/klagomålsmail/A 29859-2023 FSC-klagomål mail.docx", "A 29859-2023")</f>
        <v/>
      </c>
      <c r="AC43">
        <f>HYPERLINK("https://klasma.github.io/Logging_0862/tillsyn/A 29859-2023 tillsynsbegäran.docx", "A 29859-2023")</f>
        <v/>
      </c>
      <c r="AD43">
        <f>HYPERLINK("https://klasma.github.io/Logging_0862/tillsynsmail/A 29859-2023 tillsynsbegäran mail.docx", "A 29859-2023")</f>
        <v/>
      </c>
      <c r="AE43">
        <f>HYPERLINK("https://klasma.github.io/Logging_0862/fåglar/A 29859-2023 prioriterade fågelarter.docx", "A 29859-2023")</f>
        <v/>
      </c>
    </row>
    <row r="44" ht="15" customHeight="1">
      <c r="A44" t="inlineStr">
        <is>
          <t>A 60257-2021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44495</v>
      </c>
      <c r="E44" s="1" t="n">
        <v>46299</v>
      </c>
      <c r="F44" t="inlineStr">
        <is>
          <t>KALMAR LÄN</t>
        </is>
      </c>
      <c r="G44" t="inlineStr">
        <is>
          <t>EMMABODA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Knärot</t>
        </is>
      </c>
      <c r="W44">
        <f>HYPERLINK("https://klasma.github.io/Logging_0862/artfynd/A 60257-2021 artfynd.xlsx", "A 60257-2021")</f>
        <v/>
      </c>
      <c r="X44">
        <f>HYPERLINK("https://klasma.github.io/Logging_0862/kartor/A 60257-2021 karta.png", "A 60257-2021")</f>
        <v/>
      </c>
      <c r="Y44">
        <f>HYPERLINK("https://klasma.github.io/Logging_0862/kartor_geotiff/A 60257-2021 georefererad karta.tif", "A 60257-2021")</f>
        <v/>
      </c>
      <c r="Z44">
        <f>HYPERLINK("https://klasma.github.io/Logging_0862/knärot/A 60257-2021 karta knärot.png", "A 60257-2021")</f>
        <v/>
      </c>
      <c r="AA44">
        <f>HYPERLINK("https://klasma.github.io/Logging_0862/klagomål/A 60257-2021 FSC-klagomål.docx", "A 60257-2021")</f>
        <v/>
      </c>
      <c r="AB44">
        <f>HYPERLINK("https://klasma.github.io/Logging_0862/klagomålsmail/A 60257-2021 FSC-klagomål mail.docx", "A 60257-2021")</f>
        <v/>
      </c>
      <c r="AC44">
        <f>HYPERLINK("https://klasma.github.io/Logging_0862/tillsyn/A 60257-2021 tillsynsbegäran.docx", "A 60257-2021")</f>
        <v/>
      </c>
      <c r="AD44">
        <f>HYPERLINK("https://klasma.github.io/Logging_0862/tillsynsmail/A 60257-2021 tillsynsbegäran mail.docx", "A 60257-2021")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46299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46299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46299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46299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46299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46299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46299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46299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46299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46299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46299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46299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46299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46299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46299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46299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46299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46299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46299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46299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46299</v>
      </c>
      <c r="F65" t="inlineStr">
        <is>
          <t>KALMAR LÄN</t>
        </is>
      </c>
      <c r="G65" t="inlineStr">
        <is>
          <t>EMMABODA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46299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46299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46299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46299</v>
      </c>
      <c r="F69" t="inlineStr">
        <is>
          <t>KALMAR LÄN</t>
        </is>
      </c>
      <c r="G69" t="inlineStr">
        <is>
          <t>EMMABODA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46299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46299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46299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46299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46299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46299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46299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46299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46299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46299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46299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46299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46299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46299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46299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46299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46299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46299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46299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46299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46299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46299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46299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46299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46299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63181-2021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46299</v>
      </c>
      <c r="F95" t="inlineStr">
        <is>
          <t>KALMAR LÄN</t>
        </is>
      </c>
      <c r="G95" t="inlineStr">
        <is>
          <t>EMMABODA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46299</v>
      </c>
      <c r="F96" t="inlineStr">
        <is>
          <t>KALMAR LÄN</t>
        </is>
      </c>
      <c r="G96" t="inlineStr">
        <is>
          <t>EMMABODA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46299</v>
      </c>
      <c r="F97" t="inlineStr">
        <is>
          <t>KALMAR LÄN</t>
        </is>
      </c>
      <c r="G97" t="inlineStr">
        <is>
          <t>EMMABODA</t>
        </is>
      </c>
      <c r="H97" t="inlineStr">
        <is>
          <t>Kommuner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46299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46299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46299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46299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46299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46299</v>
      </c>
      <c r="F103" t="inlineStr">
        <is>
          <t>KALMAR LÄN</t>
        </is>
      </c>
      <c r="G103" t="inlineStr">
        <is>
          <t>EMMABODA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46299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9052-2022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46299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44622</v>
      </c>
      <c r="E106" s="1" t="n">
        <v>46299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46299</v>
      </c>
      <c r="F107" t="inlineStr">
        <is>
          <t>KALMAR LÄN</t>
        </is>
      </c>
      <c r="G107" t="inlineStr">
        <is>
          <t>EMMABODA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46299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46299</v>
      </c>
      <c r="F109" t="inlineStr">
        <is>
          <t>KALMAR LÄN</t>
        </is>
      </c>
      <c r="G109" t="inlineStr">
        <is>
          <t>EMMABODA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46299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46299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46299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46299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20504-2022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44699</v>
      </c>
      <c r="E114" s="1" t="n">
        <v>46299</v>
      </c>
      <c r="F114" t="inlineStr">
        <is>
          <t>KALMAR LÄN</t>
        </is>
      </c>
      <c r="G114" t="inlineStr">
        <is>
          <t>EMMABODA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40934-2022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46299</v>
      </c>
      <c r="F115" t="inlineStr">
        <is>
          <t>KALMAR LÄN</t>
        </is>
      </c>
      <c r="G115" t="inlineStr">
        <is>
          <t>EMMABODA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46299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46299</v>
      </c>
      <c r="F117" t="inlineStr">
        <is>
          <t>KALMAR LÄN</t>
        </is>
      </c>
      <c r="G117" t="inlineStr">
        <is>
          <t>EMMABODA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46299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44589</v>
      </c>
      <c r="E119" s="1" t="n">
        <v>46299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46299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46299</v>
      </c>
      <c r="F121" t="inlineStr">
        <is>
          <t>KALMAR LÄN</t>
        </is>
      </c>
      <c r="G121" t="inlineStr">
        <is>
          <t>EMMABODA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46299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44725</v>
      </c>
      <c r="E123" s="1" t="n">
        <v>46299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46299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68952-2021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44530</v>
      </c>
      <c r="E125" s="1" t="n">
        <v>46299</v>
      </c>
      <c r="F125" t="inlineStr">
        <is>
          <t>KALMAR LÄN</t>
        </is>
      </c>
      <c r="G125" t="inlineStr">
        <is>
          <t>EMMABODA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44980</v>
      </c>
      <c r="E126" s="1" t="n">
        <v>46299</v>
      </c>
      <c r="F126" t="inlineStr">
        <is>
          <t>KALMAR LÄN</t>
        </is>
      </c>
      <c r="G126" t="inlineStr">
        <is>
          <t>EMMABODA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46299</v>
      </c>
      <c r="F127" t="inlineStr">
        <is>
          <t>KALMAR LÄN</t>
        </is>
      </c>
      <c r="G127" t="inlineStr">
        <is>
          <t>EMMABODA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46299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45445</v>
      </c>
      <c r="E129" s="1" t="n">
        <v>46299</v>
      </c>
      <c r="F129" t="inlineStr">
        <is>
          <t>KALMAR LÄN</t>
        </is>
      </c>
      <c r="G129" t="inlineStr">
        <is>
          <t>EMMABODA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44953</v>
      </c>
      <c r="E130" s="1" t="n">
        <v>46299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46299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58689-2023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46299</v>
      </c>
      <c r="F132" t="inlineStr">
        <is>
          <t>KALMAR LÄN</t>
        </is>
      </c>
      <c r="G132" t="inlineStr">
        <is>
          <t>EMMABODA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18947-2022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46299</v>
      </c>
      <c r="F133" t="inlineStr">
        <is>
          <t>KALMAR LÄN</t>
        </is>
      </c>
      <c r="G133" t="inlineStr">
        <is>
          <t>EMMABODA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24228-2023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45079</v>
      </c>
      <c r="E134" s="1" t="n">
        <v>46299</v>
      </c>
      <c r="F134" t="inlineStr">
        <is>
          <t>KALMAR LÄN</t>
        </is>
      </c>
      <c r="G134" t="inlineStr">
        <is>
          <t>EMMABODA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45211</v>
      </c>
      <c r="E135" s="1" t="n">
        <v>46299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46299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58156-2021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46299</v>
      </c>
      <c r="F137" t="inlineStr">
        <is>
          <t>KALMAR LÄN</t>
        </is>
      </c>
      <c r="G137" t="inlineStr">
        <is>
          <t>EMMABODA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46299</v>
      </c>
      <c r="F138" t="inlineStr">
        <is>
          <t>KALMAR LÄN</t>
        </is>
      </c>
      <c r="G138" t="inlineStr">
        <is>
          <t>EMMABODA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46299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46299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46299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17975-2023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46299</v>
      </c>
      <c r="F142" t="inlineStr">
        <is>
          <t>KALMAR LÄN</t>
        </is>
      </c>
      <c r="G142" t="inlineStr">
        <is>
          <t>EMMABODA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45606</v>
      </c>
      <c r="E143" s="1" t="n">
        <v>46299</v>
      </c>
      <c r="F143" t="inlineStr">
        <is>
          <t>KALMAR LÄN</t>
        </is>
      </c>
      <c r="G143" t="inlineStr">
        <is>
          <t>EMMABODA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46299</v>
      </c>
      <c r="F144" t="inlineStr">
        <is>
          <t>KALMAR LÄN</t>
        </is>
      </c>
      <c r="G144" t="inlineStr">
        <is>
          <t>EMMABODA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46299</v>
      </c>
      <c r="F145" t="inlineStr">
        <is>
          <t>KALMAR LÄN</t>
        </is>
      </c>
      <c r="G145" t="inlineStr">
        <is>
          <t>EMMABODA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46299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46299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46299</v>
      </c>
      <c r="F148" t="inlineStr">
        <is>
          <t>KALMAR LÄN</t>
        </is>
      </c>
      <c r="G148" t="inlineStr">
        <is>
          <t>EMMABODA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45219</v>
      </c>
      <c r="E149" s="1" t="n">
        <v>46299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46299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46299</v>
      </c>
      <c r="F151" t="inlineStr">
        <is>
          <t>KALMAR LÄN</t>
        </is>
      </c>
      <c r="G151" t="inlineStr">
        <is>
          <t>EMMABODA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46299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19395-2023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46299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46299</v>
      </c>
      <c r="F154" t="inlineStr">
        <is>
          <t>KALMAR LÄN</t>
        </is>
      </c>
      <c r="G154" t="inlineStr">
        <is>
          <t>EMMABODA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45230</v>
      </c>
      <c r="E155" s="1" t="n">
        <v>46299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46299</v>
      </c>
      <c r="F156" t="inlineStr">
        <is>
          <t>KALMAR LÄN</t>
        </is>
      </c>
      <c r="G156" t="inlineStr">
        <is>
          <t>EMMABODA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45566</v>
      </c>
      <c r="E157" s="1" t="n">
        <v>46299</v>
      </c>
      <c r="F157" t="inlineStr">
        <is>
          <t>KALMAR LÄN</t>
        </is>
      </c>
      <c r="G157" t="inlineStr">
        <is>
          <t>EMMABODA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46299</v>
      </c>
      <c r="F158" t="inlineStr">
        <is>
          <t>KALMAR LÄN</t>
        </is>
      </c>
      <c r="G158" t="inlineStr">
        <is>
          <t>EMMABODA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45609</v>
      </c>
      <c r="E159" s="1" t="n">
        <v>46299</v>
      </c>
      <c r="F159" t="inlineStr">
        <is>
          <t>KALMAR LÄN</t>
        </is>
      </c>
      <c r="G159" t="inlineStr">
        <is>
          <t>EMMABODA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46299</v>
      </c>
      <c r="F160" t="inlineStr">
        <is>
          <t>KALMAR LÄN</t>
        </is>
      </c>
      <c r="G160" t="inlineStr">
        <is>
          <t>EMMABODA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46299</v>
      </c>
      <c r="F161" t="inlineStr">
        <is>
          <t>KALMAR LÄN</t>
        </is>
      </c>
      <c r="G161" t="inlineStr">
        <is>
          <t>EMMABODA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46299</v>
      </c>
      <c r="F162" t="inlineStr">
        <is>
          <t>KALMAR LÄN</t>
        </is>
      </c>
      <c r="G162" t="inlineStr">
        <is>
          <t>EMMABODA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46299</v>
      </c>
      <c r="F163" t="inlineStr">
        <is>
          <t>KALMAR LÄN</t>
        </is>
      </c>
      <c r="G163" t="inlineStr">
        <is>
          <t>EMMABODA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46299</v>
      </c>
      <c r="F164" t="inlineStr">
        <is>
          <t>KALMAR LÄN</t>
        </is>
      </c>
      <c r="G164" t="inlineStr">
        <is>
          <t>EMMABODA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45019</v>
      </c>
      <c r="E165" s="1" t="n">
        <v>46299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46299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46299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46299</v>
      </c>
      <c r="F168" t="inlineStr">
        <is>
          <t>KALMAR LÄN</t>
        </is>
      </c>
      <c r="G168" t="inlineStr">
        <is>
          <t>EMMABODA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46299</v>
      </c>
      <c r="F169" t="inlineStr">
        <is>
          <t>KALMAR LÄN</t>
        </is>
      </c>
      <c r="G169" t="inlineStr">
        <is>
          <t>EMMABODA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66658-2021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46299</v>
      </c>
      <c r="F170" t="inlineStr">
        <is>
          <t>KALMAR LÄN</t>
        </is>
      </c>
      <c r="G170" t="inlineStr">
        <is>
          <t>EMMABODA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46299</v>
      </c>
      <c r="F171" t="inlineStr">
        <is>
          <t>KALMAR LÄN</t>
        </is>
      </c>
      <c r="G171" t="inlineStr">
        <is>
          <t>EMMABODA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46299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46299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45309</v>
      </c>
      <c r="E174" s="1" t="n">
        <v>46299</v>
      </c>
      <c r="F174" t="inlineStr">
        <is>
          <t>KALMAR LÄN</t>
        </is>
      </c>
      <c r="G174" t="inlineStr">
        <is>
          <t>EMMABODA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46299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46299</v>
      </c>
      <c r="F176" t="inlineStr">
        <is>
          <t>KALMAR LÄN</t>
        </is>
      </c>
      <c r="G176" t="inlineStr">
        <is>
          <t>EMMABODA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44683</v>
      </c>
      <c r="E177" s="1" t="n">
        <v>46299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46299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45665</v>
      </c>
      <c r="E179" s="1" t="n">
        <v>46299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46299</v>
      </c>
      <c r="F180" t="inlineStr">
        <is>
          <t>KALMAR LÄN</t>
        </is>
      </c>
      <c r="G180" t="inlineStr">
        <is>
          <t>EMMABODA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46299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46024</v>
      </c>
      <c r="E182" s="1" t="n">
        <v>46299</v>
      </c>
      <c r="F182" t="inlineStr">
        <is>
          <t>KALMAR LÄN</t>
        </is>
      </c>
      <c r="G182" t="inlineStr">
        <is>
          <t>EMMABODA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46299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46299</v>
      </c>
      <c r="F184" t="inlineStr">
        <is>
          <t>KALMAR LÄN</t>
        </is>
      </c>
      <c r="G184" t="inlineStr">
        <is>
          <t>EMMABODA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45164</v>
      </c>
      <c r="E185" s="1" t="n">
        <v>46299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46299</v>
      </c>
      <c r="F186" t="inlineStr">
        <is>
          <t>KALMAR LÄN</t>
        </is>
      </c>
      <c r="G186" t="inlineStr">
        <is>
          <t>EMMABODA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46299</v>
      </c>
      <c r="F187" t="inlineStr">
        <is>
          <t>KALMAR LÄN</t>
        </is>
      </c>
      <c r="G187" t="inlineStr">
        <is>
          <t>EMMABODA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45475</v>
      </c>
      <c r="E188" s="1" t="n">
        <v>46299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46299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45394</v>
      </c>
      <c r="E190" s="1" t="n">
        <v>46299</v>
      </c>
      <c r="F190" t="inlineStr">
        <is>
          <t>KALMAR LÄN</t>
        </is>
      </c>
      <c r="G190" t="inlineStr">
        <is>
          <t>EMMABODA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46299</v>
      </c>
      <c r="F191" t="inlineStr">
        <is>
          <t>KALMAR LÄN</t>
        </is>
      </c>
      <c r="G191" t="inlineStr">
        <is>
          <t>EMMABODA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44949</v>
      </c>
      <c r="E192" s="1" t="n">
        <v>46299</v>
      </c>
      <c r="F192" t="inlineStr">
        <is>
          <t>KALMAR LÄN</t>
        </is>
      </c>
      <c r="G192" t="inlineStr">
        <is>
          <t>EMMABODA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46299</v>
      </c>
      <c r="F193" t="inlineStr">
        <is>
          <t>KALMAR LÄN</t>
        </is>
      </c>
      <c r="G193" t="inlineStr">
        <is>
          <t>EMMABODA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45355</v>
      </c>
      <c r="E194" s="1" t="n">
        <v>46299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46299</v>
      </c>
      <c r="F195" t="inlineStr">
        <is>
          <t>KALMAR LÄN</t>
        </is>
      </c>
      <c r="G195" t="inlineStr">
        <is>
          <t>EMMABODA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45422</v>
      </c>
      <c r="E196" s="1" t="n">
        <v>46299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46299</v>
      </c>
      <c r="F197" t="inlineStr">
        <is>
          <t>KALMAR LÄN</t>
        </is>
      </c>
      <c r="G197" t="inlineStr">
        <is>
          <t>EMMABODA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46299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46299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44834</v>
      </c>
      <c r="E200" s="1" t="n">
        <v>46299</v>
      </c>
      <c r="F200" t="inlineStr">
        <is>
          <t>KALMAR LÄN</t>
        </is>
      </c>
      <c r="G200" t="inlineStr">
        <is>
          <t>EMMABODA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45681</v>
      </c>
      <c r="E201" s="1" t="n">
        <v>46299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46299</v>
      </c>
      <c r="F202" t="inlineStr">
        <is>
          <t>KALMAR LÄN</t>
        </is>
      </c>
      <c r="G202" t="inlineStr">
        <is>
          <t>EMMABODA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46299</v>
      </c>
      <c r="F203" t="inlineStr">
        <is>
          <t>KALMAR LÄN</t>
        </is>
      </c>
      <c r="G203" t="inlineStr">
        <is>
          <t>EMMABODA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44791</v>
      </c>
      <c r="E204" s="1" t="n">
        <v>46299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46299</v>
      </c>
      <c r="F205" t="inlineStr">
        <is>
          <t>KALMAR LÄN</t>
        </is>
      </c>
      <c r="G205" t="inlineStr">
        <is>
          <t>EMMABODA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46299</v>
      </c>
      <c r="F206" t="inlineStr">
        <is>
          <t>KALMAR LÄN</t>
        </is>
      </c>
      <c r="G206" t="inlineStr">
        <is>
          <t>EMMABODA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46299</v>
      </c>
      <c r="F207" t="inlineStr">
        <is>
          <t>KALMAR LÄN</t>
        </is>
      </c>
      <c r="G207" t="inlineStr">
        <is>
          <t>EMMABODA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46299</v>
      </c>
      <c r="F208" t="inlineStr">
        <is>
          <t>KALMAR LÄN</t>
        </is>
      </c>
      <c r="G208" t="inlineStr">
        <is>
          <t>EMMABODA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46299</v>
      </c>
      <c r="F209" t="inlineStr">
        <is>
          <t>KALMAR LÄN</t>
        </is>
      </c>
      <c r="G209" t="inlineStr">
        <is>
          <t>EMMABODA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46299</v>
      </c>
      <c r="F210" t="inlineStr">
        <is>
          <t>KALMAR LÄN</t>
        </is>
      </c>
      <c r="G210" t="inlineStr">
        <is>
          <t>EMMABODA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45665</v>
      </c>
      <c r="E211" s="1" t="n">
        <v>46299</v>
      </c>
      <c r="F211" t="inlineStr">
        <is>
          <t>KALMAR LÄN</t>
        </is>
      </c>
      <c r="G211" t="inlineStr">
        <is>
          <t>EMMABODA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8397-2023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44977</v>
      </c>
      <c r="E212" s="1" t="n">
        <v>46299</v>
      </c>
      <c r="F212" t="inlineStr">
        <is>
          <t>KALMAR LÄN</t>
        </is>
      </c>
      <c r="G212" t="inlineStr">
        <is>
          <t>EMMABODA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46299</v>
      </c>
      <c r="F213" t="inlineStr">
        <is>
          <t>KALMAR LÄN</t>
        </is>
      </c>
      <c r="G213" t="inlineStr">
        <is>
          <t>EMMABODA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46299</v>
      </c>
      <c r="F214" t="inlineStr">
        <is>
          <t>KALMAR LÄN</t>
        </is>
      </c>
      <c r="G214" t="inlineStr">
        <is>
          <t>EMMABODA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46299</v>
      </c>
      <c r="F215" t="inlineStr">
        <is>
          <t>KALMAR LÄN</t>
        </is>
      </c>
      <c r="G215" t="inlineStr">
        <is>
          <t>EMMABODA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46299</v>
      </c>
      <c r="F216" t="inlineStr">
        <is>
          <t>KALMAR LÄN</t>
        </is>
      </c>
      <c r="G216" t="inlineStr">
        <is>
          <t>EMMABODA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45804</v>
      </c>
      <c r="E217" s="1" t="n">
        <v>46299</v>
      </c>
      <c r="F217" t="inlineStr">
        <is>
          <t>KALMAR LÄN</t>
        </is>
      </c>
      <c r="G217" t="inlineStr">
        <is>
          <t>EMMABODA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46055</v>
      </c>
      <c r="E218" s="1" t="n">
        <v>46299</v>
      </c>
      <c r="F218" t="inlineStr">
        <is>
          <t>KALMAR LÄN</t>
        </is>
      </c>
      <c r="G218" t="inlineStr">
        <is>
          <t>EMMABODA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45349</v>
      </c>
      <c r="E219" s="1" t="n">
        <v>46299</v>
      </c>
      <c r="F219" t="inlineStr">
        <is>
          <t>KALMAR LÄN</t>
        </is>
      </c>
      <c r="G219" t="inlineStr">
        <is>
          <t>EMMABODA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45306-2025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45921</v>
      </c>
      <c r="E220" s="1" t="n">
        <v>46299</v>
      </c>
      <c r="F220" t="inlineStr">
        <is>
          <t>KALMAR LÄN</t>
        </is>
      </c>
      <c r="G220" t="inlineStr">
        <is>
          <t>EMMABODA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58136-2021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46299</v>
      </c>
      <c r="F221" t="inlineStr">
        <is>
          <t>KALMAR LÄN</t>
        </is>
      </c>
      <c r="G221" t="inlineStr">
        <is>
          <t>EMMABODA</t>
        </is>
      </c>
      <c r="H221" t="inlineStr">
        <is>
          <t>Kommuner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46299</v>
      </c>
      <c r="F222" t="inlineStr">
        <is>
          <t>KALMAR LÄN</t>
        </is>
      </c>
      <c r="G222" t="inlineStr">
        <is>
          <t>EMMABODA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46299</v>
      </c>
      <c r="F223" t="inlineStr">
        <is>
          <t>KALMAR LÄN</t>
        </is>
      </c>
      <c r="G223" t="inlineStr">
        <is>
          <t>EMMABODA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44600</v>
      </c>
      <c r="E224" s="1" t="n">
        <v>46299</v>
      </c>
      <c r="F224" t="inlineStr">
        <is>
          <t>KALMAR LÄN</t>
        </is>
      </c>
      <c r="G224" t="inlineStr">
        <is>
          <t>EMMABODA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45415</v>
      </c>
      <c r="E225" s="1" t="n">
        <v>46299</v>
      </c>
      <c r="F225" t="inlineStr">
        <is>
          <t>KALMAR LÄN</t>
        </is>
      </c>
      <c r="G225" t="inlineStr">
        <is>
          <t>EMMABODA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46299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46299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46299</v>
      </c>
      <c r="F228" t="inlineStr">
        <is>
          <t>KALMAR LÄN</t>
        </is>
      </c>
      <c r="G228" t="inlineStr">
        <is>
          <t>EMMABODA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45323</v>
      </c>
      <c r="E229" s="1" t="n">
        <v>46299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46299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46299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45475</v>
      </c>
      <c r="E232" s="1" t="n">
        <v>46299</v>
      </c>
      <c r="F232" t="inlineStr">
        <is>
          <t>KALMAR LÄN</t>
        </is>
      </c>
      <c r="G232" t="inlineStr">
        <is>
          <t>EMMABODA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46299</v>
      </c>
      <c r="F233" t="inlineStr">
        <is>
          <t>KALMAR LÄN</t>
        </is>
      </c>
      <c r="G233" t="inlineStr">
        <is>
          <t>EMMABODA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46299</v>
      </c>
      <c r="F234" t="inlineStr">
        <is>
          <t>KALMAR LÄN</t>
        </is>
      </c>
      <c r="G234" t="inlineStr">
        <is>
          <t>EMMABODA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46299</v>
      </c>
      <c r="F235" t="inlineStr">
        <is>
          <t>KALMAR LÄN</t>
        </is>
      </c>
      <c r="G235" t="inlineStr">
        <is>
          <t>EMMABODA</t>
        </is>
      </c>
      <c r="H235" t="inlineStr">
        <is>
          <t>Kyrkan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45037</v>
      </c>
      <c r="E236" s="1" t="n">
        <v>46299</v>
      </c>
      <c r="F236" t="inlineStr">
        <is>
          <t>KALMAR LÄN</t>
        </is>
      </c>
      <c r="G236" t="inlineStr">
        <is>
          <t>EMMABODA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18946-2022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44690</v>
      </c>
      <c r="E237" s="1" t="n">
        <v>46299</v>
      </c>
      <c r="F237" t="inlineStr">
        <is>
          <t>KALMAR LÄN</t>
        </is>
      </c>
      <c r="G237" t="inlineStr">
        <is>
          <t>EMMABODA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46299</v>
      </c>
      <c r="F238" t="inlineStr">
        <is>
          <t>KALMAR LÄN</t>
        </is>
      </c>
      <c r="G238" t="inlineStr">
        <is>
          <t>EMMABODA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46299</v>
      </c>
      <c r="F239" t="inlineStr">
        <is>
          <t>KALMAR LÄN</t>
        </is>
      </c>
      <c r="G239" t="inlineStr">
        <is>
          <t>EMMABODA</t>
        </is>
      </c>
      <c r="H239" t="inlineStr">
        <is>
          <t>Kyrkan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46299</v>
      </c>
      <c r="F240" t="inlineStr">
        <is>
          <t>KALMAR LÄN</t>
        </is>
      </c>
      <c r="G240" t="inlineStr">
        <is>
          <t>EMMABODA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46299</v>
      </c>
      <c r="F241" t="inlineStr">
        <is>
          <t>KALMAR LÄN</t>
        </is>
      </c>
      <c r="G241" t="inlineStr">
        <is>
          <t>EMMABODA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45641</v>
      </c>
      <c r="E242" s="1" t="n">
        <v>46299</v>
      </c>
      <c r="F242" t="inlineStr">
        <is>
          <t>KALMAR LÄN</t>
        </is>
      </c>
      <c r="G242" t="inlineStr">
        <is>
          <t>EMMABODA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44593</v>
      </c>
      <c r="E243" s="1" t="n">
        <v>46299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46299</v>
      </c>
      <c r="F244" t="inlineStr">
        <is>
          <t>KALMAR LÄN</t>
        </is>
      </c>
      <c r="G244" t="inlineStr">
        <is>
          <t>EMMABODA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46299</v>
      </c>
      <c r="F245" t="inlineStr">
        <is>
          <t>KALMAR LÄN</t>
        </is>
      </c>
      <c r="G245" t="inlineStr">
        <is>
          <t>EMMABODA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44504</v>
      </c>
      <c r="E246" s="1" t="n">
        <v>46299</v>
      </c>
      <c r="F246" t="inlineStr">
        <is>
          <t>KALMAR LÄN</t>
        </is>
      </c>
      <c r="G246" t="inlineStr">
        <is>
          <t>EMMABODA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46299</v>
      </c>
      <c r="F247" t="inlineStr">
        <is>
          <t>KALMAR LÄN</t>
        </is>
      </c>
      <c r="G247" t="inlineStr">
        <is>
          <t>EMMABODA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46299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46299</v>
      </c>
      <c r="F249" t="inlineStr">
        <is>
          <t>KALMAR LÄN</t>
        </is>
      </c>
      <c r="G249" t="inlineStr">
        <is>
          <t>EMMABODA</t>
        </is>
      </c>
      <c r="H249" t="inlineStr">
        <is>
          <t>Kyrkan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46299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45126</v>
      </c>
      <c r="E251" s="1" t="n">
        <v>46299</v>
      </c>
      <c r="F251" t="inlineStr">
        <is>
          <t>KALMAR LÄN</t>
        </is>
      </c>
      <c r="G251" t="inlineStr">
        <is>
          <t>EMMABODA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46078</v>
      </c>
      <c r="E252" s="1" t="n">
        <v>46299</v>
      </c>
      <c r="F252" t="inlineStr">
        <is>
          <t>KALMAR LÄN</t>
        </is>
      </c>
      <c r="G252" t="inlineStr">
        <is>
          <t>EMMABODA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35522-2022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44799</v>
      </c>
      <c r="E253" s="1" t="n">
        <v>46299</v>
      </c>
      <c r="F253" t="inlineStr">
        <is>
          <t>KALMAR LÄN</t>
        </is>
      </c>
      <c r="G253" t="inlineStr">
        <is>
          <t>EMMABODA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37060-2023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45155</v>
      </c>
      <c r="E254" s="1" t="n">
        <v>46299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46299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46299</v>
      </c>
      <c r="F256" t="inlineStr">
        <is>
          <t>KALMAR LÄN</t>
        </is>
      </c>
      <c r="G256" t="inlineStr">
        <is>
          <t>EMMABODA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46299</v>
      </c>
      <c r="F257" t="inlineStr">
        <is>
          <t>KALMAR LÄN</t>
        </is>
      </c>
      <c r="G257" t="inlineStr">
        <is>
          <t>EMMABODA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41441-2025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46299</v>
      </c>
      <c r="F258" t="inlineStr">
        <is>
          <t>KALMAR LÄN</t>
        </is>
      </c>
      <c r="G258" t="inlineStr">
        <is>
          <t>EMMABODA</t>
        </is>
      </c>
      <c r="I258" t="n">
        <v>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46299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47120-2022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44852</v>
      </c>
      <c r="E260" s="1" t="n">
        <v>46299</v>
      </c>
      <c r="F260" t="inlineStr">
        <is>
          <t>KALMAR LÄN</t>
        </is>
      </c>
      <c r="G260" t="inlineStr">
        <is>
          <t>EMMABODA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45190</v>
      </c>
      <c r="E261" s="1" t="n">
        <v>46299</v>
      </c>
      <c r="F261" t="inlineStr">
        <is>
          <t>KALMAR LÄN</t>
        </is>
      </c>
      <c r="G261" t="inlineStr">
        <is>
          <t>EMMABODA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19854-2024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46299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45067</v>
      </c>
      <c r="E263" s="1" t="n">
        <v>46299</v>
      </c>
      <c r="F263" t="inlineStr">
        <is>
          <t>KALMAR LÄN</t>
        </is>
      </c>
      <c r="G263" t="inlineStr">
        <is>
          <t>EMMABODA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46299</v>
      </c>
      <c r="F264" t="inlineStr">
        <is>
          <t>KALMAR LÄN</t>
        </is>
      </c>
      <c r="G264" t="inlineStr">
        <is>
          <t>EMMABODA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46299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46085</v>
      </c>
      <c r="E266" s="1" t="n">
        <v>46299</v>
      </c>
      <c r="F266" t="inlineStr">
        <is>
          <t>KALMAR LÄN</t>
        </is>
      </c>
      <c r="G266" t="inlineStr">
        <is>
          <t>EMMABODA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25090-2022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44729</v>
      </c>
      <c r="E267" s="1" t="n">
        <v>46299</v>
      </c>
      <c r="F267" t="inlineStr">
        <is>
          <t>KALMAR LÄN</t>
        </is>
      </c>
      <c r="G267" t="inlineStr">
        <is>
          <t>EMMABODA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46085</v>
      </c>
      <c r="E268" s="1" t="n">
        <v>46299</v>
      </c>
      <c r="F268" t="inlineStr">
        <is>
          <t>KALMAR LÄN</t>
        </is>
      </c>
      <c r="G268" t="inlineStr">
        <is>
          <t>EMMABODA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46299</v>
      </c>
      <c r="F269" t="inlineStr">
        <is>
          <t>KALMAR LÄN</t>
        </is>
      </c>
      <c r="G269" t="inlineStr">
        <is>
          <t>EMMABODA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45813</v>
      </c>
      <c r="E270" s="1" t="n">
        <v>46299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46299</v>
      </c>
      <c r="F271" t="inlineStr">
        <is>
          <t>KALMAR LÄN</t>
        </is>
      </c>
      <c r="G271" t="inlineStr">
        <is>
          <t>EMMABODA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46299</v>
      </c>
      <c r="F272" t="inlineStr">
        <is>
          <t>KALMAR LÄN</t>
        </is>
      </c>
      <c r="G272" t="inlineStr">
        <is>
          <t>EMMABODA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46299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46299</v>
      </c>
      <c r="F274" t="inlineStr">
        <is>
          <t>KALMAR LÄN</t>
        </is>
      </c>
      <c r="G274" t="inlineStr">
        <is>
          <t>EMMABODA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44507</v>
      </c>
      <c r="E275" s="1" t="n">
        <v>46299</v>
      </c>
      <c r="F275" t="inlineStr">
        <is>
          <t>KALMAR LÄN</t>
        </is>
      </c>
      <c r="G275" t="inlineStr">
        <is>
          <t>EMMABODA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46299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54482-2021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44473</v>
      </c>
      <c r="E277" s="1" t="n">
        <v>46299</v>
      </c>
      <c r="F277" t="inlineStr">
        <is>
          <t>KALMAR LÄN</t>
        </is>
      </c>
      <c r="G277" t="inlineStr">
        <is>
          <t>EMMABODA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46299</v>
      </c>
      <c r="F278" t="inlineStr">
        <is>
          <t>KALMAR LÄN</t>
        </is>
      </c>
      <c r="G278" t="inlineStr">
        <is>
          <t>EMMABODA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46299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46299</v>
      </c>
      <c r="F280" t="inlineStr">
        <is>
          <t>KALMAR LÄN</t>
        </is>
      </c>
      <c r="G280" t="inlineStr">
        <is>
          <t>EMMABODA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54982-2025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45967</v>
      </c>
      <c r="E281" s="1" t="n">
        <v>46299</v>
      </c>
      <c r="F281" t="inlineStr">
        <is>
          <t>KALMAR LÄN</t>
        </is>
      </c>
      <c r="G281" t="inlineStr">
        <is>
          <t>EMMABODA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45967</v>
      </c>
      <c r="E282" s="1" t="n">
        <v>46299</v>
      </c>
      <c r="F282" t="inlineStr">
        <is>
          <t>KALMAR LÄN</t>
        </is>
      </c>
      <c r="G282" t="inlineStr">
        <is>
          <t>EMMABODA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44619</v>
      </c>
      <c r="E283" s="1" t="n">
        <v>46299</v>
      </c>
      <c r="F283" t="inlineStr">
        <is>
          <t>KALMAR LÄN</t>
        </is>
      </c>
      <c r="G283" t="inlineStr">
        <is>
          <t>EMMABODA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45434</v>
      </c>
      <c r="E284" s="1" t="n">
        <v>46299</v>
      </c>
      <c r="F284" t="inlineStr">
        <is>
          <t>KALMAR LÄN</t>
        </is>
      </c>
      <c r="G284" t="inlineStr">
        <is>
          <t>EMMABODA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46299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46299</v>
      </c>
      <c r="F286" t="inlineStr">
        <is>
          <t>KALMAR LÄN</t>
        </is>
      </c>
      <c r="G286" t="inlineStr">
        <is>
          <t>EMMABODA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46299</v>
      </c>
      <c r="F287" t="inlineStr">
        <is>
          <t>KALMAR LÄN</t>
        </is>
      </c>
      <c r="G287" t="inlineStr">
        <is>
          <t>EMMABODA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63219-2023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45273</v>
      </c>
      <c r="E288" s="1" t="n">
        <v>46299</v>
      </c>
      <c r="F288" t="inlineStr">
        <is>
          <t>KALMAR LÄN</t>
        </is>
      </c>
      <c r="G288" t="inlineStr">
        <is>
          <t>EMMABODA</t>
        </is>
      </c>
      <c r="H288" t="inlineStr">
        <is>
          <t>Kommuner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45211</v>
      </c>
      <c r="E289" s="1" t="n">
        <v>46299</v>
      </c>
      <c r="F289" t="inlineStr">
        <is>
          <t>KALMAR LÄN</t>
        </is>
      </c>
      <c r="G289" t="inlineStr">
        <is>
          <t>EMMABODA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46299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45132</v>
      </c>
      <c r="E291" s="1" t="n">
        <v>46299</v>
      </c>
      <c r="F291" t="inlineStr">
        <is>
          <t>KALMAR LÄN</t>
        </is>
      </c>
      <c r="G291" t="inlineStr">
        <is>
          <t>EMMABODA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46299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46299</v>
      </c>
      <c r="F293" t="inlineStr">
        <is>
          <t>KALMAR LÄN</t>
        </is>
      </c>
      <c r="G293" t="inlineStr">
        <is>
          <t>EMMABODA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66662-2021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44519</v>
      </c>
      <c r="E294" s="1" t="n">
        <v>46299</v>
      </c>
      <c r="F294" t="inlineStr">
        <is>
          <t>KALMAR LÄN</t>
        </is>
      </c>
      <c r="G294" t="inlineStr">
        <is>
          <t>EMMABODA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46299</v>
      </c>
      <c r="F295" t="inlineStr">
        <is>
          <t>KALMAR LÄN</t>
        </is>
      </c>
      <c r="G295" t="inlineStr">
        <is>
          <t>EMMABODA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46299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45102</v>
      </c>
      <c r="E297" s="1" t="n">
        <v>46299</v>
      </c>
      <c r="F297" t="inlineStr">
        <is>
          <t>KALMAR LÄN</t>
        </is>
      </c>
      <c r="G297" t="inlineStr">
        <is>
          <t>EMMABODA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28441-2023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45102</v>
      </c>
      <c r="E298" s="1" t="n">
        <v>46299</v>
      </c>
      <c r="F298" t="inlineStr">
        <is>
          <t>KALMAR LÄN</t>
        </is>
      </c>
      <c r="G298" t="inlineStr">
        <is>
          <t>EMMABODA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44839</v>
      </c>
      <c r="E299" s="1" t="n">
        <v>46299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46299</v>
      </c>
      <c r="F300" t="inlineStr">
        <is>
          <t>KALMAR LÄN</t>
        </is>
      </c>
      <c r="G300" t="inlineStr">
        <is>
          <t>EMMABODA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46299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17415-2026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46299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45989</v>
      </c>
      <c r="E303" s="1" t="n">
        <v>46299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45825</v>
      </c>
      <c r="E304" s="1" t="n">
        <v>46299</v>
      </c>
      <c r="F304" t="inlineStr">
        <is>
          <t>KALMAR LÄN</t>
        </is>
      </c>
      <c r="G304" t="inlineStr">
        <is>
          <t>EMMABODA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46299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44979</v>
      </c>
      <c r="E306" s="1" t="n">
        <v>46299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45716</v>
      </c>
      <c r="E307" s="1" t="n">
        <v>46299</v>
      </c>
      <c r="F307" t="inlineStr">
        <is>
          <t>KALMAR LÄN</t>
        </is>
      </c>
      <c r="G307" t="inlineStr">
        <is>
          <t>EMMABODA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46299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46299</v>
      </c>
      <c r="F309" t="inlineStr">
        <is>
          <t>KALMAR LÄN</t>
        </is>
      </c>
      <c r="G309" t="inlineStr">
        <is>
          <t>EMMABODA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46299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46299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46299</v>
      </c>
      <c r="F312" t="inlineStr">
        <is>
          <t>KALMAR LÄN</t>
        </is>
      </c>
      <c r="G312" t="inlineStr">
        <is>
          <t>EMMABODA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30118-2025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45826</v>
      </c>
      <c r="E313" s="1" t="n">
        <v>46299</v>
      </c>
      <c r="F313" t="inlineStr">
        <is>
          <t>KALMAR LÄN</t>
        </is>
      </c>
      <c r="G313" t="inlineStr">
        <is>
          <t>EMMABODA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46299</v>
      </c>
      <c r="F314" t="inlineStr">
        <is>
          <t>KALMAR LÄN</t>
        </is>
      </c>
      <c r="G314" t="inlineStr">
        <is>
          <t>EMMABODA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18488-2026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46299</v>
      </c>
      <c r="F315" t="inlineStr">
        <is>
          <t>KALMAR LÄN</t>
        </is>
      </c>
      <c r="G315" t="inlineStr">
        <is>
          <t>EMMABODA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46299</v>
      </c>
      <c r="F316" t="inlineStr">
        <is>
          <t>KALMAR LÄN</t>
        </is>
      </c>
      <c r="G316" t="inlineStr">
        <is>
          <t>EMMABODA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45826</v>
      </c>
      <c r="E317" s="1" t="n">
        <v>46299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18444-2026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46127</v>
      </c>
      <c r="E318" s="1" t="n">
        <v>46299</v>
      </c>
      <c r="F318" t="inlineStr">
        <is>
          <t>KALMAR LÄN</t>
        </is>
      </c>
      <c r="G318" t="inlineStr">
        <is>
          <t>EMMABODA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18437-2026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46127</v>
      </c>
      <c r="E319" s="1" t="n">
        <v>46299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46299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46299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46299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46299</v>
      </c>
      <c r="F323" t="inlineStr">
        <is>
          <t>KALMAR LÄN</t>
        </is>
      </c>
      <c r="G323" t="inlineStr">
        <is>
          <t>EMMABODA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46299</v>
      </c>
      <c r="F324" t="inlineStr">
        <is>
          <t>KALMAR LÄN</t>
        </is>
      </c>
      <c r="G324" t="inlineStr">
        <is>
          <t>EMMABODA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46299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39736-2023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45167</v>
      </c>
      <c r="E326" s="1" t="n">
        <v>46299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19545-2026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46134</v>
      </c>
      <c r="E327" s="1" t="n">
        <v>46299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46299</v>
      </c>
      <c r="F328" t="inlineStr">
        <is>
          <t>KALMAR LÄN</t>
        </is>
      </c>
      <c r="G328" t="inlineStr">
        <is>
          <t>EMMABODA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46299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46299</v>
      </c>
      <c r="F330" t="inlineStr">
        <is>
          <t>KALMAR LÄN</t>
        </is>
      </c>
      <c r="G330" t="inlineStr">
        <is>
          <t>EMMABODA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15446-2024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46299</v>
      </c>
      <c r="F331" t="inlineStr">
        <is>
          <t>KALMAR LÄN</t>
        </is>
      </c>
      <c r="G331" t="inlineStr">
        <is>
          <t>EMMABODA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46299</v>
      </c>
      <c r="F332" t="inlineStr">
        <is>
          <t>KALMAR LÄN</t>
        </is>
      </c>
      <c r="G332" t="inlineStr">
        <is>
          <t>EMMABODA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46299</v>
      </c>
      <c r="F333" t="inlineStr">
        <is>
          <t>KALMAR LÄN</t>
        </is>
      </c>
      <c r="G333" t="inlineStr">
        <is>
          <t>EMMABODA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44993</v>
      </c>
      <c r="E334" s="1" t="n">
        <v>46299</v>
      </c>
      <c r="F334" t="inlineStr">
        <is>
          <t>KALMAR LÄN</t>
        </is>
      </c>
      <c r="G334" t="inlineStr">
        <is>
          <t>EMMABODA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16521-2024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46299</v>
      </c>
      <c r="F335" t="inlineStr">
        <is>
          <t>KALMAR LÄN</t>
        </is>
      </c>
      <c r="G335" t="inlineStr">
        <is>
          <t>EMMABODA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46299</v>
      </c>
      <c r="F336" t="inlineStr">
        <is>
          <t>KALMAR LÄN</t>
        </is>
      </c>
      <c r="G336" t="inlineStr">
        <is>
          <t>EMMABODA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45376</v>
      </c>
      <c r="E337" s="1" t="n">
        <v>46299</v>
      </c>
      <c r="F337" t="inlineStr">
        <is>
          <t>KALMAR LÄN</t>
        </is>
      </c>
      <c r="G337" t="inlineStr">
        <is>
          <t>EMMABODA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44683</v>
      </c>
      <c r="E338" s="1" t="n">
        <v>46299</v>
      </c>
      <c r="F338" t="inlineStr">
        <is>
          <t>KALMAR LÄN</t>
        </is>
      </c>
      <c r="G338" t="inlineStr">
        <is>
          <t>EMMABODA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46299</v>
      </c>
      <c r="F339" t="inlineStr">
        <is>
          <t>KALMAR LÄN</t>
        </is>
      </c>
      <c r="G339" t="inlineStr">
        <is>
          <t>EMMABODA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20362-2026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46299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14080-2024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45392</v>
      </c>
      <c r="E341" s="1" t="n">
        <v>46299</v>
      </c>
      <c r="F341" t="inlineStr">
        <is>
          <t>KALMAR LÄN</t>
        </is>
      </c>
      <c r="G341" t="inlineStr">
        <is>
          <t>EMMABODA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46299</v>
      </c>
      <c r="F342" t="inlineStr">
        <is>
          <t>KALMAR LÄN</t>
        </is>
      </c>
      <c r="G342" t="inlineStr">
        <is>
          <t>EMMABODA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46299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45461</v>
      </c>
      <c r="E344" s="1" t="n">
        <v>46299</v>
      </c>
      <c r="F344" t="inlineStr">
        <is>
          <t>KALMAR LÄN</t>
        </is>
      </c>
      <c r="G344" t="inlineStr">
        <is>
          <t>EMMABODA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46299</v>
      </c>
      <c r="F345" t="inlineStr">
        <is>
          <t>KALMAR LÄN</t>
        </is>
      </c>
      <c r="G345" t="inlineStr">
        <is>
          <t>EMMABODA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46299</v>
      </c>
      <c r="F346" t="inlineStr">
        <is>
          <t>KALMAR LÄN</t>
        </is>
      </c>
      <c r="G346" t="inlineStr">
        <is>
          <t>EMMABODA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26111-2025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45805</v>
      </c>
      <c r="E347" s="1" t="n">
        <v>46299</v>
      </c>
      <c r="F347" t="inlineStr">
        <is>
          <t>KALMAR LÄN</t>
        </is>
      </c>
      <c r="G347" t="inlineStr">
        <is>
          <t>EMMABODA</t>
        </is>
      </c>
      <c r="I347" t="n">
        <v>12.5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46299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34055-2025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45845</v>
      </c>
      <c r="E349" s="1" t="n">
        <v>46299</v>
      </c>
      <c r="F349" t="inlineStr">
        <is>
          <t>KALMAR LÄN</t>
        </is>
      </c>
      <c r="G349" t="inlineStr">
        <is>
          <t>EMMABODA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55604-2024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45621</v>
      </c>
      <c r="E350" s="1" t="n">
        <v>46299</v>
      </c>
      <c r="F350" t="inlineStr">
        <is>
          <t>KALMAR LÄN</t>
        </is>
      </c>
      <c r="G350" t="inlineStr">
        <is>
          <t>EMMABODA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44524</v>
      </c>
      <c r="E351" s="1" t="n">
        <v>46299</v>
      </c>
      <c r="F351" t="inlineStr">
        <is>
          <t>KALMAR LÄN</t>
        </is>
      </c>
      <c r="G351" t="inlineStr">
        <is>
          <t>EMMABODA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26254-2023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46299</v>
      </c>
      <c r="F352" t="inlineStr">
        <is>
          <t>KALMAR LÄN</t>
        </is>
      </c>
      <c r="G352" t="inlineStr">
        <is>
          <t>EMMABODA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39411-2024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45551</v>
      </c>
      <c r="E353" s="1" t="n">
        <v>46299</v>
      </c>
      <c r="F353" t="inlineStr">
        <is>
          <t>KALMAR LÄN</t>
        </is>
      </c>
      <c r="G353" t="inlineStr">
        <is>
          <t>EMMABODA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46299</v>
      </c>
      <c r="F354" t="inlineStr">
        <is>
          <t>KALMAR LÄN</t>
        </is>
      </c>
      <c r="G354" t="inlineStr">
        <is>
          <t>EMMABODA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45401</v>
      </c>
      <c r="E355" s="1" t="n">
        <v>46299</v>
      </c>
      <c r="F355" t="inlineStr">
        <is>
          <t>KALMAR LÄN</t>
        </is>
      </c>
      <c r="G355" t="inlineStr">
        <is>
          <t>EMMABODA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44897</v>
      </c>
      <c r="E356" s="1" t="n">
        <v>46299</v>
      </c>
      <c r="F356" t="inlineStr">
        <is>
          <t>KALMAR LÄN</t>
        </is>
      </c>
      <c r="G356" t="inlineStr">
        <is>
          <t>EMMABODA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45632</v>
      </c>
      <c r="E357" s="1" t="n">
        <v>46299</v>
      </c>
      <c r="F357" t="inlineStr">
        <is>
          <t>KALMAR LÄN</t>
        </is>
      </c>
      <c r="G357" t="inlineStr">
        <is>
          <t>EMMABODA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46299</v>
      </c>
      <c r="F358" t="inlineStr">
        <is>
          <t>KALMAR LÄN</t>
        </is>
      </c>
      <c r="G358" t="inlineStr">
        <is>
          <t>EMMABODA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34878-2025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46299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46299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45335</v>
      </c>
      <c r="E361" s="1" t="n">
        <v>46299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45335</v>
      </c>
      <c r="E362" s="1" t="n">
        <v>46299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45775</v>
      </c>
      <c r="E363" s="1" t="n">
        <v>46299</v>
      </c>
      <c r="F363" t="inlineStr">
        <is>
          <t>KALMAR LÄN</t>
        </is>
      </c>
      <c r="G363" t="inlineStr">
        <is>
          <t>EMMABODA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45716</v>
      </c>
      <c r="E364" s="1" t="n">
        <v>46299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45851</v>
      </c>
      <c r="E365" s="1" t="n">
        <v>46299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45851</v>
      </c>
      <c r="E366" s="1" t="n">
        <v>46299</v>
      </c>
      <c r="F366" t="inlineStr">
        <is>
          <t>KALMAR LÄN</t>
        </is>
      </c>
      <c r="G366" t="inlineStr">
        <is>
          <t>EMMABODA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45200</v>
      </c>
      <c r="E367" s="1" t="n">
        <v>46299</v>
      </c>
      <c r="F367" t="inlineStr">
        <is>
          <t>KALMAR LÄN</t>
        </is>
      </c>
      <c r="G367" t="inlineStr">
        <is>
          <t>EMMABODA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46299</v>
      </c>
      <c r="F368" t="inlineStr">
        <is>
          <t>KALMAR LÄN</t>
        </is>
      </c>
      <c r="G368" t="inlineStr">
        <is>
          <t>EMMABODA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45772</v>
      </c>
      <c r="E369" s="1" t="n">
        <v>46299</v>
      </c>
      <c r="F369" t="inlineStr">
        <is>
          <t>KALMAR LÄN</t>
        </is>
      </c>
      <c r="G369" t="inlineStr">
        <is>
          <t>EMMABODA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46299</v>
      </c>
      <c r="F370" t="inlineStr">
        <is>
          <t>KALMAR LÄN</t>
        </is>
      </c>
      <c r="G370" t="inlineStr">
        <is>
          <t>EMMABODA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46299</v>
      </c>
      <c r="F371" t="inlineStr">
        <is>
          <t>KALMAR LÄN</t>
        </is>
      </c>
      <c r="G371" t="inlineStr">
        <is>
          <t>EMMABODA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45915</v>
      </c>
      <c r="E372" s="1" t="n">
        <v>46299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46299</v>
      </c>
      <c r="F373" t="inlineStr">
        <is>
          <t>KALMAR LÄN</t>
        </is>
      </c>
      <c r="G373" t="inlineStr">
        <is>
          <t>EMMABODA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44944</v>
      </c>
      <c r="E374" s="1" t="n">
        <v>46299</v>
      </c>
      <c r="F374" t="inlineStr">
        <is>
          <t>KALMAR LÄN</t>
        </is>
      </c>
      <c r="G374" t="inlineStr">
        <is>
          <t>EMMABODA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35592-2025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45857</v>
      </c>
      <c r="E375" s="1" t="n">
        <v>46299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45819</v>
      </c>
      <c r="E376" s="1" t="n">
        <v>46299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46299</v>
      </c>
      <c r="F377" t="inlineStr">
        <is>
          <t>KALMAR LÄN</t>
        </is>
      </c>
      <c r="G377" t="inlineStr">
        <is>
          <t>EMMABODA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46299</v>
      </c>
      <c r="F378" t="inlineStr">
        <is>
          <t>KALMAR LÄN</t>
        </is>
      </c>
      <c r="G378" t="inlineStr">
        <is>
          <t>EMMABODA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46299</v>
      </c>
      <c r="F379" t="inlineStr">
        <is>
          <t>KALMAR LÄN</t>
        </is>
      </c>
      <c r="G379" t="inlineStr">
        <is>
          <t>EMMABODA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15329-2024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46299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46299</v>
      </c>
      <c r="F381" t="inlineStr">
        <is>
          <t>KALMAR LÄN</t>
        </is>
      </c>
      <c r="G381" t="inlineStr">
        <is>
          <t>EMMABODA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46299</v>
      </c>
      <c r="F382" t="inlineStr">
        <is>
          <t>KALMAR LÄN</t>
        </is>
      </c>
      <c r="G382" t="inlineStr">
        <is>
          <t>EMMABODA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45972</v>
      </c>
      <c r="E383" s="1" t="n">
        <v>46299</v>
      </c>
      <c r="F383" t="inlineStr">
        <is>
          <t>KALMAR LÄN</t>
        </is>
      </c>
      <c r="G383" t="inlineStr">
        <is>
          <t>EMMABODA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59764-2022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46299</v>
      </c>
      <c r="F384" t="inlineStr">
        <is>
          <t>KALMAR LÄN</t>
        </is>
      </c>
      <c r="G384" t="inlineStr">
        <is>
          <t>EMMABODA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62197-2022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44922</v>
      </c>
      <c r="E385" s="1" t="n">
        <v>46299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44781</v>
      </c>
      <c r="E386" s="1" t="n">
        <v>46299</v>
      </c>
      <c r="F386" t="inlineStr">
        <is>
          <t>KALMAR LÄN</t>
        </is>
      </c>
      <c r="G386" t="inlineStr">
        <is>
          <t>EMMABODA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45466</v>
      </c>
      <c r="E387" s="1" t="n">
        <v>46299</v>
      </c>
      <c r="F387" t="inlineStr">
        <is>
          <t>KALMAR LÄN</t>
        </is>
      </c>
      <c r="G387" t="inlineStr">
        <is>
          <t>EMMABODA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46299</v>
      </c>
      <c r="F388" t="inlineStr">
        <is>
          <t>KALMAR LÄN</t>
        </is>
      </c>
      <c r="G388" t="inlineStr">
        <is>
          <t>EMMABODA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45863</v>
      </c>
      <c r="E389" s="1" t="n">
        <v>46299</v>
      </c>
      <c r="F389" t="inlineStr">
        <is>
          <t>KALMAR LÄN</t>
        </is>
      </c>
      <c r="G389" t="inlineStr">
        <is>
          <t>EMMABODA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46299</v>
      </c>
      <c r="F390" t="inlineStr">
        <is>
          <t>KALMAR LÄN</t>
        </is>
      </c>
      <c r="G390" t="inlineStr">
        <is>
          <t>EMMABODA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46299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46299</v>
      </c>
      <c r="F392" t="inlineStr">
        <is>
          <t>KALMAR LÄN</t>
        </is>
      </c>
      <c r="G392" t="inlineStr">
        <is>
          <t>EMMABODA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46299</v>
      </c>
      <c r="F393" t="inlineStr">
        <is>
          <t>KALMAR LÄN</t>
        </is>
      </c>
      <c r="G393" t="inlineStr">
        <is>
          <t>EMMABODA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45976</v>
      </c>
      <c r="E394" s="1" t="n">
        <v>46299</v>
      </c>
      <c r="F394" t="inlineStr">
        <is>
          <t>KALMAR LÄN</t>
        </is>
      </c>
      <c r="G394" t="inlineStr">
        <is>
          <t>EMMABODA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45750</v>
      </c>
      <c r="E395" s="1" t="n">
        <v>46299</v>
      </c>
      <c r="F395" t="inlineStr">
        <is>
          <t>KALMAR LÄN</t>
        </is>
      </c>
      <c r="G395" t="inlineStr">
        <is>
          <t>EMMABODA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52206-2023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46299</v>
      </c>
      <c r="F396" t="inlineStr">
        <is>
          <t>KALMAR LÄN</t>
        </is>
      </c>
      <c r="G396" t="inlineStr">
        <is>
          <t>EMMABODA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45790</v>
      </c>
      <c r="E397" s="1" t="n">
        <v>46299</v>
      </c>
      <c r="F397" t="inlineStr">
        <is>
          <t>KALMAR LÄN</t>
        </is>
      </c>
      <c r="G397" t="inlineStr">
        <is>
          <t>EMMABODA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45425</v>
      </c>
      <c r="E398" s="1" t="n">
        <v>46299</v>
      </c>
      <c r="F398" t="inlineStr">
        <is>
          <t>KALMAR LÄN</t>
        </is>
      </c>
      <c r="G398" t="inlineStr">
        <is>
          <t>EMMABODA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46299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46299</v>
      </c>
      <c r="F400" t="inlineStr">
        <is>
          <t>KALMAR LÄN</t>
        </is>
      </c>
      <c r="G400" t="inlineStr">
        <is>
          <t>EMMABODA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45976</v>
      </c>
      <c r="E401" s="1" t="n">
        <v>46299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46299</v>
      </c>
      <c r="F402" t="inlineStr">
        <is>
          <t>KALMAR LÄN</t>
        </is>
      </c>
      <c r="G402" t="inlineStr">
        <is>
          <t>EMMABODA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46299</v>
      </c>
      <c r="F403" t="inlineStr">
        <is>
          <t>KALMAR LÄN</t>
        </is>
      </c>
      <c r="G403" t="inlineStr">
        <is>
          <t>EMMABODA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46299</v>
      </c>
      <c r="F404" t="inlineStr">
        <is>
          <t>KALMAR LÄN</t>
        </is>
      </c>
      <c r="G404" t="inlineStr">
        <is>
          <t>EMMABODA</t>
        </is>
      </c>
      <c r="H404" t="inlineStr">
        <is>
          <t>Övriga Aktiebolag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41948-2024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45561</v>
      </c>
      <c r="E405" s="1" t="n">
        <v>46299</v>
      </c>
      <c r="F405" t="inlineStr">
        <is>
          <t>KALMAR LÄN</t>
        </is>
      </c>
      <c r="G405" t="inlineStr">
        <is>
          <t>EMMABODA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46299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7834-2024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45349</v>
      </c>
      <c r="E407" s="1" t="n">
        <v>46299</v>
      </c>
      <c r="F407" t="inlineStr">
        <is>
          <t>KALMAR LÄN</t>
        </is>
      </c>
      <c r="G407" t="inlineStr">
        <is>
          <t>EMMABODA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46299</v>
      </c>
      <c r="F408" t="inlineStr">
        <is>
          <t>KALMAR LÄN</t>
        </is>
      </c>
      <c r="G408" t="inlineStr">
        <is>
          <t>EMMABODA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14167-2025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46299</v>
      </c>
      <c r="F409" t="inlineStr">
        <is>
          <t>KALMAR LÄN</t>
        </is>
      </c>
      <c r="G409" t="inlineStr">
        <is>
          <t>EMMABODA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45573</v>
      </c>
      <c r="E410" s="1" t="n">
        <v>46299</v>
      </c>
      <c r="F410" t="inlineStr">
        <is>
          <t>KALMAR LÄN</t>
        </is>
      </c>
      <c r="G410" t="inlineStr">
        <is>
          <t>EMMABODA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22700-2025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45789</v>
      </c>
      <c r="E411" s="1" t="n">
        <v>46299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44728</v>
      </c>
      <c r="E412" s="1" t="n">
        <v>46299</v>
      </c>
      <c r="F412" t="inlineStr">
        <is>
          <t>KALMAR LÄN</t>
        </is>
      </c>
      <c r="G412" t="inlineStr">
        <is>
          <t>EMMABODA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46299</v>
      </c>
      <c r="F413" t="inlineStr">
        <is>
          <t>KALMAR LÄN</t>
        </is>
      </c>
      <c r="G413" t="inlineStr">
        <is>
          <t>EMMABODA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45258</v>
      </c>
      <c r="E414" s="1" t="n">
        <v>46299</v>
      </c>
      <c r="F414" t="inlineStr">
        <is>
          <t>KALMAR LÄN</t>
        </is>
      </c>
      <c r="G414" t="inlineStr">
        <is>
          <t>EMMABODA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45600</v>
      </c>
      <c r="E415" s="1" t="n">
        <v>46299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44930</v>
      </c>
      <c r="E416" s="1" t="n">
        <v>46299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15292-2024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45400</v>
      </c>
      <c r="E417" s="1" t="n">
        <v>46299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46299</v>
      </c>
      <c r="F418" t="inlineStr">
        <is>
          <t>KALMAR LÄN</t>
        </is>
      </c>
      <c r="G418" t="inlineStr">
        <is>
          <t>EMMABODA</t>
        </is>
      </c>
      <c r="I418" t="n">
        <v>7.7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46299</v>
      </c>
      <c r="F419" t="inlineStr">
        <is>
          <t>KALMAR LÄN</t>
        </is>
      </c>
      <c r="G419" t="inlineStr">
        <is>
          <t>EMMABODA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20102-2022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44698</v>
      </c>
      <c r="E420" s="1" t="n">
        <v>46299</v>
      </c>
      <c r="F420" t="inlineStr">
        <is>
          <t>KALMAR LÄN</t>
        </is>
      </c>
      <c r="G420" t="inlineStr">
        <is>
          <t>EMMABODA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9262-2026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46299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16236-2023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45028</v>
      </c>
      <c r="E422" s="1" t="n">
        <v>46299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45392</v>
      </c>
      <c r="E423" s="1" t="n">
        <v>46299</v>
      </c>
      <c r="F423" t="inlineStr">
        <is>
          <t>KALMAR LÄN</t>
        </is>
      </c>
      <c r="G423" t="inlineStr">
        <is>
          <t>EMMABODA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35490-2024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46299</v>
      </c>
      <c r="F424" t="inlineStr">
        <is>
          <t>KALMAR LÄN</t>
        </is>
      </c>
      <c r="G424" t="inlineStr">
        <is>
          <t>EMMABODA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57916-2022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46299</v>
      </c>
      <c r="F425" t="inlineStr">
        <is>
          <t>KALMAR LÄN</t>
        </is>
      </c>
      <c r="G425" t="inlineStr">
        <is>
          <t>EMMABODA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45196</v>
      </c>
      <c r="E426" s="1" t="n">
        <v>46299</v>
      </c>
      <c r="F426" t="inlineStr">
        <is>
          <t>KALMAR LÄN</t>
        </is>
      </c>
      <c r="G426" t="inlineStr">
        <is>
          <t>EMMABODA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46299</v>
      </c>
      <c r="F427" t="inlineStr">
        <is>
          <t>KALMAR LÄN</t>
        </is>
      </c>
      <c r="G427" t="inlineStr">
        <is>
          <t>EMMABODA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46299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46299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45161</v>
      </c>
      <c r="E430" s="1" t="n">
        <v>46299</v>
      </c>
      <c r="F430" t="inlineStr">
        <is>
          <t>KALMAR LÄN</t>
        </is>
      </c>
      <c r="G430" t="inlineStr">
        <is>
          <t>EMMABODA</t>
        </is>
      </c>
      <c r="H430" t="inlineStr">
        <is>
          <t>Kommuner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45902</v>
      </c>
      <c r="E431" s="1" t="n">
        <v>46299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45180</v>
      </c>
      <c r="E432" s="1" t="n">
        <v>46299</v>
      </c>
      <c r="F432" t="inlineStr">
        <is>
          <t>KALMAR LÄN</t>
        </is>
      </c>
      <c r="G432" t="inlineStr">
        <is>
          <t>EMMABODA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46299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46162</v>
      </c>
      <c r="E434" s="1" t="n">
        <v>46299</v>
      </c>
      <c r="F434" t="inlineStr">
        <is>
          <t>KALMAR LÄN</t>
        </is>
      </c>
      <c r="G434" t="inlineStr">
        <is>
          <t>EMMABODA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45716</v>
      </c>
      <c r="E435" s="1" t="n">
        <v>46299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45048</v>
      </c>
      <c r="E436" s="1" t="n">
        <v>46299</v>
      </c>
      <c r="F436" t="inlineStr">
        <is>
          <t>KALMAR LÄN</t>
        </is>
      </c>
      <c r="G436" t="inlineStr">
        <is>
          <t>EMMABODA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46299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46169</v>
      </c>
      <c r="E438" s="1" t="n">
        <v>46299</v>
      </c>
      <c r="F438" t="inlineStr">
        <is>
          <t>KALMAR LÄN</t>
        </is>
      </c>
      <c r="G438" t="inlineStr">
        <is>
          <t>EMMABODA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53447-2024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46299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46299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53704-2023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46299</v>
      </c>
      <c r="F441" t="inlineStr">
        <is>
          <t>KALMAR LÄN</t>
        </is>
      </c>
      <c r="G441" t="inlineStr">
        <is>
          <t>EMMABODA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46299</v>
      </c>
      <c r="F442" t="inlineStr">
        <is>
          <t>KALMAR LÄN</t>
        </is>
      </c>
      <c r="G442" t="inlineStr">
        <is>
          <t>EMMABODA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46299</v>
      </c>
      <c r="F443" t="inlineStr">
        <is>
          <t>KALMAR LÄN</t>
        </is>
      </c>
      <c r="G443" t="inlineStr">
        <is>
          <t>EMMABODA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47451-2024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46299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46299</v>
      </c>
      <c r="F445" t="inlineStr">
        <is>
          <t>KALMAR LÄN</t>
        </is>
      </c>
      <c r="G445" t="inlineStr">
        <is>
          <t>EMMABODA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38883-2025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46299</v>
      </c>
      <c r="F446" t="inlineStr">
        <is>
          <t>KALMAR LÄN</t>
        </is>
      </c>
      <c r="G446" t="inlineStr">
        <is>
          <t>EMMABODA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38873-2025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45887</v>
      </c>
      <c r="E447" s="1" t="n">
        <v>46299</v>
      </c>
      <c r="F447" t="inlineStr">
        <is>
          <t>KALMAR LÄN</t>
        </is>
      </c>
      <c r="G447" t="inlineStr">
        <is>
          <t>EMMABODA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55590-2024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45622</v>
      </c>
      <c r="E448" s="1" t="n">
        <v>46299</v>
      </c>
      <c r="F448" t="inlineStr">
        <is>
          <t>KALMAR LÄN</t>
        </is>
      </c>
      <c r="G448" t="inlineStr">
        <is>
          <t>EMMABODA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46299</v>
      </c>
      <c r="F449" t="inlineStr">
        <is>
          <t>KALMAR LÄN</t>
        </is>
      </c>
      <c r="G449" t="inlineStr">
        <is>
          <t>EMMABODA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26193-2026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46299</v>
      </c>
      <c r="F450" t="inlineStr">
        <is>
          <t>KALMAR LÄN</t>
        </is>
      </c>
      <c r="G450" t="inlineStr">
        <is>
          <t>EMMABODA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46183</v>
      </c>
      <c r="E451" s="1" t="n">
        <v>46299</v>
      </c>
      <c r="F451" t="inlineStr">
        <is>
          <t>KALMAR LÄN</t>
        </is>
      </c>
      <c r="G451" t="inlineStr">
        <is>
          <t>EMMABODA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46299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46299</v>
      </c>
      <c r="F453" t="inlineStr">
        <is>
          <t>KALMAR LÄN</t>
        </is>
      </c>
      <c r="G453" t="inlineStr">
        <is>
          <t>EMMABODA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46189</v>
      </c>
      <c r="E454" s="1" t="n">
        <v>46299</v>
      </c>
      <c r="F454" t="inlineStr">
        <is>
          <t>KALMAR LÄN</t>
        </is>
      </c>
      <c r="G454" t="inlineStr">
        <is>
          <t>EMMABODA</t>
        </is>
      </c>
      <c r="I454" t="n">
        <v>9.1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27173-2026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46299</v>
      </c>
      <c r="F455" t="inlineStr">
        <is>
          <t>KALMAR LÄN</t>
        </is>
      </c>
      <c r="G455" t="inlineStr">
        <is>
          <t>EMMABODA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46299</v>
      </c>
      <c r="F456" t="inlineStr">
        <is>
          <t>KALMAR LÄN</t>
        </is>
      </c>
      <c r="G456" t="inlineStr">
        <is>
          <t>EMMABODA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44965</v>
      </c>
      <c r="E457" s="1" t="n">
        <v>46299</v>
      </c>
      <c r="F457" t="inlineStr">
        <is>
          <t>KALMAR LÄN</t>
        </is>
      </c>
      <c r="G457" t="inlineStr">
        <is>
          <t>EMMABODA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46299</v>
      </c>
      <c r="F458" t="inlineStr">
        <is>
          <t>KALMAR LÄN</t>
        </is>
      </c>
      <c r="G458" t="inlineStr">
        <is>
          <t>EMMABODA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46299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27676-2022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46299</v>
      </c>
      <c r="F460" t="inlineStr">
        <is>
          <t>KALMAR LÄN</t>
        </is>
      </c>
      <c r="G460" t="inlineStr">
        <is>
          <t>EMMABODA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46299</v>
      </c>
      <c r="F461" t="inlineStr">
        <is>
          <t>KALMAR LÄN</t>
        </is>
      </c>
      <c r="G461" t="inlineStr">
        <is>
          <t>EMMABODA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46299</v>
      </c>
      <c r="F462" t="inlineStr">
        <is>
          <t>KALMAR LÄN</t>
        </is>
      </c>
      <c r="G462" t="inlineStr">
        <is>
          <t>EMMABODA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29023-2022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46299</v>
      </c>
      <c r="F463" t="inlineStr">
        <is>
          <t>KALMAR LÄN</t>
        </is>
      </c>
      <c r="G463" t="inlineStr">
        <is>
          <t>EMMABODA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45327</v>
      </c>
      <c r="E464" s="1" t="n">
        <v>46299</v>
      </c>
      <c r="F464" t="inlineStr">
        <is>
          <t>KALMAR LÄN</t>
        </is>
      </c>
      <c r="G464" t="inlineStr">
        <is>
          <t>EMMABODA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46299</v>
      </c>
      <c r="F465" t="inlineStr">
        <is>
          <t>KALMAR LÄN</t>
        </is>
      </c>
      <c r="G465" t="inlineStr">
        <is>
          <t>EMMABODA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46190</v>
      </c>
      <c r="E466" s="1" t="n">
        <v>46299</v>
      </c>
      <c r="F466" t="inlineStr">
        <is>
          <t>KALMAR LÄN</t>
        </is>
      </c>
      <c r="G466" t="inlineStr">
        <is>
          <t>EMMABODA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46299</v>
      </c>
      <c r="F467" t="inlineStr">
        <is>
          <t>KALMAR LÄN</t>
        </is>
      </c>
      <c r="G467" t="inlineStr">
        <is>
          <t>EMMABODA</t>
        </is>
      </c>
      <c r="H467" t="inlineStr">
        <is>
          <t>Övriga Aktiebolag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46299</v>
      </c>
      <c r="F468" t="inlineStr">
        <is>
          <t>KALMAR LÄN</t>
        </is>
      </c>
      <c r="G468" t="inlineStr">
        <is>
          <t>EMMABODA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46299</v>
      </c>
      <c r="F469" t="inlineStr">
        <is>
          <t>KALMAR LÄN</t>
        </is>
      </c>
      <c r="G469" t="inlineStr">
        <is>
          <t>EMMABODA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19881-2024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45433</v>
      </c>
      <c r="E470" s="1" t="n">
        <v>46299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46196</v>
      </c>
      <c r="E471" s="1" t="n">
        <v>46299</v>
      </c>
      <c r="F471" t="inlineStr">
        <is>
          <t>KALMAR LÄN</t>
        </is>
      </c>
      <c r="G471" t="inlineStr">
        <is>
          <t>EMMABODA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45107</v>
      </c>
      <c r="E472" s="1" t="n">
        <v>46299</v>
      </c>
      <c r="F472" t="inlineStr">
        <is>
          <t>KALMAR LÄN</t>
        </is>
      </c>
      <c r="G472" t="inlineStr">
        <is>
          <t>EMMABODA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46299</v>
      </c>
      <c r="F473" t="inlineStr">
        <is>
          <t>KALMAR LÄN</t>
        </is>
      </c>
      <c r="G473" t="inlineStr">
        <is>
          <t>EMMABODA</t>
        </is>
      </c>
      <c r="H473" t="inlineStr">
        <is>
          <t>Kyrkan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46299</v>
      </c>
      <c r="F474" t="inlineStr">
        <is>
          <t>KALMAR LÄN</t>
        </is>
      </c>
      <c r="G474" t="inlineStr">
        <is>
          <t>EMMABODA</t>
        </is>
      </c>
      <c r="H474" t="inlineStr">
        <is>
          <t>Kyrkan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13801-2023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45007</v>
      </c>
      <c r="E475" s="1" t="n">
        <v>46299</v>
      </c>
      <c r="F475" t="inlineStr">
        <is>
          <t>KALMAR LÄN</t>
        </is>
      </c>
      <c r="G475" t="inlineStr">
        <is>
          <t>EMMABODA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13805-2023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45007</v>
      </c>
      <c r="E476" s="1" t="n">
        <v>46299</v>
      </c>
      <c r="F476" t="inlineStr">
        <is>
          <t>KALMAR LÄN</t>
        </is>
      </c>
      <c r="G476" t="inlineStr">
        <is>
          <t>EMMABODA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28990-2026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46299</v>
      </c>
      <c r="F477" t="inlineStr">
        <is>
          <t>KALMAR LÄN</t>
        </is>
      </c>
      <c r="G477" t="inlineStr">
        <is>
          <t>EMMABODA</t>
        </is>
      </c>
      <c r="H477" t="inlineStr">
        <is>
          <t>Kyrkan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45148</v>
      </c>
      <c r="E478" s="1" t="n">
        <v>46299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46299</v>
      </c>
      <c r="F479" t="inlineStr">
        <is>
          <t>KALMAR LÄN</t>
        </is>
      </c>
      <c r="G479" t="inlineStr">
        <is>
          <t>EMMABODA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46299</v>
      </c>
      <c r="F480" t="inlineStr">
        <is>
          <t>KALMAR LÄN</t>
        </is>
      </c>
      <c r="G480" t="inlineStr">
        <is>
          <t>EMMABODA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46198</v>
      </c>
      <c r="E481" s="1" t="n">
        <v>46299</v>
      </c>
      <c r="F481" t="inlineStr">
        <is>
          <t>KALMAR LÄN</t>
        </is>
      </c>
      <c r="G481" t="inlineStr">
        <is>
          <t>EMMABODA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46299</v>
      </c>
      <c r="F482" t="inlineStr">
        <is>
          <t>KALMAR LÄN</t>
        </is>
      </c>
      <c r="G482" t="inlineStr">
        <is>
          <t>EMMABODA</t>
        </is>
      </c>
      <c r="H482" t="inlineStr">
        <is>
          <t>Sveaskog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36496-2024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45537</v>
      </c>
      <c r="E483" s="1" t="n">
        <v>46299</v>
      </c>
      <c r="F483" t="inlineStr">
        <is>
          <t>KALMAR LÄN</t>
        </is>
      </c>
      <c r="G483" t="inlineStr">
        <is>
          <t>EMMABODA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46299</v>
      </c>
      <c r="F484" t="inlineStr">
        <is>
          <t>KALMAR LÄN</t>
        </is>
      </c>
      <c r="G484" t="inlineStr">
        <is>
          <t>EMMABODA</t>
        </is>
      </c>
      <c r="H484" t="inlineStr">
        <is>
          <t>Sveaskog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46299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46299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45211</v>
      </c>
      <c r="E487" s="1" t="n">
        <v>46299</v>
      </c>
      <c r="F487" t="inlineStr">
        <is>
          <t>KALMAR LÄN</t>
        </is>
      </c>
      <c r="G487" t="inlineStr">
        <is>
          <t>EMMABODA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45021</v>
      </c>
      <c r="E488" s="1" t="n">
        <v>46299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68940-2021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46299</v>
      </c>
      <c r="F489" t="inlineStr">
        <is>
          <t>KALMAR LÄN</t>
        </is>
      </c>
      <c r="G489" t="inlineStr">
        <is>
          <t>EMMABODA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44540-2023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45189</v>
      </c>
      <c r="E490" s="1" t="n">
        <v>46299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46299</v>
      </c>
      <c r="F491" t="inlineStr">
        <is>
          <t>KALMAR LÄN</t>
        </is>
      </c>
      <c r="G491" t="inlineStr">
        <is>
          <t>EMMABODA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46299</v>
      </c>
      <c r="F492" t="inlineStr">
        <is>
          <t>KALMAR LÄN</t>
        </is>
      </c>
      <c r="G492" t="inlineStr">
        <is>
          <t>EMMABODA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44851</v>
      </c>
      <c r="E493" s="1" t="n">
        <v>46299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46299</v>
      </c>
      <c r="F494" t="inlineStr">
        <is>
          <t>KALMAR LÄN</t>
        </is>
      </c>
      <c r="G494" t="inlineStr">
        <is>
          <t>EMMABODA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46299</v>
      </c>
      <c r="F495" t="inlineStr">
        <is>
          <t>KALMAR LÄN</t>
        </is>
      </c>
      <c r="G495" t="inlineStr">
        <is>
          <t>EMMABODA</t>
        </is>
      </c>
      <c r="H495" t="inlineStr">
        <is>
          <t>Sveaskog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59737-2021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44494</v>
      </c>
      <c r="E496" s="1" t="n">
        <v>46299</v>
      </c>
      <c r="F496" t="inlineStr">
        <is>
          <t>KALMAR LÄN</t>
        </is>
      </c>
      <c r="G496" t="inlineStr">
        <is>
          <t>EMMABODA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56549-2022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44893</v>
      </c>
      <c r="E497" s="1" t="n">
        <v>46299</v>
      </c>
      <c r="F497" t="inlineStr">
        <is>
          <t>KALMAR LÄN</t>
        </is>
      </c>
      <c r="G497" t="inlineStr">
        <is>
          <t>EMMABODA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46127</v>
      </c>
      <c r="E498" s="1" t="n">
        <v>46299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66333-2021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44518</v>
      </c>
      <c r="E499" s="1" t="n">
        <v>46299</v>
      </c>
      <c r="F499" t="inlineStr">
        <is>
          <t>KALMAR LÄN</t>
        </is>
      </c>
      <c r="G499" t="inlineStr">
        <is>
          <t>EMMABODA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24776-2022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44728</v>
      </c>
      <c r="E500" s="1" t="n">
        <v>46299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45009</v>
      </c>
      <c r="E501" s="1" t="n">
        <v>46299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46299</v>
      </c>
      <c r="F502" t="inlineStr">
        <is>
          <t>KALMAR LÄN</t>
        </is>
      </c>
      <c r="G502" t="inlineStr">
        <is>
          <t>EMMABODA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46299</v>
      </c>
      <c r="F503" t="inlineStr">
        <is>
          <t>KALMAR LÄN</t>
        </is>
      </c>
      <c r="G503" t="inlineStr">
        <is>
          <t>EMMABODA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14140-2023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45009</v>
      </c>
      <c r="E504" s="1" t="n">
        <v>46299</v>
      </c>
      <c r="F504" t="inlineStr">
        <is>
          <t>KALMAR LÄN</t>
        </is>
      </c>
      <c r="G504" t="inlineStr">
        <is>
          <t>EMMABODA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46299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30689-2026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46211</v>
      </c>
      <c r="E506" s="1" t="n">
        <v>46299</v>
      </c>
      <c r="F506" t="inlineStr">
        <is>
          <t>KALMAR LÄN</t>
        </is>
      </c>
      <c r="G506" t="inlineStr">
        <is>
          <t>EMMABODA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46299</v>
      </c>
      <c r="F507" t="inlineStr">
        <is>
          <t>KALMAR LÄN</t>
        </is>
      </c>
      <c r="G507" t="inlineStr">
        <is>
          <t>EMMABODA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61791-2022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44911</v>
      </c>
      <c r="E508" s="1" t="n">
        <v>46299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46299</v>
      </c>
      <c r="F509" t="inlineStr">
        <is>
          <t>KALMAR LÄN</t>
        </is>
      </c>
      <c r="G509" t="inlineStr">
        <is>
          <t>EMMABODA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37630-2023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45159</v>
      </c>
      <c r="E510" s="1" t="n">
        <v>46299</v>
      </c>
      <c r="F510" t="inlineStr">
        <is>
          <t>KALMAR LÄN</t>
        </is>
      </c>
      <c r="G510" t="inlineStr">
        <is>
          <t>EMMABODA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46299</v>
      </c>
      <c r="F511" t="inlineStr">
        <is>
          <t>KALMAR LÄN</t>
        </is>
      </c>
      <c r="G511" t="inlineStr">
        <is>
          <t>EMMABODA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32661-2024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45514</v>
      </c>
      <c r="E512" s="1" t="n">
        <v>46299</v>
      </c>
      <c r="F512" t="inlineStr">
        <is>
          <t>KALMAR LÄN</t>
        </is>
      </c>
      <c r="G512" t="inlineStr">
        <is>
          <t>EMMABODA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45514</v>
      </c>
      <c r="E513" s="1" t="n">
        <v>46299</v>
      </c>
      <c r="F513" t="inlineStr">
        <is>
          <t>KALMAR LÄN</t>
        </is>
      </c>
      <c r="G513" t="inlineStr">
        <is>
          <t>EMMABODA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46299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44879</v>
      </c>
      <c r="E515" s="1" t="n">
        <v>46299</v>
      </c>
      <c r="F515" t="inlineStr">
        <is>
          <t>KALMAR LÄN</t>
        </is>
      </c>
      <c r="G515" t="inlineStr">
        <is>
          <t>EMMABODA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46299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45126</v>
      </c>
      <c r="E517" s="1" t="n">
        <v>46299</v>
      </c>
      <c r="F517" t="inlineStr">
        <is>
          <t>KALMAR LÄN</t>
        </is>
      </c>
      <c r="G517" t="inlineStr">
        <is>
          <t>EMMABODA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46299</v>
      </c>
      <c r="F518" t="inlineStr">
        <is>
          <t>KALMAR LÄN</t>
        </is>
      </c>
      <c r="G518" t="inlineStr">
        <is>
          <t>EMMABODA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33083-2023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45126</v>
      </c>
      <c r="E519" s="1" t="n">
        <v>46299</v>
      </c>
      <c r="F519" t="inlineStr">
        <is>
          <t>KALMAR LÄN</t>
        </is>
      </c>
      <c r="G519" t="inlineStr">
        <is>
          <t>EMMABODA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45155</v>
      </c>
      <c r="E520" s="1" t="n">
        <v>46299</v>
      </c>
      <c r="F520" t="inlineStr">
        <is>
          <t>KALMAR LÄN</t>
        </is>
      </c>
      <c r="G520" t="inlineStr">
        <is>
          <t>EMMABODA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44953</v>
      </c>
      <c r="E521" s="1" t="n">
        <v>46299</v>
      </c>
      <c r="F521" t="inlineStr">
        <is>
          <t>KALMAR LÄN</t>
        </is>
      </c>
      <c r="G521" t="inlineStr">
        <is>
          <t>EMMABODA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45362</v>
      </c>
      <c r="E522" s="1" t="n">
        <v>46299</v>
      </c>
      <c r="F522" t="inlineStr">
        <is>
          <t>KALMAR LÄN</t>
        </is>
      </c>
      <c r="G522" t="inlineStr">
        <is>
          <t>EMMABODA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46299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20648-2022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44700</v>
      </c>
      <c r="E524" s="1" t="n">
        <v>46299</v>
      </c>
      <c r="F524" t="inlineStr">
        <is>
          <t>KALMAR LÄN</t>
        </is>
      </c>
      <c r="G524" t="inlineStr">
        <is>
          <t>EMMABODA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46271</v>
      </c>
      <c r="E525" s="1" t="n">
        <v>46299</v>
      </c>
      <c r="F525" t="inlineStr">
        <is>
          <t>KALMAR LÄN</t>
        </is>
      </c>
      <c r="G525" t="inlineStr">
        <is>
          <t>EMMABODA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46299</v>
      </c>
      <c r="F526" t="inlineStr">
        <is>
          <t>KALMAR LÄN</t>
        </is>
      </c>
      <c r="G526" t="inlineStr">
        <is>
          <t>EMMABODA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46272</v>
      </c>
      <c r="E527" s="1" t="n">
        <v>46299</v>
      </c>
      <c r="F527" t="inlineStr">
        <is>
          <t>KALMAR LÄN</t>
        </is>
      </c>
      <c r="G527" t="inlineStr">
        <is>
          <t>EMMABODA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45743</v>
      </c>
      <c r="E528" s="1" t="n">
        <v>46299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45296</v>
      </c>
      <c r="E529" s="1" t="n">
        <v>46299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68947-2021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44530</v>
      </c>
      <c r="E530" s="1" t="n">
        <v>46299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31860-2022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44777</v>
      </c>
      <c r="E531" s="1" t="n">
        <v>46299</v>
      </c>
      <c r="F531" t="inlineStr">
        <is>
          <t>KALMAR LÄN</t>
        </is>
      </c>
      <c r="G531" t="inlineStr">
        <is>
          <t>EMMABODA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60674-2024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46299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46299</v>
      </c>
      <c r="F533" t="inlineStr">
        <is>
          <t>KALMAR LÄN</t>
        </is>
      </c>
      <c r="G533" t="inlineStr">
        <is>
          <t>EMMABODA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27155-2026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46188</v>
      </c>
      <c r="E534" s="1" t="n">
        <v>46299</v>
      </c>
      <c r="F534" t="inlineStr">
        <is>
          <t>KALMAR LÄN</t>
        </is>
      </c>
      <c r="G534" t="inlineStr">
        <is>
          <t>EMMABODA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46299</v>
      </c>
      <c r="F535" t="inlineStr">
        <is>
          <t>KALMAR LÄN</t>
        </is>
      </c>
      <c r="G535" t="inlineStr">
        <is>
          <t>EMMABODA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46299</v>
      </c>
      <c r="F536" t="inlineStr">
        <is>
          <t>KALMAR LÄN</t>
        </is>
      </c>
      <c r="G536" t="inlineStr">
        <is>
          <t>EMMABODA</t>
        </is>
      </c>
      <c r="H536" t="inlineStr">
        <is>
          <t>Sveaskog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46299</v>
      </c>
      <c r="F537" t="inlineStr">
        <is>
          <t>KALMAR LÄN</t>
        </is>
      </c>
      <c r="G537" t="inlineStr">
        <is>
          <t>EMMABODA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46299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37823-2026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46299</v>
      </c>
      <c r="F539" t="inlineStr">
        <is>
          <t>KALMAR LÄN</t>
        </is>
      </c>
      <c r="G539" t="inlineStr">
        <is>
          <t>EMMABODA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46279</v>
      </c>
      <c r="E540" s="1" t="n">
        <v>46299</v>
      </c>
      <c r="F540" t="inlineStr">
        <is>
          <t>KALMAR LÄN</t>
        </is>
      </c>
      <c r="G540" t="inlineStr">
        <is>
          <t>EMMABODA</t>
        </is>
      </c>
      <c r="H540" t="inlineStr">
        <is>
          <t>Sveaskog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46299</v>
      </c>
      <c r="F541" t="inlineStr">
        <is>
          <t>KALMAR LÄN</t>
        </is>
      </c>
      <c r="G541" t="inlineStr">
        <is>
          <t>EMMABODA</t>
        </is>
      </c>
      <c r="H541" t="inlineStr">
        <is>
          <t>Sveaskog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37731-2026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46279</v>
      </c>
      <c r="E542" s="1" t="n">
        <v>46299</v>
      </c>
      <c r="F542" t="inlineStr">
        <is>
          <t>KALMAR LÄN</t>
        </is>
      </c>
      <c r="G542" t="inlineStr">
        <is>
          <t>EMMABODA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46279</v>
      </c>
      <c r="E543" s="1" t="n">
        <v>46299</v>
      </c>
      <c r="F543" t="inlineStr">
        <is>
          <t>KALMAR LÄN</t>
        </is>
      </c>
      <c r="G543" t="inlineStr">
        <is>
          <t>EMMABODA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49624-2023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45211</v>
      </c>
      <c r="E544" s="1" t="n">
        <v>46299</v>
      </c>
      <c r="F544" t="inlineStr">
        <is>
          <t>KALMAR LÄN</t>
        </is>
      </c>
      <c r="G544" t="inlineStr">
        <is>
          <t>EMMABODA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19551-2026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46134</v>
      </c>
      <c r="E545" s="1" t="n">
        <v>46299</v>
      </c>
      <c r="F545" t="inlineStr">
        <is>
          <t>KALMAR LÄN</t>
        </is>
      </c>
      <c r="G545" t="inlineStr">
        <is>
          <t>EMMABODA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46299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46279</v>
      </c>
      <c r="E547" s="1" t="n">
        <v>46299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37737-2026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46279</v>
      </c>
      <c r="E548" s="1" t="n">
        <v>46299</v>
      </c>
      <c r="F548" t="inlineStr">
        <is>
          <t>KALMAR LÄN</t>
        </is>
      </c>
      <c r="G548" t="inlineStr">
        <is>
          <t>EMMABODA</t>
        </is>
      </c>
      <c r="H548" t="inlineStr">
        <is>
          <t>Sveaskog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39100-2023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45164</v>
      </c>
      <c r="E549" s="1" t="n">
        <v>46299</v>
      </c>
      <c r="F549" t="inlineStr">
        <is>
          <t>KALMAR LÄN</t>
        </is>
      </c>
      <c r="G549" t="inlineStr">
        <is>
          <t>EMMABODA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45190</v>
      </c>
      <c r="E550" s="1" t="n">
        <v>46299</v>
      </c>
      <c r="F550" t="inlineStr">
        <is>
          <t>KALMAR LÄN</t>
        </is>
      </c>
      <c r="G550" t="inlineStr">
        <is>
          <t>EMMABODA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44993</v>
      </c>
      <c r="E551" s="1" t="n">
        <v>46299</v>
      </c>
      <c r="F551" t="inlineStr">
        <is>
          <t>KALMAR LÄN</t>
        </is>
      </c>
      <c r="G551" t="inlineStr">
        <is>
          <t>EMMABODA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10157-2025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46299</v>
      </c>
      <c r="F552" t="inlineStr">
        <is>
          <t>KALMAR LÄN</t>
        </is>
      </c>
      <c r="G552" t="inlineStr">
        <is>
          <t>EMMABODA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45719</v>
      </c>
      <c r="E553" s="1" t="n">
        <v>46299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45349</v>
      </c>
      <c r="E554" s="1" t="n">
        <v>46299</v>
      </c>
      <c r="F554" t="inlineStr">
        <is>
          <t>KALMAR LÄN</t>
        </is>
      </c>
      <c r="G554" t="inlineStr">
        <is>
          <t>EMMABODA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45531</v>
      </c>
      <c r="E555" s="1" t="n">
        <v>46299</v>
      </c>
      <c r="F555" t="inlineStr">
        <is>
          <t>KALMAR LÄN</t>
        </is>
      </c>
      <c r="G555" t="inlineStr">
        <is>
          <t>EMMABODA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33082-2023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45126</v>
      </c>
      <c r="E556" s="1" t="n">
        <v>46299</v>
      </c>
      <c r="F556" t="inlineStr">
        <is>
          <t>KALMAR LÄN</t>
        </is>
      </c>
      <c r="G556" t="inlineStr">
        <is>
          <t>EMMABODA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50500-2022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44861</v>
      </c>
      <c r="E557" s="1" t="n">
        <v>46299</v>
      </c>
      <c r="F557" t="inlineStr">
        <is>
          <t>KALMAR LÄN</t>
        </is>
      </c>
      <c r="G557" t="inlineStr">
        <is>
          <t>EMMABODA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46299</v>
      </c>
      <c r="F558" t="inlineStr">
        <is>
          <t>KALMAR LÄN</t>
        </is>
      </c>
      <c r="G558" t="inlineStr">
        <is>
          <t>EMMABODA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45772</v>
      </c>
      <c r="E559" s="1" t="n">
        <v>46299</v>
      </c>
      <c r="F559" t="inlineStr">
        <is>
          <t>KALMAR LÄN</t>
        </is>
      </c>
      <c r="G559" t="inlineStr">
        <is>
          <t>EMMABODA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46299</v>
      </c>
      <c r="F560" t="inlineStr">
        <is>
          <t>KALMAR LÄN</t>
        </is>
      </c>
      <c r="G560" t="inlineStr">
        <is>
          <t>EMMABODA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27488-2024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46299</v>
      </c>
      <c r="F561" t="inlineStr">
        <is>
          <t>KALMAR LÄN</t>
        </is>
      </c>
      <c r="G561" t="inlineStr">
        <is>
          <t>EMMABODA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46299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45126</v>
      </c>
      <c r="E563" s="1" t="n">
        <v>46299</v>
      </c>
      <c r="F563" t="inlineStr">
        <is>
          <t>KALMAR LÄN</t>
        </is>
      </c>
      <c r="G563" t="inlineStr">
        <is>
          <t>EMMABODA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44490-2024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45574</v>
      </c>
      <c r="E564" s="1" t="n">
        <v>46299</v>
      </c>
      <c r="F564" t="inlineStr">
        <is>
          <t>KALMAR LÄN</t>
        </is>
      </c>
      <c r="G564" t="inlineStr">
        <is>
          <t>EMMABODA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45204</v>
      </c>
      <c r="E565" s="1" t="n">
        <v>46299</v>
      </c>
      <c r="F565" t="inlineStr">
        <is>
          <t>KALMAR LÄN</t>
        </is>
      </c>
      <c r="G565" t="inlineStr">
        <is>
          <t>EMMABODA</t>
        </is>
      </c>
      <c r="H565" t="inlineStr">
        <is>
          <t>Övriga Aktiebolag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54230-2023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45232</v>
      </c>
      <c r="E566" s="1" t="n">
        <v>46299</v>
      </c>
      <c r="F566" t="inlineStr">
        <is>
          <t>KALMAR LÄN</t>
        </is>
      </c>
      <c r="G566" t="inlineStr">
        <is>
          <t>EMMABODA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46299</v>
      </c>
      <c r="F567" t="inlineStr">
        <is>
          <t>KALMAR LÄN</t>
        </is>
      </c>
      <c r="G567" t="inlineStr">
        <is>
          <t>EMMABODA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38970-2026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46286</v>
      </c>
      <c r="E568" s="1" t="n">
        <v>46299</v>
      </c>
      <c r="F568" t="inlineStr">
        <is>
          <t>KALMAR LÄN</t>
        </is>
      </c>
      <c r="G568" t="inlineStr">
        <is>
          <t>EMMABODA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46299</v>
      </c>
      <c r="F569" t="inlineStr">
        <is>
          <t>KALMAR LÄN</t>
        </is>
      </c>
      <c r="G569" t="inlineStr">
        <is>
          <t>EMMABODA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46299</v>
      </c>
      <c r="F570" t="inlineStr">
        <is>
          <t>KALMAR LÄN</t>
        </is>
      </c>
      <c r="G570" t="inlineStr">
        <is>
          <t>EMMABODA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14071-2024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45392</v>
      </c>
      <c r="E571" s="1" t="n">
        <v>46299</v>
      </c>
      <c r="F571" t="inlineStr">
        <is>
          <t>KALMAR LÄN</t>
        </is>
      </c>
      <c r="G571" t="inlineStr">
        <is>
          <t>EMMABODA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11616-2025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45727</v>
      </c>
      <c r="E572" s="1" t="n">
        <v>46299</v>
      </c>
      <c r="F572" t="inlineStr">
        <is>
          <t>KALMAR LÄN</t>
        </is>
      </c>
      <c r="G572" t="inlineStr">
        <is>
          <t>EMMABODA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7719-2025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45706</v>
      </c>
      <c r="E573" s="1" t="n">
        <v>46299</v>
      </c>
      <c r="F573" t="inlineStr">
        <is>
          <t>KALMAR LÄN</t>
        </is>
      </c>
      <c r="G573" t="inlineStr">
        <is>
          <t>EMMABODA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45740</v>
      </c>
      <c r="E574" s="1" t="n">
        <v>46299</v>
      </c>
      <c r="F574" t="inlineStr">
        <is>
          <t>KALMAR LÄN</t>
        </is>
      </c>
      <c r="G574" t="inlineStr">
        <is>
          <t>EMMABODA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45341</v>
      </c>
      <c r="E575" s="1" t="n">
        <v>46299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44995</v>
      </c>
      <c r="E576" s="1" t="n">
        <v>46299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45926</v>
      </c>
      <c r="E577" s="1" t="n">
        <v>46299</v>
      </c>
      <c r="F577" t="inlineStr">
        <is>
          <t>KALMAR LÄN</t>
        </is>
      </c>
      <c r="G577" t="inlineStr">
        <is>
          <t>EMMABODA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13276-2023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45003</v>
      </c>
      <c r="E578" s="1" t="n">
        <v>46299</v>
      </c>
      <c r="F578" t="inlineStr">
        <is>
          <t>KALMAR LÄN</t>
        </is>
      </c>
      <c r="G578" t="inlineStr">
        <is>
          <t>EMMABODA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45477</v>
      </c>
      <c r="E579" s="1" t="n">
        <v>46299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12014-2023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44995</v>
      </c>
      <c r="E580" s="1" t="n">
        <v>46299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46288</v>
      </c>
      <c r="E581" s="1" t="n">
        <v>46299</v>
      </c>
      <c r="F581" t="inlineStr">
        <is>
          <t>KALMAR LÄN</t>
        </is>
      </c>
      <c r="G581" t="inlineStr">
        <is>
          <t>EMMABODA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33050-2023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46299</v>
      </c>
      <c r="F582" t="inlineStr">
        <is>
          <t>KALMAR LÄN</t>
        </is>
      </c>
      <c r="G582" t="inlineStr">
        <is>
          <t>EMMABODA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32663-2024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45514</v>
      </c>
      <c r="E583" s="1" t="n">
        <v>46299</v>
      </c>
      <c r="F583" t="inlineStr">
        <is>
          <t>KALMAR LÄN</t>
        </is>
      </c>
      <c r="G583" t="inlineStr">
        <is>
          <t>EMMABODA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45146</v>
      </c>
      <c r="E584" s="1" t="n">
        <v>46299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46288</v>
      </c>
      <c r="E585" s="1" t="n">
        <v>46299</v>
      </c>
      <c r="F585" t="inlineStr">
        <is>
          <t>KALMAR LÄN</t>
        </is>
      </c>
      <c r="G585" t="inlineStr">
        <is>
          <t>EMMABODA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44959</v>
      </c>
      <c r="E586" s="1" t="n">
        <v>46299</v>
      </c>
      <c r="F586" t="inlineStr">
        <is>
          <t>KALMAR LÄN</t>
        </is>
      </c>
      <c r="G586" t="inlineStr">
        <is>
          <t>EMMABODA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21844-2023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45068</v>
      </c>
      <c r="E587" s="1" t="n">
        <v>46299</v>
      </c>
      <c r="F587" t="inlineStr">
        <is>
          <t>KALMAR LÄN</t>
        </is>
      </c>
      <c r="G587" t="inlineStr">
        <is>
          <t>EMMABODA</t>
        </is>
      </c>
      <c r="H587" t="inlineStr">
        <is>
          <t>Kommuner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8112-2025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45707</v>
      </c>
      <c r="E588" s="1" t="n">
        <v>46299</v>
      </c>
      <c r="F588" t="inlineStr">
        <is>
          <t>KALMAR LÄN</t>
        </is>
      </c>
      <c r="G588" t="inlineStr">
        <is>
          <t>EMMABODA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46728-2022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44851</v>
      </c>
      <c r="E589" s="1" t="n">
        <v>46299</v>
      </c>
      <c r="F589" t="inlineStr">
        <is>
          <t>KALMAR LÄN</t>
        </is>
      </c>
      <c r="G589" t="inlineStr">
        <is>
          <t>EMMABODA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44608</v>
      </c>
      <c r="E590" s="1" t="n">
        <v>46299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27028-2023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45095</v>
      </c>
      <c r="E591" s="1" t="n">
        <v>46299</v>
      </c>
      <c r="F591" t="inlineStr">
        <is>
          <t>KALMAR LÄN</t>
        </is>
      </c>
      <c r="G591" t="inlineStr">
        <is>
          <t>EMMABODA</t>
        </is>
      </c>
      <c r="I591" t="n">
        <v>11.3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44580</v>
      </c>
      <c r="E592" s="1" t="n">
        <v>46299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39812-2026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46299</v>
      </c>
      <c r="F593" t="inlineStr">
        <is>
          <t>KALMAR LÄN</t>
        </is>
      </c>
      <c r="G593" t="inlineStr">
        <is>
          <t>EMMABODA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46290</v>
      </c>
      <c r="E594" s="1" t="n">
        <v>46299</v>
      </c>
      <c r="F594" t="inlineStr">
        <is>
          <t>KALMAR LÄN</t>
        </is>
      </c>
      <c r="G594" t="inlineStr">
        <is>
          <t>EMMABODA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45373</v>
      </c>
      <c r="E595" s="1" t="n">
        <v>46299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45161</v>
      </c>
      <c r="E596" s="1" t="n">
        <v>46299</v>
      </c>
      <c r="F596" t="inlineStr">
        <is>
          <t>KALMAR LÄN</t>
        </is>
      </c>
      <c r="G596" t="inlineStr">
        <is>
          <t>EMMABODA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9755-2023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44984</v>
      </c>
      <c r="E597" s="1" t="n">
        <v>46299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58839-2023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45252</v>
      </c>
      <c r="E598" s="1" t="n">
        <v>46299</v>
      </c>
      <c r="F598" t="inlineStr">
        <is>
          <t>KALMAR LÄN</t>
        </is>
      </c>
      <c r="G598" t="inlineStr">
        <is>
          <t>EMMABODA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46299</v>
      </c>
      <c r="F599" t="inlineStr">
        <is>
          <t>KALMAR LÄN</t>
        </is>
      </c>
      <c r="G599" t="inlineStr">
        <is>
          <t>EMMABODA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30460-2022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44761</v>
      </c>
      <c r="E600" s="1" t="n">
        <v>46299</v>
      </c>
      <c r="F600" t="inlineStr">
        <is>
          <t>KALMAR LÄN</t>
        </is>
      </c>
      <c r="G600" t="inlineStr">
        <is>
          <t>EMMABODA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36043-2022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44802</v>
      </c>
      <c r="E601" s="1" t="n">
        <v>46299</v>
      </c>
      <c r="F601" t="inlineStr">
        <is>
          <t>KALMAR LÄN</t>
        </is>
      </c>
      <c r="G601" t="inlineStr">
        <is>
          <t>EMMABODA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46299</v>
      </c>
      <c r="F602" t="inlineStr">
        <is>
          <t>KALMAR LÄN</t>
        </is>
      </c>
      <c r="G602" t="inlineStr">
        <is>
          <t>EMMABODA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37296-2022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44808</v>
      </c>
      <c r="E603" s="1" t="n">
        <v>46299</v>
      </c>
      <c r="F603" t="inlineStr">
        <is>
          <t>KALMAR LÄN</t>
        </is>
      </c>
      <c r="G603" t="inlineStr">
        <is>
          <t>EMMABODA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33160-2026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46245</v>
      </c>
      <c r="E604" s="1" t="n">
        <v>46299</v>
      </c>
      <c r="F604" t="inlineStr">
        <is>
          <t>KALMAR LÄN</t>
        </is>
      </c>
      <c r="G604" t="inlineStr">
        <is>
          <t>EMMABODA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46299</v>
      </c>
      <c r="F605" t="inlineStr">
        <is>
          <t>KALMAR LÄN</t>
        </is>
      </c>
      <c r="G605" t="inlineStr">
        <is>
          <t>EMMABODA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44542-2023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45189</v>
      </c>
      <c r="E606" s="1" t="n">
        <v>46299</v>
      </c>
      <c r="F606" t="inlineStr">
        <is>
          <t>KALMAR LÄN</t>
        </is>
      </c>
      <c r="G606" t="inlineStr">
        <is>
          <t>EMMABODA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33759-2026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46299</v>
      </c>
      <c r="F607" t="inlineStr">
        <is>
          <t>KALMAR LÄN</t>
        </is>
      </c>
      <c r="G607" t="inlineStr">
        <is>
          <t>EMMABODA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20052-2025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45772</v>
      </c>
      <c r="E608" s="1" t="n">
        <v>46299</v>
      </c>
      <c r="F608" t="inlineStr">
        <is>
          <t>KALMAR LÄN</t>
        </is>
      </c>
      <c r="G608" t="inlineStr">
        <is>
          <t>EMMABODA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45049</v>
      </c>
      <c r="E609" s="1" t="n">
        <v>46299</v>
      </c>
      <c r="F609" t="inlineStr">
        <is>
          <t>KALMAR LÄN</t>
        </is>
      </c>
      <c r="G609" t="inlineStr">
        <is>
          <t>EMMABODA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69464-2021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44531</v>
      </c>
      <c r="E610" s="1" t="n">
        <v>46299</v>
      </c>
      <c r="F610" t="inlineStr">
        <is>
          <t>KALMAR LÄN</t>
        </is>
      </c>
      <c r="G610" t="inlineStr">
        <is>
          <t>EMMABODA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46299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19695-2023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45051</v>
      </c>
      <c r="E612" s="1" t="n">
        <v>46299</v>
      </c>
      <c r="F612" t="inlineStr">
        <is>
          <t>KALMAR LÄN</t>
        </is>
      </c>
      <c r="G612" t="inlineStr">
        <is>
          <t>EMMABODA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33067-2023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46299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45126</v>
      </c>
      <c r="E614" s="1" t="n">
        <v>46299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4031-2024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46299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46253</v>
      </c>
      <c r="E616" s="1" t="n">
        <v>46299</v>
      </c>
      <c r="F616" t="inlineStr">
        <is>
          <t>KALMAR LÄN</t>
        </is>
      </c>
      <c r="G616" t="inlineStr">
        <is>
          <t>EMMABODA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16703-2022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44673</v>
      </c>
      <c r="E617" s="1" t="n">
        <v>46299</v>
      </c>
      <c r="F617" t="inlineStr">
        <is>
          <t>KALMAR LÄN</t>
        </is>
      </c>
      <c r="G617" t="inlineStr">
        <is>
          <t>EMMABODA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49726-2024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45596</v>
      </c>
      <c r="E618" s="1" t="n">
        <v>46299</v>
      </c>
      <c r="F618" t="inlineStr">
        <is>
          <t>KALMAR LÄN</t>
        </is>
      </c>
      <c r="G618" t="inlineStr">
        <is>
          <t>EMMABODA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34891-2026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46255</v>
      </c>
      <c r="E619" s="1" t="n">
        <v>46299</v>
      </c>
      <c r="F619" t="inlineStr">
        <is>
          <t>KALMAR LÄN</t>
        </is>
      </c>
      <c r="G619" t="inlineStr">
        <is>
          <t>EMMABODA</t>
        </is>
      </c>
      <c r="H619" t="inlineStr">
        <is>
          <t>Kyrkan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46230</v>
      </c>
      <c r="E620" s="1" t="n">
        <v>46299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44893</v>
      </c>
      <c r="E621" s="1" t="n">
        <v>46299</v>
      </c>
      <c r="F621" t="inlineStr">
        <is>
          <t>KALMAR LÄN</t>
        </is>
      </c>
      <c r="G621" t="inlineStr">
        <is>
          <t>EMMABODA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45668</v>
      </c>
      <c r="E622" s="1" t="n">
        <v>46299</v>
      </c>
      <c r="F622" t="inlineStr">
        <is>
          <t>KALMAR LÄN</t>
        </is>
      </c>
      <c r="G622" t="inlineStr">
        <is>
          <t>EMMABODA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30262-2022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44759</v>
      </c>
      <c r="E623" s="1" t="n">
        <v>46299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46255</v>
      </c>
      <c r="E624" s="1" t="n">
        <v>46299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34896-2026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46255</v>
      </c>
      <c r="E625" s="1" t="n">
        <v>46299</v>
      </c>
      <c r="F625" t="inlineStr">
        <is>
          <t>KALMAR LÄN</t>
        </is>
      </c>
      <c r="G625" t="inlineStr">
        <is>
          <t>EMMABODA</t>
        </is>
      </c>
      <c r="H625" t="inlineStr">
        <is>
          <t>Kyrkan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34905-2026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46299</v>
      </c>
      <c r="F626" t="inlineStr">
        <is>
          <t>KALMAR LÄN</t>
        </is>
      </c>
      <c r="G626" t="inlineStr">
        <is>
          <t>EMMABODA</t>
        </is>
      </c>
      <c r="H626" t="inlineStr">
        <is>
          <t>Kyrkan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34913-2026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46255</v>
      </c>
      <c r="E627" s="1" t="n">
        <v>46299</v>
      </c>
      <c r="F627" t="inlineStr">
        <is>
          <t>KALMAR LÄN</t>
        </is>
      </c>
      <c r="G627" t="inlineStr">
        <is>
          <t>EMMABODA</t>
        </is>
      </c>
      <c r="H627" t="inlineStr">
        <is>
          <t>Kyrkan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46253</v>
      </c>
      <c r="E628" s="1" t="n">
        <v>46299</v>
      </c>
      <c r="F628" t="inlineStr">
        <is>
          <t>KALMAR LÄN</t>
        </is>
      </c>
      <c r="G628" t="inlineStr">
        <is>
          <t>EMMABODA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44594</v>
      </c>
      <c r="E629" s="1" t="n">
        <v>46299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34904-2026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46255</v>
      </c>
      <c r="E630" s="1" t="n">
        <v>46299</v>
      </c>
      <c r="F630" t="inlineStr">
        <is>
          <t>KALMAR LÄN</t>
        </is>
      </c>
      <c r="G630" t="inlineStr">
        <is>
          <t>EMMABODA</t>
        </is>
      </c>
      <c r="H630" t="inlineStr">
        <is>
          <t>Kyrkan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34914-2026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46255</v>
      </c>
      <c r="E631" s="1" t="n">
        <v>46299</v>
      </c>
      <c r="F631" t="inlineStr">
        <is>
          <t>KALMAR LÄN</t>
        </is>
      </c>
      <c r="G631" t="inlineStr">
        <is>
          <t>EMMABODA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45323</v>
      </c>
      <c r="E632" s="1" t="n">
        <v>46299</v>
      </c>
      <c r="F632" t="inlineStr">
        <is>
          <t>KALMAR LÄN</t>
        </is>
      </c>
      <c r="G632" t="inlineStr">
        <is>
          <t>EMMABODA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47149-2022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46299</v>
      </c>
      <c r="F633" t="inlineStr">
        <is>
          <t>KALMAR LÄN</t>
        </is>
      </c>
      <c r="G633" t="inlineStr">
        <is>
          <t>EMMABODA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36009-2023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45149</v>
      </c>
      <c r="E634" s="1" t="n">
        <v>46299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30515-2023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45111</v>
      </c>
      <c r="E635" s="1" t="n">
        <v>46299</v>
      </c>
      <c r="F635" t="inlineStr">
        <is>
          <t>KALMAR LÄN</t>
        </is>
      </c>
      <c r="G635" t="inlineStr">
        <is>
          <t>EMMABODA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2354-2024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46299</v>
      </c>
      <c r="F636" t="inlineStr">
        <is>
          <t>KALMAR LÄN</t>
        </is>
      </c>
      <c r="G636" t="inlineStr">
        <is>
          <t>EMMABODA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48926-2023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45204</v>
      </c>
      <c r="E637" s="1" t="n">
        <v>46299</v>
      </c>
      <c r="F637" t="inlineStr">
        <is>
          <t>KALMAR LÄN</t>
        </is>
      </c>
      <c r="G637" t="inlineStr">
        <is>
          <t>EMMABODA</t>
        </is>
      </c>
      <c r="H637" t="inlineStr">
        <is>
          <t>Övriga Aktiebolag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21291-2023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45062</v>
      </c>
      <c r="E638" s="1" t="n">
        <v>46299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42194-2024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46299</v>
      </c>
      <c r="F639" t="inlineStr">
        <is>
          <t>KALMAR LÄN</t>
        </is>
      </c>
      <c r="G639" t="inlineStr">
        <is>
          <t>EMMABODA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28681-2023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45103</v>
      </c>
      <c r="E640" s="1" t="n">
        <v>46299</v>
      </c>
      <c r="F640" t="inlineStr">
        <is>
          <t>KALMAR LÄN</t>
        </is>
      </c>
      <c r="G640" t="inlineStr">
        <is>
          <t>EMMABODA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5192-2025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45688</v>
      </c>
      <c r="E641" s="1" t="n">
        <v>46299</v>
      </c>
      <c r="F641" t="inlineStr">
        <is>
          <t>KALMAR LÄN</t>
        </is>
      </c>
      <c r="G641" t="inlineStr">
        <is>
          <t>EMMABODA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44589</v>
      </c>
      <c r="E642" s="1" t="n">
        <v>46299</v>
      </c>
      <c r="F642" t="inlineStr">
        <is>
          <t>KALMAR LÄN</t>
        </is>
      </c>
      <c r="G642" t="inlineStr">
        <is>
          <t>EMMABODA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44726</v>
      </c>
      <c r="E643" s="1" t="n">
        <v>46299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14792-2025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45742</v>
      </c>
      <c r="E644" s="1" t="n">
        <v>46299</v>
      </c>
      <c r="F644" t="inlineStr">
        <is>
          <t>KALMAR LÄN</t>
        </is>
      </c>
      <c r="G644" t="inlineStr">
        <is>
          <t>EMMABODA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67538-2021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44524</v>
      </c>
      <c r="E645" s="1" t="n">
        <v>46299</v>
      </c>
      <c r="F645" t="inlineStr">
        <is>
          <t>KALMAR LÄN</t>
        </is>
      </c>
      <c r="G645" t="inlineStr">
        <is>
          <t>EMMABODA</t>
        </is>
      </c>
      <c r="I645" t="n">
        <v>11.6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24983-2022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44728</v>
      </c>
      <c r="E646" s="1" t="n">
        <v>46299</v>
      </c>
      <c r="F646" t="inlineStr">
        <is>
          <t>KALMAR LÄN</t>
        </is>
      </c>
      <c r="G646" t="inlineStr">
        <is>
          <t>EMMABODA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45182</v>
      </c>
      <c r="E647" s="1" t="n">
        <v>46299</v>
      </c>
      <c r="F647" t="inlineStr">
        <is>
          <t>KALMAR LÄN</t>
        </is>
      </c>
      <c r="G647" t="inlineStr">
        <is>
          <t>EMMABODA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38924-2022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44816</v>
      </c>
      <c r="E648" s="1" t="n">
        <v>46299</v>
      </c>
      <c r="F648" t="inlineStr">
        <is>
          <t>KALMAR LÄN</t>
        </is>
      </c>
      <c r="G648" t="inlineStr">
        <is>
          <t>EMMABODA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44924-2022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44840</v>
      </c>
      <c r="E649" s="1" t="n">
        <v>46299</v>
      </c>
      <c r="F649" t="inlineStr">
        <is>
          <t>KALMAR LÄN</t>
        </is>
      </c>
      <c r="G649" t="inlineStr">
        <is>
          <t>EMMABODA</t>
        </is>
      </c>
      <c r="H649" t="inlineStr">
        <is>
          <t>Övriga Aktiebolag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49284-2024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45595</v>
      </c>
      <c r="E650" s="1" t="n">
        <v>46299</v>
      </c>
      <c r="F650" t="inlineStr">
        <is>
          <t>KALMAR LÄN</t>
        </is>
      </c>
      <c r="G650" t="inlineStr">
        <is>
          <t>EMMABODA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57794-2022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44897</v>
      </c>
      <c r="E651" s="1" t="n">
        <v>46299</v>
      </c>
      <c r="F651" t="inlineStr">
        <is>
          <t>KALMAR LÄN</t>
        </is>
      </c>
      <c r="G651" t="inlineStr">
        <is>
          <t>EMMABODA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63215-2023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45273</v>
      </c>
      <c r="E652" s="1" t="n">
        <v>46299</v>
      </c>
      <c r="F652" t="inlineStr">
        <is>
          <t>KALMAR LÄN</t>
        </is>
      </c>
      <c r="G652" t="inlineStr">
        <is>
          <t>EMMABODA</t>
        </is>
      </c>
      <c r="H652" t="inlineStr">
        <is>
          <t>Kommuner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7839-2024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45349</v>
      </c>
      <c r="E653" s="1" t="n">
        <v>46299</v>
      </c>
      <c r="F653" t="inlineStr">
        <is>
          <t>KALMAR LÄN</t>
        </is>
      </c>
      <c r="G653" t="inlineStr">
        <is>
          <t>EMMABODA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41545-2022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44827</v>
      </c>
      <c r="E654" s="1" t="n">
        <v>46299</v>
      </c>
      <c r="F654" t="inlineStr">
        <is>
          <t>KALMAR LÄN</t>
        </is>
      </c>
      <c r="G654" t="inlineStr">
        <is>
          <t>EMMABODA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27414-2023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46299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73058-2021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44550</v>
      </c>
      <c r="E656" s="1" t="n">
        <v>46299</v>
      </c>
      <c r="F656" t="inlineStr">
        <is>
          <t>KALMAR LÄN</t>
        </is>
      </c>
      <c r="G656" t="inlineStr">
        <is>
          <t>EMMABODA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23437-2023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45076</v>
      </c>
      <c r="E657" s="1" t="n">
        <v>46299</v>
      </c>
      <c r="F657" t="inlineStr">
        <is>
          <t>KALMAR LÄN</t>
        </is>
      </c>
      <c r="G657" t="inlineStr">
        <is>
          <t>EMMABODA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45385</v>
      </c>
      <c r="E658" s="1" t="n">
        <v>46299</v>
      </c>
      <c r="F658" t="inlineStr">
        <is>
          <t>KALMAR LÄN</t>
        </is>
      </c>
      <c r="G658" t="inlineStr">
        <is>
          <t>EMMABODA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32687-2024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45515</v>
      </c>
      <c r="E659" s="1" t="n">
        <v>46299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45307</v>
      </c>
      <c r="E660" s="1" t="n">
        <v>46299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46299</v>
      </c>
      <c r="F661" t="inlineStr">
        <is>
          <t>KALMAR LÄN</t>
        </is>
      </c>
      <c r="G661" t="inlineStr">
        <is>
          <t>EMMABODA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43719-2023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45187</v>
      </c>
      <c r="E662" s="1" t="n">
        <v>46299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28600-2022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44748</v>
      </c>
      <c r="E663" s="1" t="n">
        <v>46299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20505-2022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44699</v>
      </c>
      <c r="E664" s="1" t="n">
        <v>46299</v>
      </c>
      <c r="F664" t="inlineStr">
        <is>
          <t>KALMAR LÄN</t>
        </is>
      </c>
      <c r="G664" t="inlineStr">
        <is>
          <t>EMMABODA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15362-2024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45400</v>
      </c>
      <c r="E665" s="1" t="n">
        <v>46299</v>
      </c>
      <c r="F665" t="inlineStr">
        <is>
          <t>KALMAR LÄN</t>
        </is>
      </c>
      <c r="G665" t="inlineStr">
        <is>
          <t>EMMABODA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53373-2023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45229</v>
      </c>
      <c r="E666" s="1" t="n">
        <v>46299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45293-2023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46299</v>
      </c>
      <c r="F667" t="inlineStr">
        <is>
          <t>KALMAR LÄN</t>
        </is>
      </c>
      <c r="G667" t="inlineStr">
        <is>
          <t>EMMABODA</t>
        </is>
      </c>
      <c r="H667" t="inlineStr">
        <is>
          <t>Kyrkan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19350-2025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45769</v>
      </c>
      <c r="E668" s="1" t="n">
        <v>46299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46299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58592-2021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46299</v>
      </c>
      <c r="F670" t="inlineStr">
        <is>
          <t>KALMAR LÄN</t>
        </is>
      </c>
      <c r="G670" t="inlineStr">
        <is>
          <t>EMMABODA</t>
        </is>
      </c>
      <c r="H670" t="inlineStr">
        <is>
          <t>Kommuner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19151-2025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46299</v>
      </c>
      <c r="F671" t="inlineStr">
        <is>
          <t>KALMAR LÄN</t>
        </is>
      </c>
      <c r="G671" t="inlineStr">
        <is>
          <t>EMMABODA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46299</v>
      </c>
      <c r="F672" t="inlineStr">
        <is>
          <t>KALMAR LÄN</t>
        </is>
      </c>
      <c r="G672" t="inlineStr">
        <is>
          <t>EMMABODA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4885-2023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44955</v>
      </c>
      <c r="E673" s="1" t="n">
        <v>46299</v>
      </c>
      <c r="F673" t="inlineStr">
        <is>
          <t>KALMAR LÄN</t>
        </is>
      </c>
      <c r="G673" t="inlineStr">
        <is>
          <t>EMMABODA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19098-2023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45048</v>
      </c>
      <c r="E674" s="1" t="n">
        <v>46299</v>
      </c>
      <c r="F674" t="inlineStr">
        <is>
          <t>KALMAR LÄN</t>
        </is>
      </c>
      <c r="G674" t="inlineStr">
        <is>
          <t>EMMABODA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8151-2024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45351</v>
      </c>
      <c r="E675" s="1" t="n">
        <v>46299</v>
      </c>
      <c r="F675" t="inlineStr">
        <is>
          <t>KALMAR LÄN</t>
        </is>
      </c>
      <c r="G675" t="inlineStr">
        <is>
          <t>EMMABODA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45534</v>
      </c>
      <c r="E676" s="1" t="n">
        <v>46299</v>
      </c>
      <c r="F676" t="inlineStr">
        <is>
          <t>KALMAR LÄN</t>
        </is>
      </c>
      <c r="G676" t="inlineStr">
        <is>
          <t>EMMABODA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46299</v>
      </c>
      <c r="F677" t="inlineStr">
        <is>
          <t>KALMAR LÄN</t>
        </is>
      </c>
      <c r="G677" t="inlineStr">
        <is>
          <t>EMMABODA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39521-2024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45551</v>
      </c>
      <c r="E678" s="1" t="n">
        <v>46299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33980-2024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45523</v>
      </c>
      <c r="E679" s="1" t="n">
        <v>46299</v>
      </c>
      <c r="F679" t="inlineStr">
        <is>
          <t>KALMAR LÄN</t>
        </is>
      </c>
      <c r="G679" t="inlineStr">
        <is>
          <t>EMMABODA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46299</v>
      </c>
      <c r="F680" t="inlineStr">
        <is>
          <t>KALMAR LÄN</t>
        </is>
      </c>
      <c r="G680" t="inlineStr">
        <is>
          <t>EMMABODA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45684</v>
      </c>
      <c r="E681" s="1" t="n">
        <v>46299</v>
      </c>
      <c r="F681" t="inlineStr">
        <is>
          <t>KALMAR LÄN</t>
        </is>
      </c>
      <c r="G681" t="inlineStr">
        <is>
          <t>EMMABODA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56254-2024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45624</v>
      </c>
      <c r="E682" s="1" t="n">
        <v>46299</v>
      </c>
      <c r="F682" t="inlineStr">
        <is>
          <t>KALMAR LÄN</t>
        </is>
      </c>
      <c r="G682" t="inlineStr">
        <is>
          <t>EMMABODA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29539-2024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45484</v>
      </c>
      <c r="E683" s="1" t="n">
        <v>46299</v>
      </c>
      <c r="F683" t="inlineStr">
        <is>
          <t>KALMAR LÄN</t>
        </is>
      </c>
      <c r="G683" t="inlineStr">
        <is>
          <t>EMMABODA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29782-2023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46299</v>
      </c>
      <c r="F684" t="inlineStr">
        <is>
          <t>KALMAR LÄN</t>
        </is>
      </c>
      <c r="G684" t="inlineStr">
        <is>
          <t>EMMABODA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22145-2024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45445</v>
      </c>
      <c r="E685" s="1" t="n">
        <v>46299</v>
      </c>
      <c r="F685" t="inlineStr">
        <is>
          <t>KALMAR LÄN</t>
        </is>
      </c>
      <c r="G685" t="inlineStr">
        <is>
          <t>EMMABODA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3291-2024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45317</v>
      </c>
      <c r="E686" s="1" t="n">
        <v>46299</v>
      </c>
      <c r="F686" t="inlineStr">
        <is>
          <t>KALMAR LÄN</t>
        </is>
      </c>
      <c r="G686" t="inlineStr">
        <is>
          <t>EMMABODA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46299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17527-2024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46299</v>
      </c>
      <c r="F688" t="inlineStr">
        <is>
          <t>KALMAR LÄN</t>
        </is>
      </c>
      <c r="G688" t="inlineStr">
        <is>
          <t>EMMABODA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59413-2024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45638</v>
      </c>
      <c r="E689" s="1" t="n">
        <v>46299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42448-2024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45565</v>
      </c>
      <c r="E690" s="1" t="n">
        <v>46299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46299</v>
      </c>
      <c r="F691" t="inlineStr">
        <is>
          <t>KALMAR LÄN</t>
        </is>
      </c>
      <c r="G691" t="inlineStr">
        <is>
          <t>EMMABODA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7596-2021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44476</v>
      </c>
      <c r="E692" s="1" t="n">
        <v>46299</v>
      </c>
      <c r="F692" t="inlineStr">
        <is>
          <t>KALMAR LÄN</t>
        </is>
      </c>
      <c r="G692" t="inlineStr">
        <is>
          <t>EMMABODA</t>
        </is>
      </c>
      <c r="I692" t="n">
        <v>35.3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3248-2023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45191</v>
      </c>
      <c r="E693" s="1" t="n">
        <v>46299</v>
      </c>
      <c r="F693" t="inlineStr">
        <is>
          <t>KALMAR LÄN</t>
        </is>
      </c>
      <c r="G693" t="inlineStr">
        <is>
          <t>EMMABODA</t>
        </is>
      </c>
      <c r="I693" t="n">
        <v>30.4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46299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46299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46299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46299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46299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46299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46299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46299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46299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46299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46299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46299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46299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46299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46299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46299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46299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46299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46299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46299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46299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46299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46299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46299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46299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46299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46299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46299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46299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46299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46299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46299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46299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46299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46299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46299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46299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46299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46299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46299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46299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46299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46299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46299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46299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2471-2026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46283</v>
      </c>
      <c r="E739" s="1" t="n">
        <v>46299</v>
      </c>
      <c r="F739" t="inlineStr">
        <is>
          <t>KALMAR LÄN</t>
        </is>
      </c>
      <c r="G739" t="inlineStr">
        <is>
          <t>EMMABODA</t>
        </is>
      </c>
      <c r="I739" t="n">
        <v>70.90000000000001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2480-2026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46286</v>
      </c>
      <c r="E740" s="1" t="n">
        <v>46299</v>
      </c>
      <c r="F740" t="inlineStr">
        <is>
          <t>KALMAR LÄN</t>
        </is>
      </c>
      <c r="G740" t="inlineStr">
        <is>
          <t>EMMABODA</t>
        </is>
      </c>
      <c r="I740" t="n">
        <v>23.1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1771-2026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46191</v>
      </c>
      <c r="E741" s="1" t="n">
        <v>46299</v>
      </c>
      <c r="F741" t="inlineStr">
        <is>
          <t>KALMAR LÄN</t>
        </is>
      </c>
      <c r="G741" t="inlineStr">
        <is>
          <t>EMMABODA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2395-2026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46276</v>
      </c>
      <c r="E742" s="1" t="n">
        <v>46299</v>
      </c>
      <c r="F742" t="inlineStr">
        <is>
          <t>KALMAR LÄN</t>
        </is>
      </c>
      <c r="G742" t="inlineStr">
        <is>
          <t>EMMABODA</t>
        </is>
      </c>
      <c r="H742" t="inlineStr">
        <is>
          <t>Kyrkan</t>
        </is>
      </c>
      <c r="I742" t="n">
        <v>113.3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2026-10-04T01:56:13Z</dcterms:created>
  <dcterms:modified xmlns:dcterms="http://purl.org/dc/terms/" xmlns:xsi="http://www.w3.org/2001/XMLSchema-instance" xsi:type="dcterms:W3CDTF">2026-10-04T01:56:14Z</dcterms:modified>
</cp:coreProperties>
</file>