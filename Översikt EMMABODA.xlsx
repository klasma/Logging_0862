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46301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46301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46301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46301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46301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46301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46301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46301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46301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46301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46301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46301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46301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46301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38119-2023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46301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38119-2023 artfynd.xlsx", "A 38119-2023")</f>
        <v/>
      </c>
      <c r="X21">
        <f>HYPERLINK("https://klasma.github.io/Logging_0862/kartor/A 38119-2023 karta.png", "A 38119-2023")</f>
        <v/>
      </c>
      <c r="Y21">
        <f>HYPERLINK("https://klasma.github.io/Logging_0862/kartor_geotiff/A 38119-2023 georefererad karta.tif", "A 38119-2023")</f>
        <v/>
      </c>
      <c r="AA21">
        <f>HYPERLINK("https://klasma.github.io/Logging_0862/klagomål/A 38119-2023 FSC-klagomål.docx", "A 38119-2023")</f>
        <v/>
      </c>
      <c r="AB21">
        <f>HYPERLINK("https://klasma.github.io/Logging_0862/klagomålsmail/A 38119-2023 FSC-klagomål mail.docx", "A 38119-2023")</f>
        <v/>
      </c>
      <c r="AC21">
        <f>HYPERLINK("https://klasma.github.io/Logging_0862/tillsyn/A 38119-2023 tillsynsbegäran.docx", "A 38119-2023")</f>
        <v/>
      </c>
      <c r="AD21">
        <f>HYPERLINK("https://klasma.github.io/Logging_0862/tillsynsmail/A 38119-2023 tillsynsbegäran mail.docx", "A 38119-2023")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46301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46301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HYPERLINK("https://klasma.github.io/Logging_0862/artfynd/A 30597-2022 artfynd.xlsx", "A 30597-2022")</f>
        <v/>
      </c>
      <c r="X23">
        <f>HYPERLINK("https://klasma.github.io/Logging_0862/kartor/A 30597-2022 karta.png", "A 30597-2022")</f>
        <v/>
      </c>
      <c r="Y23">
        <f>HYPERLINK("https://klasma.github.io/Logging_0862/kartor_geotiff/A 30597-2022 georefererad karta.tif", "A 30597-2022")</f>
        <v/>
      </c>
      <c r="AA23">
        <f>HYPERLINK("https://klasma.github.io/Logging_0862/klagomål/A 30597-2022 FSC-klagomål.docx", "A 30597-2022")</f>
        <v/>
      </c>
      <c r="AB23">
        <f>HYPERLINK("https://klasma.github.io/Logging_0862/klagomålsmail/A 30597-2022 FSC-klagomål mail.docx", "A 30597-2022")</f>
        <v/>
      </c>
      <c r="AC23">
        <f>HYPERLINK("https://klasma.github.io/Logging_0862/tillsyn/A 30597-2022 tillsynsbegäran.docx", "A 30597-2022")</f>
        <v/>
      </c>
      <c r="AD23">
        <f>HYPERLINK("https://klasma.github.io/Logging_0862/tillsynsmail/A 30597-2022 tillsynsbegäran mail.docx", "A 30597-2022")</f>
        <v/>
      </c>
    </row>
    <row r="24" ht="15" customHeight="1">
      <c r="A24" t="inlineStr">
        <is>
          <t>A 24282-2025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46301</v>
      </c>
      <c r="F24" t="inlineStr">
        <is>
          <t>KALMAR LÄN</t>
        </is>
      </c>
      <c r="G24" t="inlineStr">
        <is>
          <t>EMMABODA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HYPERLINK("https://klasma.github.io/Logging_0862/artfynd/A 24282-2025 artfynd.xlsx", "A 24282-2025")</f>
        <v/>
      </c>
      <c r="X24">
        <f>HYPERLINK("https://klasma.github.io/Logging_0862/kartor/A 24282-2025 karta.png", "A 24282-2025")</f>
        <v/>
      </c>
      <c r="Y24">
        <f>HYPERLINK("https://klasma.github.io/Logging_0862/kartor_geotiff/A 24282-2025 georefererad karta.tif", "A 24282-2025")</f>
        <v/>
      </c>
      <c r="AA24">
        <f>HYPERLINK("https://klasma.github.io/Logging_0862/klagomål/A 24282-2025 FSC-klagomål.docx", "A 24282-2025")</f>
        <v/>
      </c>
      <c r="AB24">
        <f>HYPERLINK("https://klasma.github.io/Logging_0862/klagomålsmail/A 24282-2025 FSC-klagomål mail.docx", "A 24282-2025")</f>
        <v/>
      </c>
      <c r="AC24">
        <f>HYPERLINK("https://klasma.github.io/Logging_0862/tillsyn/A 24282-2025 tillsynsbegäran.docx", "A 24282-2025")</f>
        <v/>
      </c>
      <c r="AD24">
        <f>HYPERLINK("https://klasma.github.io/Logging_0862/tillsynsmail/A 24282-2025 tillsynsbegäran mail.docx", "A 24282-2025")</f>
        <v/>
      </c>
      <c r="AE24">
        <f>HYPERLINK("https://klasma.github.io/Logging_0862/fåglar/A 24282-2025 prioriterade fågelarter.docx", "A 24282-2025")</f>
        <v/>
      </c>
    </row>
    <row r="25" ht="15" customHeight="1">
      <c r="A25" t="inlineStr">
        <is>
          <t>A 27416-2023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45092</v>
      </c>
      <c r="E25" s="1" t="n">
        <v>46301</v>
      </c>
      <c r="F25" t="inlineStr">
        <is>
          <t>KALMAR LÄN</t>
        </is>
      </c>
      <c r="G25" t="inlineStr">
        <is>
          <t>EMMABODA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HYPERLINK("https://klasma.github.io/Logging_0862/artfynd/A 27416-2023 artfynd.xlsx", "A 27416-2023")</f>
        <v/>
      </c>
      <c r="X25">
        <f>HYPERLINK("https://klasma.github.io/Logging_0862/kartor/A 27416-2023 karta.png", "A 27416-2023")</f>
        <v/>
      </c>
      <c r="Y25">
        <f>HYPERLINK("https://klasma.github.io/Logging_0862/kartor_geotiff/A 27416-2023 georefererad karta.tif", "A 27416-2023")</f>
        <v/>
      </c>
      <c r="AA25">
        <f>HYPERLINK("https://klasma.github.io/Logging_0862/klagomål/A 27416-2023 FSC-klagomål.docx", "A 27416-2023")</f>
        <v/>
      </c>
      <c r="AB25">
        <f>HYPERLINK("https://klasma.github.io/Logging_0862/klagomålsmail/A 27416-2023 FSC-klagomål mail.docx", "A 27416-2023")</f>
        <v/>
      </c>
      <c r="AC25">
        <f>HYPERLINK("https://klasma.github.io/Logging_0862/tillsyn/A 27416-2023 tillsynsbegäran.docx", "A 27416-2023")</f>
        <v/>
      </c>
      <c r="AD25">
        <f>HYPERLINK("https://klasma.github.io/Logging_0862/tillsynsmail/A 27416-2023 tillsynsbegäran mail.docx", "A 27416-2023")</f>
        <v/>
      </c>
    </row>
    <row r="26" ht="15" customHeight="1">
      <c r="A26" t="inlineStr">
        <is>
          <t>A 60257-2021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46301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HYPERLINK("https://klasma.github.io/Logging_0862/artfynd/A 60257-2021 artfynd.xlsx", "A 60257-2021")</f>
        <v/>
      </c>
      <c r="X26">
        <f>HYPERLINK("https://klasma.github.io/Logging_0862/kartor/A 60257-2021 karta.png", "A 60257-2021")</f>
        <v/>
      </c>
      <c r="Y26">
        <f>HYPERLINK("https://klasma.github.io/Logging_0862/kartor_geotiff/A 60257-2021 georefererad karta.tif", "A 60257-2021")</f>
        <v/>
      </c>
      <c r="Z26">
        <f>HYPERLINK("https://klasma.github.io/Logging_0862/knärot/A 60257-2021 karta knärot.png", "A 60257-2021")</f>
        <v/>
      </c>
      <c r="AA26">
        <f>HYPERLINK("https://klasma.github.io/Logging_0862/klagomål/A 60257-2021 FSC-klagomål.docx", "A 60257-2021")</f>
        <v/>
      </c>
      <c r="AB26">
        <f>HYPERLINK("https://klasma.github.io/Logging_0862/klagomålsmail/A 60257-2021 FSC-klagomål mail.docx", "A 60257-2021")</f>
        <v/>
      </c>
      <c r="AC26">
        <f>HYPERLINK("https://klasma.github.io/Logging_0862/tillsyn/A 60257-2021 tillsynsbegäran.docx", "A 60257-2021")</f>
        <v/>
      </c>
      <c r="AD26">
        <f>HYPERLINK("https://klasma.github.io/Logging_0862/tillsynsmail/A 60257-2021 tillsynsbegäran mail.docx", "A 60257-2021")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46301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46301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54981-2025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45967</v>
      </c>
      <c r="E29" s="1" t="n">
        <v>46301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HYPERLINK("https://klasma.github.io/Logging_0862/artfynd/A 54981-2025 artfynd.xlsx", "A 54981-2025")</f>
        <v/>
      </c>
      <c r="X29">
        <f>HYPERLINK("https://klasma.github.io/Logging_0862/kartor/A 54981-2025 karta.png", "A 54981-2025")</f>
        <v/>
      </c>
      <c r="Y29">
        <f>HYPERLINK("https://klasma.github.io/Logging_0862/kartor_geotiff/A 54981-2025 georefererad karta.tif", "A 54981-2025")</f>
        <v/>
      </c>
      <c r="AA29">
        <f>HYPERLINK("https://klasma.github.io/Logging_0862/klagomål/A 54981-2025 FSC-klagomål.docx", "A 54981-2025")</f>
        <v/>
      </c>
      <c r="AB29">
        <f>HYPERLINK("https://klasma.github.io/Logging_0862/klagomålsmail/A 54981-2025 FSC-klagomål mail.docx", "A 54981-2025")</f>
        <v/>
      </c>
      <c r="AC29">
        <f>HYPERLINK("https://klasma.github.io/Logging_0862/tillsyn/A 54981-2025 tillsynsbegäran.docx", "A 54981-2025")</f>
        <v/>
      </c>
      <c r="AD29">
        <f>HYPERLINK("https://klasma.github.io/Logging_0862/tillsynsmail/A 54981-2025 tillsynsbegäran mail.docx", "A 54981-2025")</f>
        <v/>
      </c>
    </row>
    <row r="30" ht="15" customHeight="1">
      <c r="A30" t="inlineStr">
        <is>
          <t>A 19763-2026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46301</v>
      </c>
      <c r="F30" t="inlineStr">
        <is>
          <t>KALMAR LÄN</t>
        </is>
      </c>
      <c r="G30" t="inlineStr">
        <is>
          <t>EMMABODA</t>
        </is>
      </c>
      <c r="H30" t="inlineStr">
        <is>
          <t>Sveaskog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HYPERLINK("https://klasma.github.io/Logging_0862/artfynd/A 19763-2026 artfynd.xlsx", "A 19763-2026")</f>
        <v/>
      </c>
      <c r="X30">
        <f>HYPERLINK("https://klasma.github.io/Logging_0862/kartor/A 19763-2026 karta.png", "A 19763-2026")</f>
        <v/>
      </c>
      <c r="Y30">
        <f>HYPERLINK("https://klasma.github.io/Logging_0862/kartor_geotiff/A 19763-2026 georefererad karta.tif", "A 19763-2026")</f>
        <v/>
      </c>
      <c r="AA30">
        <f>HYPERLINK("https://klasma.github.io/Logging_0862/klagomål/A 19763-2026 FSC-klagomål.docx", "A 19763-2026")</f>
        <v/>
      </c>
      <c r="AB30">
        <f>HYPERLINK("https://klasma.github.io/Logging_0862/klagomålsmail/A 19763-2026 FSC-klagomål mail.docx", "A 19763-2026")</f>
        <v/>
      </c>
      <c r="AC30">
        <f>HYPERLINK("https://klasma.github.io/Logging_0862/tillsyn/A 19763-2026 tillsynsbegäran.docx", "A 19763-2026")</f>
        <v/>
      </c>
      <c r="AD30">
        <f>HYPERLINK("https://klasma.github.io/Logging_0862/tillsynsmail/A 19763-2026 tillsynsbegäran mail.docx", "A 19763-2026")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46301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46301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46301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770-2022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46301</v>
      </c>
      <c r="F34" t="inlineStr">
        <is>
          <t>KALMAR LÄN</t>
        </is>
      </c>
      <c r="G34" t="inlineStr">
        <is>
          <t>EMMABODA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Grönpyrola</t>
        </is>
      </c>
      <c r="W34">
        <f>HYPERLINK("https://klasma.github.io/Logging_0862/artfynd/A 770-2022 artfynd.xlsx", "A 770-2022")</f>
        <v/>
      </c>
      <c r="X34">
        <f>HYPERLINK("https://klasma.github.io/Logging_0862/kartor/A 770-2022 karta.png", "A 770-2022")</f>
        <v/>
      </c>
      <c r="Y34">
        <f>HYPERLINK("https://klasma.github.io/Logging_0862/kartor_geotiff/A 770-2022 georefererad karta.tif", "A 770-2022")</f>
        <v/>
      </c>
      <c r="AA34">
        <f>HYPERLINK("https://klasma.github.io/Logging_0862/klagomål/A 770-2022 FSC-klagomål.docx", "A 770-2022")</f>
        <v/>
      </c>
      <c r="AB34">
        <f>HYPERLINK("https://klasma.github.io/Logging_0862/klagomålsmail/A 770-2022 FSC-klagomål mail.docx", "A 770-2022")</f>
        <v/>
      </c>
      <c r="AC34">
        <f>HYPERLINK("https://klasma.github.io/Logging_0862/tillsyn/A 770-2022 tillsynsbegäran.docx", "A 770-2022")</f>
        <v/>
      </c>
      <c r="AD34">
        <f>HYPERLINK("https://klasma.github.io/Logging_0862/tillsynsmail/A 770-2022 tillsynsbegäran mail.docx", "A 770-2022")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46301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46301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31261-2026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46301</v>
      </c>
      <c r="F37" t="inlineStr">
        <is>
          <t>KALMAR LÄN</t>
        </is>
      </c>
      <c r="G37" t="inlineStr">
        <is>
          <t>EMMABODA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Stubbspretmossa</t>
        </is>
      </c>
      <c r="W37">
        <f>HYPERLINK("https://klasma.github.io/Logging_0862/artfynd/A 31261-2026 artfynd.xlsx", "A 31261-2026")</f>
        <v/>
      </c>
      <c r="X37">
        <f>HYPERLINK("https://klasma.github.io/Logging_0862/kartor/A 31261-2026 karta.png", "A 31261-2026")</f>
        <v/>
      </c>
      <c r="Y37">
        <f>HYPERLINK("https://klasma.github.io/Logging_0862/kartor_geotiff/A 31261-2026 georefererad karta.tif", "A 31261-2026")</f>
        <v/>
      </c>
      <c r="AA37">
        <f>HYPERLINK("https://klasma.github.io/Logging_0862/klagomål/A 31261-2026 FSC-klagomål.docx", "A 31261-2026")</f>
        <v/>
      </c>
      <c r="AB37">
        <f>HYPERLINK("https://klasma.github.io/Logging_0862/klagomålsmail/A 31261-2026 FSC-klagomål mail.docx", "A 31261-2026")</f>
        <v/>
      </c>
      <c r="AC37">
        <f>HYPERLINK("https://klasma.github.io/Logging_0862/tillsyn/A 31261-2026 tillsynsbegäran.docx", "A 31261-2026")</f>
        <v/>
      </c>
      <c r="AD37">
        <f>HYPERLINK("https://klasma.github.io/Logging_0862/tillsynsmail/A 31261-2026 tillsynsbegäran mail.docx", "A 31261-2026")</f>
        <v/>
      </c>
    </row>
    <row r="38" ht="15" customHeight="1">
      <c r="A38" t="inlineStr">
        <is>
          <t>A 9633-2023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46301</v>
      </c>
      <c r="F38" t="inlineStr">
        <is>
          <t>KALMAR LÄN</t>
        </is>
      </c>
      <c r="G38" t="inlineStr">
        <is>
          <t>EMMABODA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Småjungfrukam</t>
        </is>
      </c>
      <c r="W38">
        <f>HYPERLINK("https://klasma.github.io/Logging_0862/artfynd/A 9633-2023 artfynd.xlsx", "A 9633-2023")</f>
        <v/>
      </c>
      <c r="X38">
        <f>HYPERLINK("https://klasma.github.io/Logging_0862/kartor/A 9633-2023 karta.png", "A 9633-2023")</f>
        <v/>
      </c>
      <c r="Y38">
        <f>HYPERLINK("https://klasma.github.io/Logging_0862/kartor_geotiff/A 9633-2023 georefererad karta.tif", "A 9633-2023")</f>
        <v/>
      </c>
      <c r="AA38">
        <f>HYPERLINK("https://klasma.github.io/Logging_0862/klagomål/A 9633-2023 FSC-klagomål.docx", "A 9633-2023")</f>
        <v/>
      </c>
      <c r="AB38">
        <f>HYPERLINK("https://klasma.github.io/Logging_0862/klagomålsmail/A 9633-2023 FSC-klagomål mail.docx", "A 9633-2023")</f>
        <v/>
      </c>
      <c r="AC38">
        <f>HYPERLINK("https://klasma.github.io/Logging_0862/tillsyn/A 9633-2023 tillsynsbegäran.docx", "A 9633-2023")</f>
        <v/>
      </c>
      <c r="AD38">
        <f>HYPERLINK("https://klasma.github.io/Logging_0862/tillsynsmail/A 9633-2023 tillsynsbegäran mail.docx", "A 9633-2023")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46301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6612-2023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46301</v>
      </c>
      <c r="F40" t="inlineStr">
        <is>
          <t>KALMAR LÄN</t>
        </is>
      </c>
      <c r="G40" t="inlineStr">
        <is>
          <t>EMMABODA</t>
        </is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HYPERLINK("https://klasma.github.io/Logging_0862/artfynd/A 6612-2023 artfynd.xlsx", "A 6612-2023")</f>
        <v/>
      </c>
      <c r="X40">
        <f>HYPERLINK("https://klasma.github.io/Logging_0862/kartor/A 6612-2023 karta.png", "A 6612-2023")</f>
        <v/>
      </c>
      <c r="Y40">
        <f>HYPERLINK("https://klasma.github.io/Logging_0862/kartor_geotiff/A 6612-2023 georefererad karta.tif", "A 6612-2023")</f>
        <v/>
      </c>
      <c r="AA40">
        <f>HYPERLINK("https://klasma.github.io/Logging_0862/klagomål/A 6612-2023 FSC-klagomål.docx", "A 6612-2023")</f>
        <v/>
      </c>
      <c r="AB40">
        <f>HYPERLINK("https://klasma.github.io/Logging_0862/klagomålsmail/A 6612-2023 FSC-klagomål mail.docx", "A 6612-2023")</f>
        <v/>
      </c>
      <c r="AC40">
        <f>HYPERLINK("https://klasma.github.io/Logging_0862/tillsyn/A 6612-2023 tillsynsbegäran.docx", "A 6612-2023")</f>
        <v/>
      </c>
      <c r="AD40">
        <f>HYPERLINK("https://klasma.github.io/Logging_0862/tillsynsmail/A 6612-2023 tillsynsbegäran mail.docx", "A 6612-2023")</f>
        <v/>
      </c>
    </row>
    <row r="41" ht="15" customHeight="1">
      <c r="A41" t="inlineStr">
        <is>
          <t>A 38379-2026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46282</v>
      </c>
      <c r="E41" s="1" t="n">
        <v>46301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38379-2026 artfynd.xlsx", "A 38379-2026")</f>
        <v/>
      </c>
      <c r="X41">
        <f>HYPERLINK("https://klasma.github.io/Logging_0862/kartor/A 38379-2026 karta.png", "A 38379-2026")</f>
        <v/>
      </c>
      <c r="Y41">
        <f>HYPERLINK("https://klasma.github.io/Logging_0862/kartor_geotiff/A 38379-2026 georefererad karta.tif", "A 38379-2026")</f>
        <v/>
      </c>
      <c r="AA41">
        <f>HYPERLINK("https://klasma.github.io/Logging_0862/klagomål/A 38379-2026 FSC-klagomål.docx", "A 38379-2026")</f>
        <v/>
      </c>
      <c r="AB41">
        <f>HYPERLINK("https://klasma.github.io/Logging_0862/klagomålsmail/A 38379-2026 FSC-klagomål mail.docx", "A 38379-2026")</f>
        <v/>
      </c>
      <c r="AC41">
        <f>HYPERLINK("https://klasma.github.io/Logging_0862/tillsyn/A 38379-2026 tillsynsbegäran.docx", "A 38379-2026")</f>
        <v/>
      </c>
      <c r="AD41">
        <f>HYPERLINK("https://klasma.github.io/Logging_0862/tillsynsmail/A 38379-2026 tillsynsbegäran mail.docx", "A 38379-2026")</f>
        <v/>
      </c>
    </row>
    <row r="42" ht="15" customHeight="1">
      <c r="A42" t="inlineStr">
        <is>
          <t>A 6247-2026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46301</v>
      </c>
      <c r="F42" t="inlineStr">
        <is>
          <t>KALMAR LÄN</t>
        </is>
      </c>
      <c r="G42" t="inlineStr">
        <is>
          <t>EMMABODA</t>
        </is>
      </c>
      <c r="I42" t="n">
        <v>1.2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HYPERLINK("https://klasma.github.io/Logging_0862/artfynd/A 6247-2026 artfynd.xlsx", "A 6247-2026")</f>
        <v/>
      </c>
      <c r="X42">
        <f>HYPERLINK("https://klasma.github.io/Logging_0862/kartor/A 6247-2026 karta.png", "A 6247-2026")</f>
        <v/>
      </c>
      <c r="Y42">
        <f>HYPERLINK("https://klasma.github.io/Logging_0862/kartor_geotiff/A 6247-2026 georefererad karta.tif", "A 6247-2026")</f>
        <v/>
      </c>
      <c r="AA42">
        <f>HYPERLINK("https://klasma.github.io/Logging_0862/klagomål/A 6247-2026 FSC-klagomål.docx", "A 6247-2026")</f>
        <v/>
      </c>
      <c r="AB42">
        <f>HYPERLINK("https://klasma.github.io/Logging_0862/klagomålsmail/A 6247-2026 FSC-klagomål mail.docx", "A 6247-2026")</f>
        <v/>
      </c>
      <c r="AC42">
        <f>HYPERLINK("https://klasma.github.io/Logging_0862/tillsyn/A 6247-2026 tillsynsbegäran.docx", "A 6247-2026")</f>
        <v/>
      </c>
      <c r="AD42">
        <f>HYPERLINK("https://klasma.github.io/Logging_0862/tillsynsmail/A 6247-2026 tillsynsbegäran mail.docx", "A 6247-2026")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46301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58297-2021 artfynd.xlsx", "A 58297-2021")</f>
        <v/>
      </c>
      <c r="X43">
        <f>HYPERLINK("https://klasma.github.io/Logging_0862/kartor/A 58297-2021 karta.png", "A 58297-2021")</f>
        <v/>
      </c>
      <c r="Y43">
        <f>HYPERLINK("https://klasma.github.io/Logging_0862/kartor_geotiff/A 58297-2021 georefererad karta.tif", "A 58297-2021")</f>
        <v/>
      </c>
      <c r="AA43">
        <f>HYPERLINK("https://klasma.github.io/Logging_0862/klagomål/A 58297-2021 FSC-klagomål.docx", "A 58297-2021")</f>
        <v/>
      </c>
      <c r="AB43">
        <f>HYPERLINK("https://klasma.github.io/Logging_0862/klagomålsmail/A 58297-2021 FSC-klagomål mail.docx", "A 58297-2021")</f>
        <v/>
      </c>
      <c r="AC43">
        <f>HYPERLINK("https://klasma.github.io/Logging_0862/tillsyn/A 58297-2021 tillsynsbegäran.docx", "A 58297-2021")</f>
        <v/>
      </c>
      <c r="AD43">
        <f>HYPERLINK("https://klasma.github.io/Logging_0862/tillsynsmail/A 58297-2021 tillsynsbegäran mail.docx", "A 58297-2021")</f>
        <v/>
      </c>
    </row>
    <row r="44" ht="15" customHeight="1">
      <c r="A44" t="inlineStr">
        <is>
          <t>A 5884-2024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45335</v>
      </c>
      <c r="E44" s="1" t="n">
        <v>46301</v>
      </c>
      <c r="F44" t="inlineStr">
        <is>
          <t>KALMAR LÄN</t>
        </is>
      </c>
      <c r="G44" t="inlineStr">
        <is>
          <t>EMMABODA</t>
        </is>
      </c>
      <c r="I44" t="n">
        <v>4.7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HYPERLINK("https://klasma.github.io/Logging_0862/artfynd/A 5884-2024 artfynd.xlsx", "A 5884-2024")</f>
        <v/>
      </c>
      <c r="X44">
        <f>HYPERLINK("https://klasma.github.io/Logging_0862/kartor/A 5884-2024 karta.png", "A 5884-2024")</f>
        <v/>
      </c>
      <c r="Y44">
        <f>HYPERLINK("https://klasma.github.io/Logging_0862/kartor_geotiff/A 5884-2024 georefererad karta.tif", "A 5884-2024")</f>
        <v/>
      </c>
      <c r="AA44">
        <f>HYPERLINK("https://klasma.github.io/Logging_0862/klagomål/A 5884-2024 FSC-klagomål.docx", "A 5884-2024")</f>
        <v/>
      </c>
      <c r="AB44">
        <f>HYPERLINK("https://klasma.github.io/Logging_0862/klagomålsmail/A 5884-2024 FSC-klagomål mail.docx", "A 5884-2024")</f>
        <v/>
      </c>
      <c r="AC44">
        <f>HYPERLINK("https://klasma.github.io/Logging_0862/tillsyn/A 5884-2024 tillsynsbegäran.docx", "A 5884-2024")</f>
        <v/>
      </c>
      <c r="AD44">
        <f>HYPERLINK("https://klasma.github.io/Logging_0862/tillsynsmail/A 5884-2024 tillsynsbegäran mail.docx", "A 5884-2024")</f>
        <v/>
      </c>
    </row>
    <row r="45" ht="15" customHeight="1">
      <c r="A45" t="inlineStr">
        <is>
          <t>A 21846-2023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46301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21846-2023 artfynd.xlsx", "A 21846-2023")</f>
        <v/>
      </c>
      <c r="X45">
        <f>HYPERLINK("https://klasma.github.io/Logging_0862/kartor/A 21846-2023 karta.png", "A 21846-2023")</f>
        <v/>
      </c>
      <c r="Y45">
        <f>HYPERLINK("https://klasma.github.io/Logging_0862/kartor_geotiff/A 21846-2023 georefererad karta.tif", "A 21846-2023")</f>
        <v/>
      </c>
      <c r="AA45">
        <f>HYPERLINK("https://klasma.github.io/Logging_0862/klagomål/A 21846-2023 FSC-klagomål.docx", "A 21846-2023")</f>
        <v/>
      </c>
      <c r="AB45">
        <f>HYPERLINK("https://klasma.github.io/Logging_0862/klagomålsmail/A 21846-2023 FSC-klagomål mail.docx", "A 21846-2023")</f>
        <v/>
      </c>
      <c r="AC45">
        <f>HYPERLINK("https://klasma.github.io/Logging_0862/tillsyn/A 21846-2023 tillsynsbegäran.docx", "A 21846-2023")</f>
        <v/>
      </c>
      <c r="AD45">
        <f>HYPERLINK("https://klasma.github.io/Logging_0862/tillsynsmail/A 21846-2023 tillsynsbegäran mail.docx", "A 21846-2023")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46301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46301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46301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46301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46301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46301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46301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46301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46301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46301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46301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46301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46301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46301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46301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46301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46301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46301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46301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46301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46301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46301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46301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46301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46301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46301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46301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46301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46301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46301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46301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46301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46301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46301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46301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46301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46301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46301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46301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46301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46301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46301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46301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46301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46301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46301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46301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46301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46301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46301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46301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63191-2021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46301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46301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46301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46301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46301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46301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46301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46301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46301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46301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46301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46301</v>
      </c>
      <c r="F108" t="inlineStr">
        <is>
          <t>KALMAR LÄN</t>
        </is>
      </c>
      <c r="G108" t="inlineStr">
        <is>
          <t>EMMABODA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46301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46301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46301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46301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44699</v>
      </c>
      <c r="E113" s="1" t="n">
        <v>46301</v>
      </c>
      <c r="F113" t="inlineStr">
        <is>
          <t>KALMAR LÄN</t>
        </is>
      </c>
      <c r="G113" t="inlineStr">
        <is>
          <t>EMMABODA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46301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46301</v>
      </c>
      <c r="F115" t="inlineStr">
        <is>
          <t>KALMAR LÄN</t>
        </is>
      </c>
      <c r="G115" t="inlineStr">
        <is>
          <t>EMMABODA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46301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46301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46301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46301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46301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46301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46301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46301</v>
      </c>
      <c r="F123" t="inlineStr">
        <is>
          <t>KALMAR LÄN</t>
        </is>
      </c>
      <c r="G123" t="inlineStr">
        <is>
          <t>EMMABODA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46301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46301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46301</v>
      </c>
      <c r="F126" t="inlineStr">
        <is>
          <t>KALMAR LÄN</t>
        </is>
      </c>
      <c r="G126" t="inlineStr">
        <is>
          <t>EMMABODA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46301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46301</v>
      </c>
      <c r="F128" t="inlineStr">
        <is>
          <t>KALMAR LÄN</t>
        </is>
      </c>
      <c r="G128" t="inlineStr">
        <is>
          <t>EMMABODA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46301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51135-2023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45219</v>
      </c>
      <c r="E130" s="1" t="n">
        <v>46301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45335</v>
      </c>
      <c r="E131" s="1" t="n">
        <v>46301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46301</v>
      </c>
      <c r="F132" t="inlineStr">
        <is>
          <t>KALMAR LÄN</t>
        </is>
      </c>
      <c r="G132" t="inlineStr">
        <is>
          <t>EMMABODA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46301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46301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7568-2024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45348</v>
      </c>
      <c r="E135" s="1" t="n">
        <v>46301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45069</v>
      </c>
      <c r="E136" s="1" t="n">
        <v>46301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45069</v>
      </c>
      <c r="E137" s="1" t="n">
        <v>46301</v>
      </c>
      <c r="F137" t="inlineStr">
        <is>
          <t>KALMAR LÄN</t>
        </is>
      </c>
      <c r="G137" t="inlineStr">
        <is>
          <t>EMMABODA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45397</v>
      </c>
      <c r="E138" s="1" t="n">
        <v>46301</v>
      </c>
      <c r="F138" t="inlineStr">
        <is>
          <t>KALMAR LÄN</t>
        </is>
      </c>
      <c r="G138" t="inlineStr">
        <is>
          <t>EMMABODA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45719</v>
      </c>
      <c r="E139" s="1" t="n">
        <v>46301</v>
      </c>
      <c r="F139" t="inlineStr">
        <is>
          <t>KALMAR LÄN</t>
        </is>
      </c>
      <c r="G139" t="inlineStr">
        <is>
          <t>EMMABODA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46301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45422</v>
      </c>
      <c r="E141" s="1" t="n">
        <v>46301</v>
      </c>
      <c r="F141" t="inlineStr">
        <is>
          <t>KALMAR LÄN</t>
        </is>
      </c>
      <c r="G141" t="inlineStr">
        <is>
          <t>EMMABODA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46301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46301</v>
      </c>
      <c r="F143" t="inlineStr">
        <is>
          <t>KALMAR LÄN</t>
        </is>
      </c>
      <c r="G143" t="inlineStr">
        <is>
          <t>EMMABODA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46301</v>
      </c>
      <c r="F144" t="inlineStr">
        <is>
          <t>KALMAR LÄN</t>
        </is>
      </c>
      <c r="G144" t="inlineStr">
        <is>
          <t>EMMABODA</t>
        </is>
      </c>
      <c r="H144" t="inlineStr">
        <is>
          <t>Övriga Aktiebolag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46301</v>
      </c>
      <c r="F145" t="inlineStr">
        <is>
          <t>KALMAR LÄN</t>
        </is>
      </c>
      <c r="G145" t="inlineStr">
        <is>
          <t>EMMABODA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45461</v>
      </c>
      <c r="E146" s="1" t="n">
        <v>46301</v>
      </c>
      <c r="F146" t="inlineStr">
        <is>
          <t>KALMAR LÄN</t>
        </is>
      </c>
      <c r="G146" t="inlineStr">
        <is>
          <t>EMMABODA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50500-2022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44861</v>
      </c>
      <c r="E147" s="1" t="n">
        <v>46301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45400</v>
      </c>
      <c r="E148" s="1" t="n">
        <v>46301</v>
      </c>
      <c r="F148" t="inlineStr">
        <is>
          <t>KALMAR LÄN</t>
        </is>
      </c>
      <c r="G148" t="inlineStr">
        <is>
          <t>EMMABODA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46301</v>
      </c>
      <c r="F149" t="inlineStr">
        <is>
          <t>KALMAR LÄN</t>
        </is>
      </c>
      <c r="G149" t="inlineStr">
        <is>
          <t>EMMABODA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45474</v>
      </c>
      <c r="E150" s="1" t="n">
        <v>46301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46301</v>
      </c>
      <c r="F151" t="inlineStr">
        <is>
          <t>KALMAR LÄN</t>
        </is>
      </c>
      <c r="G151" t="inlineStr">
        <is>
          <t>EMMABODA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46301</v>
      </c>
      <c r="F152" t="inlineStr">
        <is>
          <t>KALMAR LÄN</t>
        </is>
      </c>
      <c r="G152" t="inlineStr">
        <is>
          <t>EMMABODA</t>
        </is>
      </c>
      <c r="H152" t="inlineStr">
        <is>
          <t>Kommuner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46301</v>
      </c>
      <c r="F153" t="inlineStr">
        <is>
          <t>KALMAR LÄN</t>
        </is>
      </c>
      <c r="G153" t="inlineStr">
        <is>
          <t>EMMABODA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45477</v>
      </c>
      <c r="E154" s="1" t="n">
        <v>46301</v>
      </c>
      <c r="F154" t="inlineStr">
        <is>
          <t>KALMAR LÄN</t>
        </is>
      </c>
      <c r="G154" t="inlineStr">
        <is>
          <t>EMMABODA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45514</v>
      </c>
      <c r="E155" s="1" t="n">
        <v>46301</v>
      </c>
      <c r="F155" t="inlineStr">
        <is>
          <t>KALMAR LÄN</t>
        </is>
      </c>
      <c r="G155" t="inlineStr">
        <is>
          <t>EMMABODA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46301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46301</v>
      </c>
      <c r="F157" t="inlineStr">
        <is>
          <t>KALMAR LÄN</t>
        </is>
      </c>
      <c r="G157" t="inlineStr">
        <is>
          <t>EMMABODA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68940-2021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46301</v>
      </c>
      <c r="F158" t="inlineStr">
        <is>
          <t>KALMAR LÄN</t>
        </is>
      </c>
      <c r="G158" t="inlineStr">
        <is>
          <t>EMMABODA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66662-2021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44519</v>
      </c>
      <c r="E159" s="1" t="n">
        <v>46301</v>
      </c>
      <c r="F159" t="inlineStr">
        <is>
          <t>KALMAR LÄN</t>
        </is>
      </c>
      <c r="G159" t="inlineStr">
        <is>
          <t>EMMABODA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46301</v>
      </c>
      <c r="F160" t="inlineStr">
        <is>
          <t>KALMAR LÄN</t>
        </is>
      </c>
      <c r="G160" t="inlineStr">
        <is>
          <t>EMMABODA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46301</v>
      </c>
      <c r="F161" t="inlineStr">
        <is>
          <t>KALMAR LÄN</t>
        </is>
      </c>
      <c r="G161" t="inlineStr">
        <is>
          <t>EMMABODA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46301</v>
      </c>
      <c r="F162" t="inlineStr">
        <is>
          <t>KALMAR LÄN</t>
        </is>
      </c>
      <c r="G162" t="inlineStr">
        <is>
          <t>EMMABODA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46301</v>
      </c>
      <c r="F163" t="inlineStr">
        <is>
          <t>KALMAR LÄN</t>
        </is>
      </c>
      <c r="G163" t="inlineStr">
        <is>
          <t>EMMABODA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73058-2021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44550</v>
      </c>
      <c r="E164" s="1" t="n">
        <v>46301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46301</v>
      </c>
      <c r="F165" t="inlineStr">
        <is>
          <t>KALMAR LÄN</t>
        </is>
      </c>
      <c r="G165" t="inlineStr">
        <is>
          <t>EMMABODA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45070</v>
      </c>
      <c r="E166" s="1" t="n">
        <v>46301</v>
      </c>
      <c r="F166" t="inlineStr">
        <is>
          <t>KALMAR LÄN</t>
        </is>
      </c>
      <c r="G166" t="inlineStr">
        <is>
          <t>EMMABODA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46301</v>
      </c>
      <c r="F167" t="inlineStr">
        <is>
          <t>KALMAR LÄN</t>
        </is>
      </c>
      <c r="G167" t="inlineStr">
        <is>
          <t>EMMABODA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45537</v>
      </c>
      <c r="E168" s="1" t="n">
        <v>46301</v>
      </c>
      <c r="F168" t="inlineStr">
        <is>
          <t>KALMAR LÄN</t>
        </is>
      </c>
      <c r="G168" t="inlineStr">
        <is>
          <t>EMMABODA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46301</v>
      </c>
      <c r="F169" t="inlineStr">
        <is>
          <t>KALMAR LÄN</t>
        </is>
      </c>
      <c r="G169" t="inlineStr">
        <is>
          <t>EMMABODA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46301</v>
      </c>
      <c r="F170" t="inlineStr">
        <is>
          <t>KALMAR LÄN</t>
        </is>
      </c>
      <c r="G170" t="inlineStr">
        <is>
          <t>EMMABODA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46301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44893</v>
      </c>
      <c r="E172" s="1" t="n">
        <v>46301</v>
      </c>
      <c r="F172" t="inlineStr">
        <is>
          <t>KALMAR LÄN</t>
        </is>
      </c>
      <c r="G172" t="inlineStr">
        <is>
          <t>EMMABODA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45587</v>
      </c>
      <c r="E173" s="1" t="n">
        <v>46301</v>
      </c>
      <c r="F173" t="inlineStr">
        <is>
          <t>KALMAR LÄN</t>
        </is>
      </c>
      <c r="G173" t="inlineStr">
        <is>
          <t>EMMABODA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44683</v>
      </c>
      <c r="E174" s="1" t="n">
        <v>46301</v>
      </c>
      <c r="F174" t="inlineStr">
        <is>
          <t>KALMAR LÄN</t>
        </is>
      </c>
      <c r="G174" t="inlineStr">
        <is>
          <t>EMMABODA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45349</v>
      </c>
      <c r="E175" s="1" t="n">
        <v>46301</v>
      </c>
      <c r="F175" t="inlineStr">
        <is>
          <t>KALMAR LÄN</t>
        </is>
      </c>
      <c r="G175" t="inlineStr">
        <is>
          <t>EMMABODA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12014-2023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44995</v>
      </c>
      <c r="E176" s="1" t="n">
        <v>46301</v>
      </c>
      <c r="F176" t="inlineStr">
        <is>
          <t>KALMAR LÄN</t>
        </is>
      </c>
      <c r="G176" t="inlineStr">
        <is>
          <t>EMMABODA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46301</v>
      </c>
      <c r="F177" t="inlineStr">
        <is>
          <t>KALMAR LÄN</t>
        </is>
      </c>
      <c r="G177" t="inlineStr">
        <is>
          <t>EMMABODA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46301</v>
      </c>
      <c r="F178" t="inlineStr">
        <is>
          <t>KALMAR LÄN</t>
        </is>
      </c>
      <c r="G178" t="inlineStr">
        <is>
          <t>EMMABODA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46301</v>
      </c>
      <c r="F179" t="inlineStr">
        <is>
          <t>KALMAR LÄN</t>
        </is>
      </c>
      <c r="G179" t="inlineStr">
        <is>
          <t>EMMABODA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46301</v>
      </c>
      <c r="F180" t="inlineStr">
        <is>
          <t>KALMAR LÄN</t>
        </is>
      </c>
      <c r="G180" t="inlineStr">
        <is>
          <t>EMMABODA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46301</v>
      </c>
      <c r="F181" t="inlineStr">
        <is>
          <t>KALMAR LÄN</t>
        </is>
      </c>
      <c r="G181" t="inlineStr">
        <is>
          <t>EMMABODA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46301</v>
      </c>
      <c r="F182" t="inlineStr">
        <is>
          <t>KALMAR LÄN</t>
        </is>
      </c>
      <c r="G182" t="inlineStr">
        <is>
          <t>EMMABODA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46301</v>
      </c>
      <c r="F183" t="inlineStr">
        <is>
          <t>KALMAR LÄN</t>
        </is>
      </c>
      <c r="G183" t="inlineStr">
        <is>
          <t>EMMABODA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46301</v>
      </c>
      <c r="F184" t="inlineStr">
        <is>
          <t>KALMAR LÄN</t>
        </is>
      </c>
      <c r="G184" t="inlineStr">
        <is>
          <t>EMMABODA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46301</v>
      </c>
      <c r="F185" t="inlineStr">
        <is>
          <t>KALMAR LÄN</t>
        </is>
      </c>
      <c r="G185" t="inlineStr">
        <is>
          <t>EMMABODA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46301</v>
      </c>
      <c r="F186" t="inlineStr">
        <is>
          <t>KALMAR LÄN</t>
        </is>
      </c>
      <c r="G186" t="inlineStr">
        <is>
          <t>EMMABODA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46301</v>
      </c>
      <c r="F187" t="inlineStr">
        <is>
          <t>KALMAR LÄN</t>
        </is>
      </c>
      <c r="G187" t="inlineStr">
        <is>
          <t>EMMABODA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46301</v>
      </c>
      <c r="F188" t="inlineStr">
        <is>
          <t>KALMAR LÄN</t>
        </is>
      </c>
      <c r="G188" t="inlineStr">
        <is>
          <t>EMMABODA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44949</v>
      </c>
      <c r="E189" s="1" t="n">
        <v>46301</v>
      </c>
      <c r="F189" t="inlineStr">
        <is>
          <t>KALMAR LÄN</t>
        </is>
      </c>
      <c r="G189" t="inlineStr">
        <is>
          <t>EMMABODA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46301</v>
      </c>
      <c r="F190" t="inlineStr">
        <is>
          <t>KALMAR LÄN</t>
        </is>
      </c>
      <c r="G190" t="inlineStr">
        <is>
          <t>EMMABODA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46301</v>
      </c>
      <c r="F191" t="inlineStr">
        <is>
          <t>KALMAR LÄN</t>
        </is>
      </c>
      <c r="G191" t="inlineStr">
        <is>
          <t>EMMABODA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45349</v>
      </c>
      <c r="E192" s="1" t="n">
        <v>46301</v>
      </c>
      <c r="F192" t="inlineStr">
        <is>
          <t>KALMAR LÄN</t>
        </is>
      </c>
      <c r="G192" t="inlineStr">
        <is>
          <t>EMMABODA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46301</v>
      </c>
      <c r="F193" t="inlineStr">
        <is>
          <t>KALMAR LÄN</t>
        </is>
      </c>
      <c r="G193" t="inlineStr">
        <is>
          <t>EMMABODA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46301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45400</v>
      </c>
      <c r="E195" s="1" t="n">
        <v>46301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46301</v>
      </c>
      <c r="F196" t="inlineStr">
        <is>
          <t>KALMAR LÄN</t>
        </is>
      </c>
      <c r="G196" t="inlineStr">
        <is>
          <t>EMMABODA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46301</v>
      </c>
      <c r="F197" t="inlineStr">
        <is>
          <t>KALMAR LÄN</t>
        </is>
      </c>
      <c r="G197" t="inlineStr">
        <is>
          <t>EMMABODA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44580</v>
      </c>
      <c r="E198" s="1" t="n">
        <v>46301</v>
      </c>
      <c r="F198" t="inlineStr">
        <is>
          <t>KALMAR LÄN</t>
        </is>
      </c>
      <c r="G198" t="inlineStr">
        <is>
          <t>EMMABODA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46301</v>
      </c>
      <c r="F199" t="inlineStr">
        <is>
          <t>KALMAR LÄN</t>
        </is>
      </c>
      <c r="G199" t="inlineStr">
        <is>
          <t>EMMABODA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45022</v>
      </c>
      <c r="E200" s="1" t="n">
        <v>46301</v>
      </c>
      <c r="F200" t="inlineStr">
        <is>
          <t>KALMAR LÄN</t>
        </is>
      </c>
      <c r="G200" t="inlineStr">
        <is>
          <t>EMMABODA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46301</v>
      </c>
      <c r="F201" t="inlineStr">
        <is>
          <t>KALMAR LÄN</t>
        </is>
      </c>
      <c r="G201" t="inlineStr">
        <is>
          <t>EMMABODA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44955</v>
      </c>
      <c r="E202" s="1" t="n">
        <v>46301</v>
      </c>
      <c r="F202" t="inlineStr">
        <is>
          <t>KALMAR LÄN</t>
        </is>
      </c>
      <c r="G202" t="inlineStr">
        <is>
          <t>EMMABODA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46301</v>
      </c>
      <c r="F203" t="inlineStr">
        <is>
          <t>KALMAR LÄN</t>
        </is>
      </c>
      <c r="G203" t="inlineStr">
        <is>
          <t>EMMABODA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46301</v>
      </c>
      <c r="F204" t="inlineStr">
        <is>
          <t>KALMAR LÄN</t>
        </is>
      </c>
      <c r="G204" t="inlineStr">
        <is>
          <t>EMMABODA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46301</v>
      </c>
      <c r="F205" t="inlineStr">
        <is>
          <t>KALMAR LÄN</t>
        </is>
      </c>
      <c r="G205" t="inlineStr">
        <is>
          <t>EMMABODA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46301</v>
      </c>
      <c r="F206" t="inlineStr">
        <is>
          <t>KALMAR LÄN</t>
        </is>
      </c>
      <c r="G206" t="inlineStr">
        <is>
          <t>EMMABODA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46301</v>
      </c>
      <c r="F207" t="inlineStr">
        <is>
          <t>KALMAR LÄN</t>
        </is>
      </c>
      <c r="G207" t="inlineStr">
        <is>
          <t>EMMABODA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46301</v>
      </c>
      <c r="F208" t="inlineStr">
        <is>
          <t>KALMAR LÄN</t>
        </is>
      </c>
      <c r="G208" t="inlineStr">
        <is>
          <t>EMMABODA</t>
        </is>
      </c>
      <c r="I208" t="n">
        <v>12.5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46301</v>
      </c>
      <c r="F209" t="inlineStr">
        <is>
          <t>KALMAR LÄN</t>
        </is>
      </c>
      <c r="G209" t="inlineStr">
        <is>
          <t>EMMABODA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46301</v>
      </c>
      <c r="F210" t="inlineStr">
        <is>
          <t>KALMAR LÄN</t>
        </is>
      </c>
      <c r="G210" t="inlineStr">
        <is>
          <t>EMMABODA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46301</v>
      </c>
      <c r="F211" t="inlineStr">
        <is>
          <t>KALMAR LÄN</t>
        </is>
      </c>
      <c r="G211" t="inlineStr">
        <is>
          <t>EMMABODA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46301</v>
      </c>
      <c r="F212" t="inlineStr">
        <is>
          <t>KALMAR LÄN</t>
        </is>
      </c>
      <c r="G212" t="inlineStr">
        <is>
          <t>EMMABODA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46301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34055-2025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45845</v>
      </c>
      <c r="E214" s="1" t="n">
        <v>46301</v>
      </c>
      <c r="F214" t="inlineStr">
        <is>
          <t>KALMAR LÄN</t>
        </is>
      </c>
      <c r="G214" t="inlineStr">
        <is>
          <t>EMMABODA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46301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46301</v>
      </c>
      <c r="F216" t="inlineStr">
        <is>
          <t>KALMAR LÄN</t>
        </is>
      </c>
      <c r="G216" t="inlineStr">
        <is>
          <t>EMMABODA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45681</v>
      </c>
      <c r="E217" s="1" t="n">
        <v>46301</v>
      </c>
      <c r="F217" t="inlineStr">
        <is>
          <t>KALMAR LÄN</t>
        </is>
      </c>
      <c r="G217" t="inlineStr">
        <is>
          <t>EMMABODA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46301</v>
      </c>
      <c r="F218" t="inlineStr">
        <is>
          <t>KALMAR LÄN</t>
        </is>
      </c>
      <c r="G218" t="inlineStr">
        <is>
          <t>EMMABODA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44594</v>
      </c>
      <c r="E219" s="1" t="n">
        <v>46301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67543-2021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44524</v>
      </c>
      <c r="E220" s="1" t="n">
        <v>46301</v>
      </c>
      <c r="F220" t="inlineStr">
        <is>
          <t>KALMAR LÄN</t>
        </is>
      </c>
      <c r="G220" t="inlineStr">
        <is>
          <t>EMMABODA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46301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46301</v>
      </c>
      <c r="F222" t="inlineStr">
        <is>
          <t>KALMAR LÄN</t>
        </is>
      </c>
      <c r="G222" t="inlineStr">
        <is>
          <t>EMMABODA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46301</v>
      </c>
      <c r="F223" t="inlineStr">
        <is>
          <t>KALMAR LÄN</t>
        </is>
      </c>
      <c r="G223" t="inlineStr">
        <is>
          <t>EMMABODA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45772</v>
      </c>
      <c r="E224" s="1" t="n">
        <v>46301</v>
      </c>
      <c r="F224" t="inlineStr">
        <is>
          <t>KALMAR LÄN</t>
        </is>
      </c>
      <c r="G224" t="inlineStr">
        <is>
          <t>EMMABODA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46301</v>
      </c>
      <c r="F225" t="inlineStr">
        <is>
          <t>KALMAR LÄN</t>
        </is>
      </c>
      <c r="G225" t="inlineStr">
        <is>
          <t>EMMABODA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46301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46301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46301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44690</v>
      </c>
      <c r="E229" s="1" t="n">
        <v>46301</v>
      </c>
      <c r="F229" t="inlineStr">
        <is>
          <t>KALMAR LÄN</t>
        </is>
      </c>
      <c r="G229" t="inlineStr">
        <is>
          <t>EMMABODA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45851</v>
      </c>
      <c r="E230" s="1" t="n">
        <v>46301</v>
      </c>
      <c r="F230" t="inlineStr">
        <is>
          <t>KALMAR LÄN</t>
        </is>
      </c>
      <c r="G230" t="inlineStr">
        <is>
          <t>EMMABODA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45851</v>
      </c>
      <c r="E231" s="1" t="n">
        <v>46301</v>
      </c>
      <c r="F231" t="inlineStr">
        <is>
          <t>KALMAR LÄN</t>
        </is>
      </c>
      <c r="G231" t="inlineStr">
        <is>
          <t>EMMABODA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46301</v>
      </c>
      <c r="F232" t="inlineStr">
        <is>
          <t>KALMAR LÄN</t>
        </is>
      </c>
      <c r="G232" t="inlineStr">
        <is>
          <t>EMMABODA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46301</v>
      </c>
      <c r="F233" t="inlineStr">
        <is>
          <t>KALMAR LÄN</t>
        </is>
      </c>
      <c r="G233" t="inlineStr">
        <is>
          <t>EMMABODA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46301</v>
      </c>
      <c r="F234" t="inlineStr">
        <is>
          <t>KALMAR LÄN</t>
        </is>
      </c>
      <c r="G234" t="inlineStr">
        <is>
          <t>EMMABODA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45048</v>
      </c>
      <c r="E235" s="1" t="n">
        <v>46301</v>
      </c>
      <c r="F235" t="inlineStr">
        <is>
          <t>KALMAR LÄN</t>
        </is>
      </c>
      <c r="G235" t="inlineStr">
        <is>
          <t>EMMABODA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35592-2025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45857</v>
      </c>
      <c r="E236" s="1" t="n">
        <v>46301</v>
      </c>
      <c r="F236" t="inlineStr">
        <is>
          <t>KALMAR LÄN</t>
        </is>
      </c>
      <c r="G236" t="inlineStr">
        <is>
          <t>EMMABODA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46301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46301</v>
      </c>
      <c r="F238" t="inlineStr">
        <is>
          <t>KALMAR LÄN</t>
        </is>
      </c>
      <c r="G238" t="inlineStr">
        <is>
          <t>EMMABODA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45769</v>
      </c>
      <c r="E239" s="1" t="n">
        <v>46301</v>
      </c>
      <c r="F239" t="inlineStr">
        <is>
          <t>KALMAR LÄN</t>
        </is>
      </c>
      <c r="G239" t="inlineStr">
        <is>
          <t>EMMABODA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45750</v>
      </c>
      <c r="E240" s="1" t="n">
        <v>46301</v>
      </c>
      <c r="F240" t="inlineStr">
        <is>
          <t>KALMAR LÄN</t>
        </is>
      </c>
      <c r="G240" t="inlineStr">
        <is>
          <t>EMMABODA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46301</v>
      </c>
      <c r="F241" t="inlineStr">
        <is>
          <t>KALMAR LÄN</t>
        </is>
      </c>
      <c r="G241" t="inlineStr">
        <is>
          <t>EMMABODA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45863</v>
      </c>
      <c r="E242" s="1" t="n">
        <v>46301</v>
      </c>
      <c r="F242" t="inlineStr">
        <is>
          <t>KALMAR LÄN</t>
        </is>
      </c>
      <c r="G242" t="inlineStr">
        <is>
          <t>EMMABODA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46301</v>
      </c>
      <c r="F243" t="inlineStr">
        <is>
          <t>KALMAR LÄN</t>
        </is>
      </c>
      <c r="G243" t="inlineStr">
        <is>
          <t>EMMABODA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46301</v>
      </c>
      <c r="F244" t="inlineStr">
        <is>
          <t>KALMAR LÄN</t>
        </is>
      </c>
      <c r="G244" t="inlineStr">
        <is>
          <t>EMMABODA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46301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44748</v>
      </c>
      <c r="E246" s="1" t="n">
        <v>46301</v>
      </c>
      <c r="F246" t="inlineStr">
        <is>
          <t>KALMAR LÄN</t>
        </is>
      </c>
      <c r="G246" t="inlineStr">
        <is>
          <t>EMMABODA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46301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46301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45095</v>
      </c>
      <c r="E249" s="1" t="n">
        <v>46301</v>
      </c>
      <c r="F249" t="inlineStr">
        <is>
          <t>KALMAR LÄN</t>
        </is>
      </c>
      <c r="G249" t="inlineStr">
        <is>
          <t>EMMABODA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44777</v>
      </c>
      <c r="E250" s="1" t="n">
        <v>46301</v>
      </c>
      <c r="F250" t="inlineStr">
        <is>
          <t>KALMAR LÄN</t>
        </is>
      </c>
      <c r="G250" t="inlineStr">
        <is>
          <t>EMMABODA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46301</v>
      </c>
      <c r="F251" t="inlineStr">
        <is>
          <t>KALMAR LÄN</t>
        </is>
      </c>
      <c r="G251" t="inlineStr">
        <is>
          <t>EMMABODA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45921</v>
      </c>
      <c r="E252" s="1" t="n">
        <v>46301</v>
      </c>
      <c r="F252" t="inlineStr">
        <is>
          <t>KALMAR LÄN</t>
        </is>
      </c>
      <c r="G252" t="inlineStr">
        <is>
          <t>EMMABODA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46301</v>
      </c>
      <c r="F253" t="inlineStr">
        <is>
          <t>KALMAR LÄN</t>
        </is>
      </c>
      <c r="G253" t="inlineStr">
        <is>
          <t>EMMABODA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46301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45009</v>
      </c>
      <c r="E255" s="1" t="n">
        <v>46301</v>
      </c>
      <c r="F255" t="inlineStr">
        <is>
          <t>KALMAR LÄN</t>
        </is>
      </c>
      <c r="G255" t="inlineStr">
        <is>
          <t>EMMABODA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46301</v>
      </c>
      <c r="F256" t="inlineStr">
        <is>
          <t>KALMAR LÄN</t>
        </is>
      </c>
      <c r="G256" t="inlineStr">
        <is>
          <t>EMMABODA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45422</v>
      </c>
      <c r="E257" s="1" t="n">
        <v>46301</v>
      </c>
      <c r="F257" t="inlineStr">
        <is>
          <t>KALMAR LÄN</t>
        </is>
      </c>
      <c r="G257" t="inlineStr">
        <is>
          <t>EMMABODA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45559</v>
      </c>
      <c r="E258" s="1" t="n">
        <v>46301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46301</v>
      </c>
      <c r="F259" t="inlineStr">
        <is>
          <t>KALMAR LÄN</t>
        </is>
      </c>
      <c r="G259" t="inlineStr">
        <is>
          <t>EMMABODA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45355</v>
      </c>
      <c r="E260" s="1" t="n">
        <v>46301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20648-2022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46301</v>
      </c>
      <c r="F261" t="inlineStr">
        <is>
          <t>KALMAR LÄN</t>
        </is>
      </c>
      <c r="G261" t="inlineStr">
        <is>
          <t>EMMABODA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45230</v>
      </c>
      <c r="E262" s="1" t="n">
        <v>46301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46301</v>
      </c>
      <c r="F263" t="inlineStr">
        <is>
          <t>KALMAR LÄN</t>
        </is>
      </c>
      <c r="G263" t="inlineStr">
        <is>
          <t>EMMABODA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46301</v>
      </c>
      <c r="F264" t="inlineStr">
        <is>
          <t>KALMAR LÄN</t>
        </is>
      </c>
      <c r="G264" t="inlineStr">
        <is>
          <t>EMMABODA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46301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46301</v>
      </c>
      <c r="F266" t="inlineStr">
        <is>
          <t>KALMAR LÄN</t>
        </is>
      </c>
      <c r="G266" t="inlineStr">
        <is>
          <t>EMMABODA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47120-2022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44852</v>
      </c>
      <c r="E267" s="1" t="n">
        <v>46301</v>
      </c>
      <c r="F267" t="inlineStr">
        <is>
          <t>KALMAR LÄN</t>
        </is>
      </c>
      <c r="G267" t="inlineStr">
        <is>
          <t>EMMABODA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45258</v>
      </c>
      <c r="E268" s="1" t="n">
        <v>46301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46301</v>
      </c>
      <c r="F269" t="inlineStr">
        <is>
          <t>KALMAR LÄN</t>
        </is>
      </c>
      <c r="G269" t="inlineStr">
        <is>
          <t>EMMABODA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46301</v>
      </c>
      <c r="F270" t="inlineStr">
        <is>
          <t>KALMAR LÄN</t>
        </is>
      </c>
      <c r="G270" t="inlineStr">
        <is>
          <t>EMMABODA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46301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46301</v>
      </c>
      <c r="F272" t="inlineStr">
        <is>
          <t>KALMAR LÄN</t>
        </is>
      </c>
      <c r="G272" t="inlineStr">
        <is>
          <t>EMMABODA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45107</v>
      </c>
      <c r="E273" s="1" t="n">
        <v>46301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62197-2022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44922</v>
      </c>
      <c r="E274" s="1" t="n">
        <v>46301</v>
      </c>
      <c r="F274" t="inlineStr">
        <is>
          <t>KALMAR LÄN</t>
        </is>
      </c>
      <c r="G274" t="inlineStr">
        <is>
          <t>EMMABODA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44743</v>
      </c>
      <c r="E275" s="1" t="n">
        <v>46301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46301</v>
      </c>
      <c r="F276" t="inlineStr">
        <is>
          <t>KALMAR LÄN</t>
        </is>
      </c>
      <c r="G276" t="inlineStr">
        <is>
          <t>EMMABODA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45092</v>
      </c>
      <c r="E277" s="1" t="n">
        <v>46301</v>
      </c>
      <c r="F277" t="inlineStr">
        <is>
          <t>KALMAR LÄN</t>
        </is>
      </c>
      <c r="G277" t="inlineStr">
        <is>
          <t>EMMABODA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46301</v>
      </c>
      <c r="F278" t="inlineStr">
        <is>
          <t>KALMAR LÄN</t>
        </is>
      </c>
      <c r="G278" t="inlineStr">
        <is>
          <t>EMMABODA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46301</v>
      </c>
      <c r="F279" t="inlineStr">
        <is>
          <t>KALMAR LÄN</t>
        </is>
      </c>
      <c r="G279" t="inlineStr">
        <is>
          <t>EMMABODA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46301</v>
      </c>
      <c r="F280" t="inlineStr">
        <is>
          <t>KALMAR LÄN</t>
        </is>
      </c>
      <c r="G280" t="inlineStr">
        <is>
          <t>EMMABODA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46301</v>
      </c>
      <c r="F281" t="inlineStr">
        <is>
          <t>KALMAR LÄN</t>
        </is>
      </c>
      <c r="G281" t="inlineStr">
        <is>
          <t>EMMABODA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46301</v>
      </c>
      <c r="F282" t="inlineStr">
        <is>
          <t>KALMAR LÄN</t>
        </is>
      </c>
      <c r="G282" t="inlineStr">
        <is>
          <t>EMMABODA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46301</v>
      </c>
      <c r="F283" t="inlineStr">
        <is>
          <t>KALMAR LÄN</t>
        </is>
      </c>
      <c r="G283" t="inlineStr">
        <is>
          <t>EMMABODA</t>
        </is>
      </c>
      <c r="H283" t="inlineStr">
        <is>
          <t>Kyrkan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54056-2024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46301</v>
      </c>
      <c r="F284" t="inlineStr">
        <is>
          <t>KALMAR LÄN</t>
        </is>
      </c>
      <c r="G284" t="inlineStr">
        <is>
          <t>EMMABODA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46301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46301</v>
      </c>
      <c r="F286" t="inlineStr">
        <is>
          <t>KALMAR LÄN</t>
        </is>
      </c>
      <c r="G286" t="inlineStr">
        <is>
          <t>EMMABODA</t>
        </is>
      </c>
      <c r="H286" t="inlineStr">
        <is>
          <t>Kyrkan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46072</v>
      </c>
      <c r="E287" s="1" t="n">
        <v>46301</v>
      </c>
      <c r="F287" t="inlineStr">
        <is>
          <t>KALMAR LÄN</t>
        </is>
      </c>
      <c r="G287" t="inlineStr">
        <is>
          <t>EMMABODA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9713-2026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46301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45515</v>
      </c>
      <c r="E289" s="1" t="n">
        <v>46301</v>
      </c>
      <c r="F289" t="inlineStr">
        <is>
          <t>KALMAR LÄN</t>
        </is>
      </c>
      <c r="G289" t="inlineStr">
        <is>
          <t>EMMABODA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46301</v>
      </c>
      <c r="F290" t="inlineStr">
        <is>
          <t>KALMAR LÄN</t>
        </is>
      </c>
      <c r="G290" t="inlineStr">
        <is>
          <t>EMMABODA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45079</v>
      </c>
      <c r="E291" s="1" t="n">
        <v>46301</v>
      </c>
      <c r="F291" t="inlineStr">
        <is>
          <t>KALMAR LÄN</t>
        </is>
      </c>
      <c r="G291" t="inlineStr">
        <is>
          <t>EMMABODA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46301</v>
      </c>
      <c r="F292" t="inlineStr">
        <is>
          <t>KALMAR LÄN</t>
        </is>
      </c>
      <c r="G292" t="inlineStr">
        <is>
          <t>EMMABODA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45614</v>
      </c>
      <c r="E293" s="1" t="n">
        <v>46301</v>
      </c>
      <c r="F293" t="inlineStr">
        <is>
          <t>KALMAR LÄN</t>
        </is>
      </c>
      <c r="G293" t="inlineStr">
        <is>
          <t>EMMABODA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46078</v>
      </c>
      <c r="E294" s="1" t="n">
        <v>46301</v>
      </c>
      <c r="F294" t="inlineStr">
        <is>
          <t>KALMAR LÄN</t>
        </is>
      </c>
      <c r="G294" t="inlineStr">
        <is>
          <t>EMMABODA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46301</v>
      </c>
      <c r="F295" t="inlineStr">
        <is>
          <t>KALMAR LÄN</t>
        </is>
      </c>
      <c r="G295" t="inlineStr">
        <is>
          <t>EMMABODA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49726-2024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46301</v>
      </c>
      <c r="F296" t="inlineStr">
        <is>
          <t>KALMAR LÄN</t>
        </is>
      </c>
      <c r="G296" t="inlineStr">
        <is>
          <t>EMMABODA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46301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46301</v>
      </c>
      <c r="F298" t="inlineStr">
        <is>
          <t>KALMAR LÄN</t>
        </is>
      </c>
      <c r="G298" t="inlineStr">
        <is>
          <t>EMMABODA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45102</v>
      </c>
      <c r="E299" s="1" t="n">
        <v>46301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46301</v>
      </c>
      <c r="F300" t="inlineStr">
        <is>
          <t>KALMAR LÄN</t>
        </is>
      </c>
      <c r="G300" t="inlineStr">
        <is>
          <t>EMMABODA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46301</v>
      </c>
      <c r="F301" t="inlineStr">
        <is>
          <t>KALMAR LÄN</t>
        </is>
      </c>
      <c r="G301" t="inlineStr">
        <is>
          <t>EMMABODA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10991-2026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46079</v>
      </c>
      <c r="E302" s="1" t="n">
        <v>46301</v>
      </c>
      <c r="F302" t="inlineStr">
        <is>
          <t>KALMAR LÄN</t>
        </is>
      </c>
      <c r="G302" t="inlineStr">
        <is>
          <t>EMMABODA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46301</v>
      </c>
      <c r="F303" t="inlineStr">
        <is>
          <t>KALMAR LÄN</t>
        </is>
      </c>
      <c r="G303" t="inlineStr">
        <is>
          <t>EMMABODA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46085</v>
      </c>
      <c r="E304" s="1" t="n">
        <v>46301</v>
      </c>
      <c r="F304" t="inlineStr">
        <is>
          <t>KALMAR LÄN</t>
        </is>
      </c>
      <c r="G304" t="inlineStr">
        <is>
          <t>EMMABODA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46085</v>
      </c>
      <c r="E305" s="1" t="n">
        <v>46301</v>
      </c>
      <c r="F305" t="inlineStr">
        <is>
          <t>KALMAR LÄN</t>
        </is>
      </c>
      <c r="G305" t="inlineStr">
        <is>
          <t>EMMABODA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11820-2026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46301</v>
      </c>
      <c r="F306" t="inlineStr">
        <is>
          <t>KALMAR LÄN</t>
        </is>
      </c>
      <c r="G306" t="inlineStr">
        <is>
          <t>EMMABODA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44781</v>
      </c>
      <c r="E307" s="1" t="n">
        <v>46301</v>
      </c>
      <c r="F307" t="inlineStr">
        <is>
          <t>KALMAR LÄN</t>
        </is>
      </c>
      <c r="G307" t="inlineStr">
        <is>
          <t>EMMABODA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46301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46301</v>
      </c>
      <c r="F309" t="inlineStr">
        <is>
          <t>KALMAR LÄN</t>
        </is>
      </c>
      <c r="G309" t="inlineStr">
        <is>
          <t>EMMABODA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46301</v>
      </c>
      <c r="F310" t="inlineStr">
        <is>
          <t>KALMAR LÄN</t>
        </is>
      </c>
      <c r="G310" t="inlineStr">
        <is>
          <t>EMMABODA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46301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30460-2022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46301</v>
      </c>
      <c r="F312" t="inlineStr">
        <is>
          <t>KALMAR LÄN</t>
        </is>
      </c>
      <c r="G312" t="inlineStr">
        <is>
          <t>EMMABODA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46301</v>
      </c>
      <c r="F313" t="inlineStr">
        <is>
          <t>KALMAR LÄN</t>
        </is>
      </c>
      <c r="G313" t="inlineStr">
        <is>
          <t>EMMABODA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45964</v>
      </c>
      <c r="E314" s="1" t="n">
        <v>46301</v>
      </c>
      <c r="F314" t="inlineStr">
        <is>
          <t>KALMAR LÄN</t>
        </is>
      </c>
      <c r="G314" t="inlineStr">
        <is>
          <t>EMMABODA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45964</v>
      </c>
      <c r="E315" s="1" t="n">
        <v>46301</v>
      </c>
      <c r="F315" t="inlineStr">
        <is>
          <t>KALMAR LÄN</t>
        </is>
      </c>
      <c r="G315" t="inlineStr">
        <is>
          <t>EMMABODA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45742</v>
      </c>
      <c r="E316" s="1" t="n">
        <v>46301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44683</v>
      </c>
      <c r="E317" s="1" t="n">
        <v>46301</v>
      </c>
      <c r="F317" t="inlineStr">
        <is>
          <t>KALMAR LÄN</t>
        </is>
      </c>
      <c r="G317" t="inlineStr">
        <is>
          <t>EMMABODA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54983-2025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45967</v>
      </c>
      <c r="E318" s="1" t="n">
        <v>46301</v>
      </c>
      <c r="F318" t="inlineStr">
        <is>
          <t>KALMAR LÄN</t>
        </is>
      </c>
      <c r="G318" t="inlineStr">
        <is>
          <t>EMMABODA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54982-2025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45967</v>
      </c>
      <c r="E319" s="1" t="n">
        <v>46301</v>
      </c>
      <c r="F319" t="inlineStr">
        <is>
          <t>KALMAR LÄN</t>
        </is>
      </c>
      <c r="G319" t="inlineStr">
        <is>
          <t>EMMABODA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45445</v>
      </c>
      <c r="E320" s="1" t="n">
        <v>46301</v>
      </c>
      <c r="F320" t="inlineStr">
        <is>
          <t>KALMAR LÄN</t>
        </is>
      </c>
      <c r="G320" t="inlineStr">
        <is>
          <t>EMMABODA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46301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45021</v>
      </c>
      <c r="E322" s="1" t="n">
        <v>46301</v>
      </c>
      <c r="F322" t="inlineStr">
        <is>
          <t>KALMAR LÄN</t>
        </is>
      </c>
      <c r="G322" t="inlineStr">
        <is>
          <t>EMMABODA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45067</v>
      </c>
      <c r="E323" s="1" t="n">
        <v>46301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46107</v>
      </c>
      <c r="E324" s="1" t="n">
        <v>46301</v>
      </c>
      <c r="F324" t="inlineStr">
        <is>
          <t>KALMAR LÄN</t>
        </is>
      </c>
      <c r="G324" t="inlineStr">
        <is>
          <t>EMMABODA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45716</v>
      </c>
      <c r="E325" s="1" t="n">
        <v>46301</v>
      </c>
      <c r="F325" t="inlineStr">
        <is>
          <t>KALMAR LÄN</t>
        </is>
      </c>
      <c r="G325" t="inlineStr">
        <is>
          <t>EMMABODA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16236-2023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45028</v>
      </c>
      <c r="E326" s="1" t="n">
        <v>46301</v>
      </c>
      <c r="F326" t="inlineStr">
        <is>
          <t>KALMAR LÄN</t>
        </is>
      </c>
      <c r="G326" t="inlineStr">
        <is>
          <t>EMMABODA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45772</v>
      </c>
      <c r="E327" s="1" t="n">
        <v>46301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45979</v>
      </c>
      <c r="E328" s="1" t="n">
        <v>46301</v>
      </c>
      <c r="F328" t="inlineStr">
        <is>
          <t>KALMAR LÄN</t>
        </is>
      </c>
      <c r="G328" t="inlineStr">
        <is>
          <t>EMMABODA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46301</v>
      </c>
      <c r="F329" t="inlineStr">
        <is>
          <t>KALMAR LÄN</t>
        </is>
      </c>
      <c r="G329" t="inlineStr">
        <is>
          <t>EMMABODA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45200</v>
      </c>
      <c r="E330" s="1" t="n">
        <v>46301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46301</v>
      </c>
      <c r="F331" t="inlineStr">
        <is>
          <t>KALMAR LÄN</t>
        </is>
      </c>
      <c r="G331" t="inlineStr">
        <is>
          <t>EMMABODA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46301</v>
      </c>
      <c r="F332" t="inlineStr">
        <is>
          <t>KALMAR LÄN</t>
        </is>
      </c>
      <c r="G332" t="inlineStr">
        <is>
          <t>EMMABODA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66333-2021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44518</v>
      </c>
      <c r="E333" s="1" t="n">
        <v>46301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51488-2023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46301</v>
      </c>
      <c r="F334" t="inlineStr">
        <is>
          <t>KALMAR LÄN</t>
        </is>
      </c>
      <c r="G334" t="inlineStr">
        <is>
          <t>EMMABODA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18437-2026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46127</v>
      </c>
      <c r="E335" s="1" t="n">
        <v>46301</v>
      </c>
      <c r="F335" t="inlineStr">
        <is>
          <t>KALMAR LÄN</t>
        </is>
      </c>
      <c r="G335" t="inlineStr">
        <is>
          <t>EMMABODA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18444-2026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46127</v>
      </c>
      <c r="E336" s="1" t="n">
        <v>46301</v>
      </c>
      <c r="F336" t="inlineStr">
        <is>
          <t>KALMAR LÄN</t>
        </is>
      </c>
      <c r="G336" t="inlineStr">
        <is>
          <t>EMMABODA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46301</v>
      </c>
      <c r="F337" t="inlineStr">
        <is>
          <t>KALMAR LÄN</t>
        </is>
      </c>
      <c r="G337" t="inlineStr">
        <is>
          <t>EMMABODA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46301</v>
      </c>
      <c r="F338" t="inlineStr">
        <is>
          <t>KALMAR LÄN</t>
        </is>
      </c>
      <c r="G338" t="inlineStr">
        <is>
          <t>EMMABODA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53350-2022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44879</v>
      </c>
      <c r="E339" s="1" t="n">
        <v>46301</v>
      </c>
      <c r="F339" t="inlineStr">
        <is>
          <t>KALMAR LÄN</t>
        </is>
      </c>
      <c r="G339" t="inlineStr">
        <is>
          <t>EMMABODA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45049</v>
      </c>
      <c r="E340" s="1" t="n">
        <v>46301</v>
      </c>
      <c r="F340" t="inlineStr">
        <is>
          <t>KALMAR LÄN</t>
        </is>
      </c>
      <c r="G340" t="inlineStr">
        <is>
          <t>EMMABODA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44690</v>
      </c>
      <c r="E341" s="1" t="n">
        <v>46301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67538-2021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44524</v>
      </c>
      <c r="E342" s="1" t="n">
        <v>46301</v>
      </c>
      <c r="F342" t="inlineStr">
        <is>
          <t>KALMAR LÄN</t>
        </is>
      </c>
      <c r="G342" t="inlineStr">
        <is>
          <t>EMMABODA</t>
        </is>
      </c>
      <c r="I342" t="n">
        <v>11.6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45415</v>
      </c>
      <c r="E343" s="1" t="n">
        <v>46301</v>
      </c>
      <c r="F343" t="inlineStr">
        <is>
          <t>KALMAR LÄN</t>
        </is>
      </c>
      <c r="G343" t="inlineStr">
        <is>
          <t>EMMABODA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46301</v>
      </c>
      <c r="F344" t="inlineStr">
        <is>
          <t>KALMAR LÄN</t>
        </is>
      </c>
      <c r="G344" t="inlineStr">
        <is>
          <t>EMMABODA</t>
        </is>
      </c>
      <c r="H344" t="inlineStr">
        <is>
          <t>Kommuner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46301</v>
      </c>
      <c r="F345" t="inlineStr">
        <is>
          <t>KALMAR LÄN</t>
        </is>
      </c>
      <c r="G345" t="inlineStr">
        <is>
          <t>EMMABODA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46301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45755</v>
      </c>
      <c r="E347" s="1" t="n">
        <v>46301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46301</v>
      </c>
      <c r="F348" t="inlineStr">
        <is>
          <t>KALMAR LÄN</t>
        </is>
      </c>
      <c r="G348" t="inlineStr">
        <is>
          <t>EMMABODA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20052-2025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45772</v>
      </c>
      <c r="E349" s="1" t="n">
        <v>46301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46301</v>
      </c>
      <c r="F350" t="inlineStr">
        <is>
          <t>KALMAR LÄN</t>
        </is>
      </c>
      <c r="G350" t="inlineStr">
        <is>
          <t>EMMABODA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46301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46134</v>
      </c>
      <c r="E352" s="1" t="n">
        <v>46301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19299-2026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46301</v>
      </c>
      <c r="F353" t="inlineStr">
        <is>
          <t>KALMAR LÄN</t>
        </is>
      </c>
      <c r="G353" t="inlineStr">
        <is>
          <t>EMMABODA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45632</v>
      </c>
      <c r="E354" s="1" t="n">
        <v>46301</v>
      </c>
      <c r="F354" t="inlineStr">
        <is>
          <t>KALMAR LÄN</t>
        </is>
      </c>
      <c r="G354" t="inlineStr">
        <is>
          <t>EMMABODA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45401</v>
      </c>
      <c r="E355" s="1" t="n">
        <v>46301</v>
      </c>
      <c r="F355" t="inlineStr">
        <is>
          <t>KALMAR LÄN</t>
        </is>
      </c>
      <c r="G355" t="inlineStr">
        <is>
          <t>EMMABODA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46301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45551</v>
      </c>
      <c r="E357" s="1" t="n">
        <v>46301</v>
      </c>
      <c r="F357" t="inlineStr">
        <is>
          <t>KALMAR LÄN</t>
        </is>
      </c>
      <c r="G357" t="inlineStr">
        <is>
          <t>EMMABODA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46301</v>
      </c>
      <c r="F358" t="inlineStr">
        <is>
          <t>KALMAR LÄN</t>
        </is>
      </c>
      <c r="G358" t="inlineStr">
        <is>
          <t>EMMABODA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46301</v>
      </c>
      <c r="F359" t="inlineStr">
        <is>
          <t>KALMAR LÄN</t>
        </is>
      </c>
      <c r="G359" t="inlineStr">
        <is>
          <t>EMMABODA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46301</v>
      </c>
      <c r="F360" t="inlineStr">
        <is>
          <t>KALMAR LÄN</t>
        </is>
      </c>
      <c r="G360" t="inlineStr">
        <is>
          <t>EMMABODA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45099</v>
      </c>
      <c r="E361" s="1" t="n">
        <v>46301</v>
      </c>
      <c r="F361" t="inlineStr">
        <is>
          <t>KALMAR LÄN</t>
        </is>
      </c>
      <c r="G361" t="inlineStr">
        <is>
          <t>EMMABODA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46301</v>
      </c>
      <c r="F362" t="inlineStr">
        <is>
          <t>KALMAR LÄN</t>
        </is>
      </c>
      <c r="G362" t="inlineStr">
        <is>
          <t>EMMABODA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44816</v>
      </c>
      <c r="E363" s="1" t="n">
        <v>46301</v>
      </c>
      <c r="F363" t="inlineStr">
        <is>
          <t>KALMAR LÄN</t>
        </is>
      </c>
      <c r="G363" t="inlineStr">
        <is>
          <t>EMMABODA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44608</v>
      </c>
      <c r="E364" s="1" t="n">
        <v>46301</v>
      </c>
      <c r="F364" t="inlineStr">
        <is>
          <t>KALMAR LÄN</t>
        </is>
      </c>
      <c r="G364" t="inlineStr">
        <is>
          <t>EMMABODA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46301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45349</v>
      </c>
      <c r="E366" s="1" t="n">
        <v>46301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41429-2025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45901</v>
      </c>
      <c r="E367" s="1" t="n">
        <v>46301</v>
      </c>
      <c r="F367" t="inlineStr">
        <is>
          <t>KALMAR LÄN</t>
        </is>
      </c>
      <c r="G367" t="inlineStr">
        <is>
          <t>EMMABODA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45392</v>
      </c>
      <c r="E368" s="1" t="n">
        <v>46301</v>
      </c>
      <c r="F368" t="inlineStr">
        <is>
          <t>KALMAR LÄN</t>
        </is>
      </c>
      <c r="G368" t="inlineStr">
        <is>
          <t>EMMABODA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46301</v>
      </c>
      <c r="F369" t="inlineStr">
        <is>
          <t>KALMAR LÄN</t>
        </is>
      </c>
      <c r="G369" t="inlineStr">
        <is>
          <t>EMMABODA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46301</v>
      </c>
      <c r="F370" t="inlineStr">
        <is>
          <t>KALMAR LÄN</t>
        </is>
      </c>
      <c r="G370" t="inlineStr">
        <is>
          <t>EMMABODA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46301</v>
      </c>
      <c r="F371" t="inlineStr">
        <is>
          <t>KALMAR LÄN</t>
        </is>
      </c>
      <c r="G371" t="inlineStr">
        <is>
          <t>EMMABODA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45740</v>
      </c>
      <c r="E372" s="1" t="n">
        <v>46301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30262-2022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44759</v>
      </c>
      <c r="E373" s="1" t="n">
        <v>46301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45317</v>
      </c>
      <c r="E374" s="1" t="n">
        <v>46301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42424-2025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46301</v>
      </c>
      <c r="F375" t="inlineStr">
        <is>
          <t>KALMAR LÄN</t>
        </is>
      </c>
      <c r="G375" t="inlineStr">
        <is>
          <t>EMMABODA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46301</v>
      </c>
      <c r="F376" t="inlineStr">
        <is>
          <t>KALMAR LÄN</t>
        </is>
      </c>
      <c r="G376" t="inlineStr">
        <is>
          <t>EMMABODA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49623-2023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46301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46043</v>
      </c>
      <c r="E378" s="1" t="n">
        <v>46301</v>
      </c>
      <c r="F378" t="inlineStr">
        <is>
          <t>KALMAR LÄN</t>
        </is>
      </c>
      <c r="G378" t="inlineStr">
        <is>
          <t>EMMABODA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46024</v>
      </c>
      <c r="E379" s="1" t="n">
        <v>46301</v>
      </c>
      <c r="F379" t="inlineStr">
        <is>
          <t>KALMAR LÄN</t>
        </is>
      </c>
      <c r="G379" t="inlineStr">
        <is>
          <t>EMMABODA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33084-2023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45126</v>
      </c>
      <c r="E380" s="1" t="n">
        <v>46301</v>
      </c>
      <c r="F380" t="inlineStr">
        <is>
          <t>KALMAR LÄN</t>
        </is>
      </c>
      <c r="G380" t="inlineStr">
        <is>
          <t>EMMABODA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44959</v>
      </c>
      <c r="E381" s="1" t="n">
        <v>46301</v>
      </c>
      <c r="F381" t="inlineStr">
        <is>
          <t>KALMAR LÄN</t>
        </is>
      </c>
      <c r="G381" t="inlineStr">
        <is>
          <t>EMMABODA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46301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45327</v>
      </c>
      <c r="E383" s="1" t="n">
        <v>46301</v>
      </c>
      <c r="F383" t="inlineStr">
        <is>
          <t>KALMAR LÄN</t>
        </is>
      </c>
      <c r="G383" t="inlineStr">
        <is>
          <t>EMMABODA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45524</v>
      </c>
      <c r="E384" s="1" t="n">
        <v>46301</v>
      </c>
      <c r="F384" t="inlineStr">
        <is>
          <t>KALMAR LÄN</t>
        </is>
      </c>
      <c r="G384" t="inlineStr">
        <is>
          <t>EMMABODA</t>
        </is>
      </c>
      <c r="I384" t="n">
        <v>6.9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33067-2023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45126</v>
      </c>
      <c r="E385" s="1" t="n">
        <v>46301</v>
      </c>
      <c r="F385" t="inlineStr">
        <is>
          <t>KALMAR LÄN</t>
        </is>
      </c>
      <c r="G385" t="inlineStr">
        <is>
          <t>EMMABODA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24983-2022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44728</v>
      </c>
      <c r="E386" s="1" t="n">
        <v>46301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46301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46301</v>
      </c>
      <c r="F388" t="inlineStr">
        <is>
          <t>KALMAR LÄN</t>
        </is>
      </c>
      <c r="G388" t="inlineStr">
        <is>
          <t>EMMABODA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44852</v>
      </c>
      <c r="E389" s="1" t="n">
        <v>46301</v>
      </c>
      <c r="F389" t="inlineStr">
        <is>
          <t>KALMAR LÄN</t>
        </is>
      </c>
      <c r="G389" t="inlineStr">
        <is>
          <t>EMMABODA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46301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45341</v>
      </c>
      <c r="E391" s="1" t="n">
        <v>46301</v>
      </c>
      <c r="F391" t="inlineStr">
        <is>
          <t>KALMAR LÄN</t>
        </is>
      </c>
      <c r="G391" t="inlineStr">
        <is>
          <t>EMMABODA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44953</v>
      </c>
      <c r="E392" s="1" t="n">
        <v>46301</v>
      </c>
      <c r="F392" t="inlineStr">
        <is>
          <t>KALMAR LÄN</t>
        </is>
      </c>
      <c r="G392" t="inlineStr">
        <is>
          <t>EMMABODA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45323</v>
      </c>
      <c r="E393" s="1" t="n">
        <v>46301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44953</v>
      </c>
      <c r="E394" s="1" t="n">
        <v>46301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44572</v>
      </c>
      <c r="E395" s="1" t="n">
        <v>46301</v>
      </c>
      <c r="F395" t="inlineStr">
        <is>
          <t>KALMAR LÄN</t>
        </is>
      </c>
      <c r="G395" t="inlineStr">
        <is>
          <t>EMMABODA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46301</v>
      </c>
      <c r="F396" t="inlineStr">
        <is>
          <t>KALMAR LÄN</t>
        </is>
      </c>
      <c r="G396" t="inlineStr">
        <is>
          <t>EMMABODA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45600</v>
      </c>
      <c r="E397" s="1" t="n">
        <v>46301</v>
      </c>
      <c r="F397" t="inlineStr">
        <is>
          <t>KALMAR LÄN</t>
        </is>
      </c>
      <c r="G397" t="inlineStr">
        <is>
          <t>EMMABODA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46301</v>
      </c>
      <c r="F398" t="inlineStr">
        <is>
          <t>KALMAR LÄN</t>
        </is>
      </c>
      <c r="G398" t="inlineStr">
        <is>
          <t>EMMABODA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46301</v>
      </c>
      <c r="F399" t="inlineStr">
        <is>
          <t>KALMAR LÄN</t>
        </is>
      </c>
      <c r="G399" t="inlineStr">
        <is>
          <t>EMMABODA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46301</v>
      </c>
      <c r="F400" t="inlineStr">
        <is>
          <t>KALMAR LÄN</t>
        </is>
      </c>
      <c r="G400" t="inlineStr">
        <is>
          <t>EMMABODA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45126</v>
      </c>
      <c r="E401" s="1" t="n">
        <v>46301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45976</v>
      </c>
      <c r="E402" s="1" t="n">
        <v>46301</v>
      </c>
      <c r="F402" t="inlineStr">
        <is>
          <t>KALMAR LÄN</t>
        </is>
      </c>
      <c r="G402" t="inlineStr">
        <is>
          <t>EMMABODA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45003</v>
      </c>
      <c r="E403" s="1" t="n">
        <v>46301</v>
      </c>
      <c r="F403" t="inlineStr">
        <is>
          <t>KALMAR LÄN</t>
        </is>
      </c>
      <c r="G403" t="inlineStr">
        <is>
          <t>EMMABODA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44984</v>
      </c>
      <c r="E404" s="1" t="n">
        <v>46301</v>
      </c>
      <c r="F404" t="inlineStr">
        <is>
          <t>KALMAR LÄN</t>
        </is>
      </c>
      <c r="G404" t="inlineStr">
        <is>
          <t>EMMABODA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45019</v>
      </c>
      <c r="E405" s="1" t="n">
        <v>46301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46301</v>
      </c>
      <c r="F406" t="inlineStr">
        <is>
          <t>KALMAR LÄN</t>
        </is>
      </c>
      <c r="G406" t="inlineStr">
        <is>
          <t>EMMABODA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46301</v>
      </c>
      <c r="F407" t="inlineStr">
        <is>
          <t>KALMAR LÄN</t>
        </is>
      </c>
      <c r="G407" t="inlineStr">
        <is>
          <t>EMMABODA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46301</v>
      </c>
      <c r="F408" t="inlineStr">
        <is>
          <t>KALMAR LÄN</t>
        </is>
      </c>
      <c r="G408" t="inlineStr">
        <is>
          <t>EMMABODA</t>
        </is>
      </c>
      <c r="H408" t="inlineStr">
        <is>
          <t>Övriga Aktiebolag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45475</v>
      </c>
      <c r="E409" s="1" t="n">
        <v>46301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45132</v>
      </c>
      <c r="E410" s="1" t="n">
        <v>46301</v>
      </c>
      <c r="F410" t="inlineStr">
        <is>
          <t>KALMAR LÄN</t>
        </is>
      </c>
      <c r="G410" t="inlineStr">
        <is>
          <t>EMMABODA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46301</v>
      </c>
      <c r="F411" t="inlineStr">
        <is>
          <t>KALMAR LÄN</t>
        </is>
      </c>
      <c r="G411" t="inlineStr">
        <is>
          <t>EMMABODA</t>
        </is>
      </c>
      <c r="H411" t="inlineStr">
        <is>
          <t>Övriga Aktiebolag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44600</v>
      </c>
      <c r="E412" s="1" t="n">
        <v>46301</v>
      </c>
      <c r="F412" t="inlineStr">
        <is>
          <t>KALMAR LÄN</t>
        </is>
      </c>
      <c r="G412" t="inlineStr">
        <is>
          <t>EMMABODA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45037</v>
      </c>
      <c r="E413" s="1" t="n">
        <v>46301</v>
      </c>
      <c r="F413" t="inlineStr">
        <is>
          <t>KALMAR LÄN</t>
        </is>
      </c>
      <c r="G413" t="inlineStr">
        <is>
          <t>EMMABODA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46301</v>
      </c>
      <c r="F414" t="inlineStr">
        <is>
          <t>KALMAR LÄN</t>
        </is>
      </c>
      <c r="G414" t="inlineStr">
        <is>
          <t>EMMABODA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46301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46301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44982</v>
      </c>
      <c r="E417" s="1" t="n">
        <v>46301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46301</v>
      </c>
      <c r="F418" t="inlineStr">
        <is>
          <t>KALMAR LÄN</t>
        </is>
      </c>
      <c r="G418" t="inlineStr">
        <is>
          <t>EMMABODA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44993</v>
      </c>
      <c r="E419" s="1" t="n">
        <v>46301</v>
      </c>
      <c r="F419" t="inlineStr">
        <is>
          <t>KALMAR LÄN</t>
        </is>
      </c>
      <c r="G419" t="inlineStr">
        <is>
          <t>EMMABODA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45433</v>
      </c>
      <c r="E420" s="1" t="n">
        <v>46301</v>
      </c>
      <c r="F420" t="inlineStr">
        <is>
          <t>KALMAR LÄN</t>
        </is>
      </c>
      <c r="G420" t="inlineStr">
        <is>
          <t>EMMABODA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45146</v>
      </c>
      <c r="E421" s="1" t="n">
        <v>46301</v>
      </c>
      <c r="F421" t="inlineStr">
        <is>
          <t>KALMAR LÄN</t>
        </is>
      </c>
      <c r="G421" t="inlineStr">
        <is>
          <t>EMMABODA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46301</v>
      </c>
      <c r="F422" t="inlineStr">
        <is>
          <t>KALMAR LÄN</t>
        </is>
      </c>
      <c r="G422" t="inlineStr">
        <is>
          <t>EMMABODA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46301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59737-2021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44494</v>
      </c>
      <c r="E424" s="1" t="n">
        <v>46301</v>
      </c>
      <c r="F424" t="inlineStr">
        <is>
          <t>KALMAR LÄN</t>
        </is>
      </c>
      <c r="G424" t="inlineStr">
        <is>
          <t>EMMABODA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46301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45559</v>
      </c>
      <c r="E426" s="1" t="n">
        <v>46301</v>
      </c>
      <c r="F426" t="inlineStr">
        <is>
          <t>KALMAR LÄN</t>
        </is>
      </c>
      <c r="G426" t="inlineStr">
        <is>
          <t>EMMABODA</t>
        </is>
      </c>
      <c r="H426" t="inlineStr">
        <is>
          <t>Övriga Aktiebolag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46301</v>
      </c>
      <c r="F427" t="inlineStr">
        <is>
          <t>KALMAR LÄN</t>
        </is>
      </c>
      <c r="G427" t="inlineStr">
        <is>
          <t>EMMABODA</t>
        </is>
      </c>
      <c r="H427" t="inlineStr">
        <is>
          <t>Kyrkan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8058-2025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45707</v>
      </c>
      <c r="E428" s="1" t="n">
        <v>46301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46301</v>
      </c>
      <c r="F429" t="inlineStr">
        <is>
          <t>KALMAR LÄN</t>
        </is>
      </c>
      <c r="G429" t="inlineStr">
        <is>
          <t>EMMABODA</t>
        </is>
      </c>
      <c r="I429" t="n">
        <v>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45743</v>
      </c>
      <c r="E430" s="1" t="n">
        <v>46301</v>
      </c>
      <c r="F430" t="inlineStr">
        <is>
          <t>KALMAR LÄN</t>
        </is>
      </c>
      <c r="G430" t="inlineStr">
        <is>
          <t>EMMABODA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46160</v>
      </c>
      <c r="E431" s="1" t="n">
        <v>46301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46301</v>
      </c>
      <c r="F432" t="inlineStr">
        <is>
          <t>KALMAR LÄN</t>
        </is>
      </c>
      <c r="G432" t="inlineStr">
        <is>
          <t>EMMABODA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45126</v>
      </c>
      <c r="E433" s="1" t="n">
        <v>46301</v>
      </c>
      <c r="F433" t="inlineStr">
        <is>
          <t>KALMAR LÄN</t>
        </is>
      </c>
      <c r="G433" t="inlineStr">
        <is>
          <t>EMMABODA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45191</v>
      </c>
      <c r="E434" s="1" t="n">
        <v>46301</v>
      </c>
      <c r="F434" t="inlineStr">
        <is>
          <t>KALMAR LÄN</t>
        </is>
      </c>
      <c r="G434" t="inlineStr">
        <is>
          <t>EMMABODA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46301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48233-2023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46301</v>
      </c>
      <c r="F436" t="inlineStr">
        <is>
          <t>KALMAR LÄN</t>
        </is>
      </c>
      <c r="G436" t="inlineStr">
        <is>
          <t>EMMABODA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39736-2023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46301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46301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23295-2026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46301</v>
      </c>
      <c r="F439" t="inlineStr">
        <is>
          <t>KALMAR LÄN</t>
        </is>
      </c>
      <c r="G439" t="inlineStr">
        <is>
          <t>EMMABODA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45902</v>
      </c>
      <c r="E440" s="1" t="n">
        <v>46301</v>
      </c>
      <c r="F440" t="inlineStr">
        <is>
          <t>KALMAR LÄN</t>
        </is>
      </c>
      <c r="G440" t="inlineStr">
        <is>
          <t>EMMABODA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46301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46301</v>
      </c>
      <c r="F442" t="inlineStr">
        <is>
          <t>KALMAR LÄN</t>
        </is>
      </c>
      <c r="G442" t="inlineStr">
        <is>
          <t>EMMABODA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46301</v>
      </c>
      <c r="F443" t="inlineStr">
        <is>
          <t>KALMAR LÄN</t>
        </is>
      </c>
      <c r="G443" t="inlineStr">
        <is>
          <t>EMMABODA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55590-2024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46301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37630-2023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45159</v>
      </c>
      <c r="E445" s="1" t="n">
        <v>46301</v>
      </c>
      <c r="F445" t="inlineStr">
        <is>
          <t>KALMAR LÄN</t>
        </is>
      </c>
      <c r="G445" t="inlineStr">
        <is>
          <t>EMMABODA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44215-2024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45573</v>
      </c>
      <c r="E446" s="1" t="n">
        <v>46301</v>
      </c>
      <c r="F446" t="inlineStr">
        <is>
          <t>KALMAR LÄN</t>
        </is>
      </c>
      <c r="G446" t="inlineStr">
        <is>
          <t>EMMABODA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52610-2023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46301</v>
      </c>
      <c r="F447" t="inlineStr">
        <is>
          <t>KALMAR LÄN</t>
        </is>
      </c>
      <c r="G447" t="inlineStr">
        <is>
          <t>EMMABODA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45327</v>
      </c>
      <c r="E448" s="1" t="n">
        <v>46301</v>
      </c>
      <c r="F448" t="inlineStr">
        <is>
          <t>KALMAR LÄN</t>
        </is>
      </c>
      <c r="G448" t="inlineStr">
        <is>
          <t>EMMABODA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32561-2022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44783</v>
      </c>
      <c r="E449" s="1" t="n">
        <v>46301</v>
      </c>
      <c r="F449" t="inlineStr">
        <is>
          <t>KALMAR LÄN</t>
        </is>
      </c>
      <c r="G449" t="inlineStr">
        <is>
          <t>EMMABODA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26971-2023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46301</v>
      </c>
      <c r="F450" t="inlineStr">
        <is>
          <t>KALMAR LÄN</t>
        </is>
      </c>
      <c r="G450" t="inlineStr">
        <is>
          <t>EMMABODA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14377-2022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44652</v>
      </c>
      <c r="E451" s="1" t="n">
        <v>46301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24329-2026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46169</v>
      </c>
      <c r="E452" s="1" t="n">
        <v>46301</v>
      </c>
      <c r="F452" t="inlineStr">
        <is>
          <t>KALMAR LÄN</t>
        </is>
      </c>
      <c r="G452" t="inlineStr">
        <is>
          <t>EMMABODA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45230</v>
      </c>
      <c r="E453" s="1" t="n">
        <v>46301</v>
      </c>
      <c r="F453" t="inlineStr">
        <is>
          <t>KALMAR LÄN</t>
        </is>
      </c>
      <c r="G453" t="inlineStr">
        <is>
          <t>EMMABODA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45706-2025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45923</v>
      </c>
      <c r="E454" s="1" t="n">
        <v>46301</v>
      </c>
      <c r="F454" t="inlineStr">
        <is>
          <t>KALMAR LÄN</t>
        </is>
      </c>
      <c r="G454" t="inlineStr">
        <is>
          <t>EMMABODA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45232</v>
      </c>
      <c r="E455" s="1" t="n">
        <v>46301</v>
      </c>
      <c r="F455" t="inlineStr">
        <is>
          <t>KALMAR LÄN</t>
        </is>
      </c>
      <c r="G455" t="inlineStr">
        <is>
          <t>EMMABODA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42943-2023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45182</v>
      </c>
      <c r="E456" s="1" t="n">
        <v>46301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46301</v>
      </c>
      <c r="F457" t="inlineStr">
        <is>
          <t>KALMAR LÄN</t>
        </is>
      </c>
      <c r="G457" t="inlineStr">
        <is>
          <t>EMMABODA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20505-2022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44699</v>
      </c>
      <c r="E458" s="1" t="n">
        <v>46301</v>
      </c>
      <c r="F458" t="inlineStr">
        <is>
          <t>KALMAR LÄN</t>
        </is>
      </c>
      <c r="G458" t="inlineStr">
        <is>
          <t>EMMABODA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46301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35490-2024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46301</v>
      </c>
      <c r="F460" t="inlineStr">
        <is>
          <t>KALMAR LÄN</t>
        </is>
      </c>
      <c r="G460" t="inlineStr">
        <is>
          <t>EMMABODA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46301</v>
      </c>
      <c r="F461" t="inlineStr">
        <is>
          <t>KALMAR LÄN</t>
        </is>
      </c>
      <c r="G461" t="inlineStr">
        <is>
          <t>EMMABODA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45434</v>
      </c>
      <c r="E462" s="1" t="n">
        <v>46301</v>
      </c>
      <c r="F462" t="inlineStr">
        <is>
          <t>KALMAR LÄN</t>
        </is>
      </c>
      <c r="G462" t="inlineStr">
        <is>
          <t>EMMABODA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9775-2022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44619</v>
      </c>
      <c r="E463" s="1" t="n">
        <v>46301</v>
      </c>
      <c r="F463" t="inlineStr">
        <is>
          <t>KALMAR LÄN</t>
        </is>
      </c>
      <c r="G463" t="inlineStr">
        <is>
          <t>EMMABODA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16521-2024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45408</v>
      </c>
      <c r="E464" s="1" t="n">
        <v>46301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45394</v>
      </c>
      <c r="E465" s="1" t="n">
        <v>46301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46183</v>
      </c>
      <c r="E466" s="1" t="n">
        <v>46301</v>
      </c>
      <c r="F466" t="inlineStr">
        <is>
          <t>KALMAR LÄN</t>
        </is>
      </c>
      <c r="G466" t="inlineStr">
        <is>
          <t>EMMABODA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24776-2022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44728</v>
      </c>
      <c r="E467" s="1" t="n">
        <v>46301</v>
      </c>
      <c r="F467" t="inlineStr">
        <is>
          <t>KALMAR LÄN</t>
        </is>
      </c>
      <c r="G467" t="inlineStr">
        <is>
          <t>EMMABODA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46301</v>
      </c>
      <c r="F468" t="inlineStr">
        <is>
          <t>KALMAR LÄN</t>
        </is>
      </c>
      <c r="G468" t="inlineStr">
        <is>
          <t>EMMABODA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46301</v>
      </c>
      <c r="F469" t="inlineStr">
        <is>
          <t>KALMAR LÄN</t>
        </is>
      </c>
      <c r="G469" t="inlineStr">
        <is>
          <t>EMMABODA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46301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46301</v>
      </c>
      <c r="F471" t="inlineStr">
        <is>
          <t>KALMAR LÄN</t>
        </is>
      </c>
      <c r="G471" t="inlineStr">
        <is>
          <t>EMMABODA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46301</v>
      </c>
      <c r="F472" t="inlineStr">
        <is>
          <t>KALMAR LÄN</t>
        </is>
      </c>
      <c r="G472" t="inlineStr">
        <is>
          <t>EMMABODA</t>
        </is>
      </c>
      <c r="H472" t="inlineStr">
        <is>
          <t>Kyrkan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45188</v>
      </c>
      <c r="E473" s="1" t="n">
        <v>46301</v>
      </c>
      <c r="F473" t="inlineStr">
        <is>
          <t>KALMAR LÄN</t>
        </is>
      </c>
      <c r="G473" t="inlineStr">
        <is>
          <t>EMMABODA</t>
        </is>
      </c>
      <c r="H473" t="inlineStr">
        <is>
          <t>Kyrkan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15292-2024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45400</v>
      </c>
      <c r="E474" s="1" t="n">
        <v>46301</v>
      </c>
      <c r="F474" t="inlineStr">
        <is>
          <t>KALMAR LÄN</t>
        </is>
      </c>
      <c r="G474" t="inlineStr">
        <is>
          <t>EMMABODA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46301</v>
      </c>
      <c r="F475" t="inlineStr">
        <is>
          <t>KALMAR LÄN</t>
        </is>
      </c>
      <c r="G475" t="inlineStr">
        <is>
          <t>EMMABODA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46301</v>
      </c>
      <c r="F476" t="inlineStr">
        <is>
          <t>KALMAR LÄN</t>
        </is>
      </c>
      <c r="G476" t="inlineStr">
        <is>
          <t>EMMABODA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16703-2022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44673</v>
      </c>
      <c r="E477" s="1" t="n">
        <v>46301</v>
      </c>
      <c r="F477" t="inlineStr">
        <is>
          <t>KALMAR LÄN</t>
        </is>
      </c>
      <c r="G477" t="inlineStr">
        <is>
          <t>EMMABODA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46301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45164</v>
      </c>
      <c r="E479" s="1" t="n">
        <v>46301</v>
      </c>
      <c r="F479" t="inlineStr">
        <is>
          <t>KALMAR LÄN</t>
        </is>
      </c>
      <c r="G479" t="inlineStr">
        <is>
          <t>EMMABODA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29023-2022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44749</v>
      </c>
      <c r="E480" s="1" t="n">
        <v>46301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46301</v>
      </c>
      <c r="F481" t="inlineStr">
        <is>
          <t>KALMAR LÄN</t>
        </is>
      </c>
      <c r="G481" t="inlineStr">
        <is>
          <t>EMMABODA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36043-2022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44802</v>
      </c>
      <c r="E482" s="1" t="n">
        <v>46301</v>
      </c>
      <c r="F482" t="inlineStr">
        <is>
          <t>KALMAR LÄN</t>
        </is>
      </c>
      <c r="G482" t="inlineStr">
        <is>
          <t>EMMABODA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46301</v>
      </c>
      <c r="F483" t="inlineStr">
        <is>
          <t>KALMAR LÄN</t>
        </is>
      </c>
      <c r="G483" t="inlineStr">
        <is>
          <t>EMMABODA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46301</v>
      </c>
      <c r="F484" t="inlineStr">
        <is>
          <t>KALMAR LÄN</t>
        </is>
      </c>
      <c r="G484" t="inlineStr">
        <is>
          <t>EMMABODA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46301</v>
      </c>
      <c r="F485" t="inlineStr">
        <is>
          <t>KALMAR LÄN</t>
        </is>
      </c>
      <c r="G485" t="inlineStr">
        <is>
          <t>EMMABODA</t>
        </is>
      </c>
      <c r="I485" t="n">
        <v>9.1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46301</v>
      </c>
      <c r="F486" t="inlineStr">
        <is>
          <t>KALMAR LÄN</t>
        </is>
      </c>
      <c r="G486" t="inlineStr">
        <is>
          <t>EMMABODA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45258</v>
      </c>
      <c r="E487" s="1" t="n">
        <v>46301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45258</v>
      </c>
      <c r="E488" s="1" t="n">
        <v>46301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46301</v>
      </c>
      <c r="F489" t="inlineStr">
        <is>
          <t>KALMAR LÄN</t>
        </is>
      </c>
      <c r="G489" t="inlineStr">
        <is>
          <t>EMMABODA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46190</v>
      </c>
      <c r="E490" s="1" t="n">
        <v>46301</v>
      </c>
      <c r="F490" t="inlineStr">
        <is>
          <t>KALMAR LÄN</t>
        </is>
      </c>
      <c r="G490" t="inlineStr">
        <is>
          <t>EMMABODA</t>
        </is>
      </c>
      <c r="H490" t="inlineStr">
        <is>
          <t>Sveaskog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27710-2024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46301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45716</v>
      </c>
      <c r="E492" s="1" t="n">
        <v>46301</v>
      </c>
      <c r="F492" t="inlineStr">
        <is>
          <t>KALMAR LÄN</t>
        </is>
      </c>
      <c r="G492" t="inlineStr">
        <is>
          <t>EMMABODA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46301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46301</v>
      </c>
      <c r="F494" t="inlineStr">
        <is>
          <t>KALMAR LÄN</t>
        </is>
      </c>
      <c r="G494" t="inlineStr">
        <is>
          <t>EMMABODA</t>
        </is>
      </c>
      <c r="H494" t="inlineStr">
        <is>
          <t>Kyrkan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46301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28990-2026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46196</v>
      </c>
      <c r="E496" s="1" t="n">
        <v>46301</v>
      </c>
      <c r="F496" t="inlineStr">
        <is>
          <t>KALMAR LÄN</t>
        </is>
      </c>
      <c r="G496" t="inlineStr">
        <is>
          <t>EMMABODA</t>
        </is>
      </c>
      <c r="H496" t="inlineStr">
        <is>
          <t>Kyrkan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28441-2026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46197</v>
      </c>
      <c r="E497" s="1" t="n">
        <v>46301</v>
      </c>
      <c r="F497" t="inlineStr">
        <is>
          <t>KALMAR LÄN</t>
        </is>
      </c>
      <c r="G497" t="inlineStr">
        <is>
          <t>EMMABODA</t>
        </is>
      </c>
      <c r="H497" t="inlineStr">
        <is>
          <t>Sveaskog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46301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35522-2022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44799</v>
      </c>
      <c r="E499" s="1" t="n">
        <v>46301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63254-2025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46010</v>
      </c>
      <c r="E500" s="1" t="n">
        <v>46301</v>
      </c>
      <c r="F500" t="inlineStr">
        <is>
          <t>KALMAR LÄN</t>
        </is>
      </c>
      <c r="G500" t="inlineStr">
        <is>
          <t>EMMABODA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44827</v>
      </c>
      <c r="E501" s="1" t="n">
        <v>46301</v>
      </c>
      <c r="F501" t="inlineStr">
        <is>
          <t>KALMAR LÄN</t>
        </is>
      </c>
      <c r="G501" t="inlineStr">
        <is>
          <t>EMMABODA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45301</v>
      </c>
      <c r="E502" s="1" t="n">
        <v>46301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46301</v>
      </c>
      <c r="F503" t="inlineStr">
        <is>
          <t>KALMAR LÄN</t>
        </is>
      </c>
      <c r="G503" t="inlineStr">
        <is>
          <t>EMMABODA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46197</v>
      </c>
      <c r="E504" s="1" t="n">
        <v>46301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45309</v>
      </c>
      <c r="E505" s="1" t="n">
        <v>46301</v>
      </c>
      <c r="F505" t="inlineStr">
        <is>
          <t>KALMAR LÄN</t>
        </is>
      </c>
      <c r="G505" t="inlineStr">
        <is>
          <t>EMMABODA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46301</v>
      </c>
      <c r="F506" t="inlineStr">
        <is>
          <t>KALMAR LÄN</t>
        </is>
      </c>
      <c r="G506" t="inlineStr">
        <is>
          <t>EMMABODA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45126</v>
      </c>
      <c r="E507" s="1" t="n">
        <v>46301</v>
      </c>
      <c r="F507" t="inlineStr">
        <is>
          <t>KALMAR LÄN</t>
        </is>
      </c>
      <c r="G507" t="inlineStr">
        <is>
          <t>EMMABODA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45307</v>
      </c>
      <c r="E508" s="1" t="n">
        <v>46301</v>
      </c>
      <c r="F508" t="inlineStr">
        <is>
          <t>KALMAR LÄN</t>
        </is>
      </c>
      <c r="G508" t="inlineStr">
        <is>
          <t>EMMABODA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9684-2025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45716</v>
      </c>
      <c r="E509" s="1" t="n">
        <v>46301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45190</v>
      </c>
      <c r="E510" s="1" t="n">
        <v>46301</v>
      </c>
      <c r="F510" t="inlineStr">
        <is>
          <t>KALMAR LÄN</t>
        </is>
      </c>
      <c r="G510" t="inlineStr">
        <is>
          <t>EMMABODA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45310</v>
      </c>
      <c r="E511" s="1" t="n">
        <v>46301</v>
      </c>
      <c r="F511" t="inlineStr">
        <is>
          <t>KALMAR LÄN</t>
        </is>
      </c>
      <c r="G511" t="inlineStr">
        <is>
          <t>EMMABODA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46775-2022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44851</v>
      </c>
      <c r="E512" s="1" t="n">
        <v>46301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46202</v>
      </c>
      <c r="E513" s="1" t="n">
        <v>46301</v>
      </c>
      <c r="F513" t="inlineStr">
        <is>
          <t>KALMAR LÄN</t>
        </is>
      </c>
      <c r="G513" t="inlineStr">
        <is>
          <t>EMMABODA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25417-2023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45089</v>
      </c>
      <c r="E514" s="1" t="n">
        <v>46301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56549-2022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44893</v>
      </c>
      <c r="E515" s="1" t="n">
        <v>46301</v>
      </c>
      <c r="F515" t="inlineStr">
        <is>
          <t>KALMAR LÄN</t>
        </is>
      </c>
      <c r="G515" t="inlineStr">
        <is>
          <t>EMMABODA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46301</v>
      </c>
      <c r="F516" t="inlineStr">
        <is>
          <t>KALMAR LÄN</t>
        </is>
      </c>
      <c r="G516" t="inlineStr">
        <is>
          <t>EMMABODA</t>
        </is>
      </c>
      <c r="H516" t="inlineStr">
        <is>
          <t>Sveaskog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45159</v>
      </c>
      <c r="E517" s="1" t="n">
        <v>46301</v>
      </c>
      <c r="F517" t="inlineStr">
        <is>
          <t>KALMAR LÄN</t>
        </is>
      </c>
      <c r="G517" t="inlineStr">
        <is>
          <t>EMMABODA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44769</v>
      </c>
      <c r="E518" s="1" t="n">
        <v>46301</v>
      </c>
      <c r="F518" t="inlineStr">
        <is>
          <t>KALMAR LÄN</t>
        </is>
      </c>
      <c r="G518" t="inlineStr">
        <is>
          <t>EMMABODA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46301</v>
      </c>
      <c r="F519" t="inlineStr">
        <is>
          <t>KALMAR LÄN</t>
        </is>
      </c>
      <c r="G519" t="inlineStr">
        <is>
          <t>EMMABODA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15446-2024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45401</v>
      </c>
      <c r="E520" s="1" t="n">
        <v>46301</v>
      </c>
      <c r="F520" t="inlineStr">
        <is>
          <t>KALMAR LÄN</t>
        </is>
      </c>
      <c r="G520" t="inlineStr">
        <is>
          <t>EMMABODA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46728-2022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44851</v>
      </c>
      <c r="E521" s="1" t="n">
        <v>46301</v>
      </c>
      <c r="F521" t="inlineStr">
        <is>
          <t>KALMAR LÄN</t>
        </is>
      </c>
      <c r="G521" t="inlineStr">
        <is>
          <t>EMMABODA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46192-2023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45196</v>
      </c>
      <c r="E522" s="1" t="n">
        <v>46301</v>
      </c>
      <c r="F522" t="inlineStr">
        <is>
          <t>KALMAR LÄN</t>
        </is>
      </c>
      <c r="G522" t="inlineStr">
        <is>
          <t>EMMABODA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14079-2024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45392</v>
      </c>
      <c r="E523" s="1" t="n">
        <v>46301</v>
      </c>
      <c r="F523" t="inlineStr">
        <is>
          <t>KALMAR LÄN</t>
        </is>
      </c>
      <c r="G523" t="inlineStr">
        <is>
          <t>EMMABODA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57717-2022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44897</v>
      </c>
      <c r="E524" s="1" t="n">
        <v>46301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18424-2026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46127</v>
      </c>
      <c r="E525" s="1" t="n">
        <v>46301</v>
      </c>
      <c r="F525" t="inlineStr">
        <is>
          <t>KALMAR LÄN</t>
        </is>
      </c>
      <c r="G525" t="inlineStr">
        <is>
          <t>EMMABODA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45323</v>
      </c>
      <c r="E526" s="1" t="n">
        <v>46301</v>
      </c>
      <c r="F526" t="inlineStr">
        <is>
          <t>KALMAR LÄN</t>
        </is>
      </c>
      <c r="G526" t="inlineStr">
        <is>
          <t>EMMABODA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46301</v>
      </c>
      <c r="F527" t="inlineStr">
        <is>
          <t>KALMAR LÄN</t>
        </is>
      </c>
      <c r="G527" t="inlineStr">
        <is>
          <t>EMMABODA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58156-2021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44487</v>
      </c>
      <c r="E528" s="1" t="n">
        <v>46301</v>
      </c>
      <c r="F528" t="inlineStr">
        <is>
          <t>KALMAR LÄN</t>
        </is>
      </c>
      <c r="G528" t="inlineStr">
        <is>
          <t>EMMABODA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45323</v>
      </c>
      <c r="E529" s="1" t="n">
        <v>46301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45637</v>
      </c>
      <c r="E530" s="1" t="n">
        <v>46301</v>
      </c>
      <c r="F530" t="inlineStr">
        <is>
          <t>KALMAR LÄN</t>
        </is>
      </c>
      <c r="G530" t="inlineStr">
        <is>
          <t>EMMABODA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45466</v>
      </c>
      <c r="E531" s="1" t="n">
        <v>46301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46301</v>
      </c>
      <c r="F532" t="inlineStr">
        <is>
          <t>KALMAR LÄN</t>
        </is>
      </c>
      <c r="G532" t="inlineStr">
        <is>
          <t>EMMABODA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46301</v>
      </c>
      <c r="F533" t="inlineStr">
        <is>
          <t>KALMAR LÄN</t>
        </is>
      </c>
      <c r="G533" t="inlineStr">
        <is>
          <t>EMMABODA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45327</v>
      </c>
      <c r="E534" s="1" t="n">
        <v>46301</v>
      </c>
      <c r="F534" t="inlineStr">
        <is>
          <t>KALMAR LÄN</t>
        </is>
      </c>
      <c r="G534" t="inlineStr">
        <is>
          <t>EMMABODA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46301</v>
      </c>
      <c r="F535" t="inlineStr">
        <is>
          <t>KALMAR LÄN</t>
        </is>
      </c>
      <c r="G535" t="inlineStr">
        <is>
          <t>EMMABODA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58592-2021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44488</v>
      </c>
      <c r="E536" s="1" t="n">
        <v>46301</v>
      </c>
      <c r="F536" t="inlineStr">
        <is>
          <t>KALMAR LÄN</t>
        </is>
      </c>
      <c r="G536" t="inlineStr">
        <is>
          <t>EMMABODA</t>
        </is>
      </c>
      <c r="H536" t="inlineStr">
        <is>
          <t>Kommuner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45296</v>
      </c>
      <c r="E537" s="1" t="n">
        <v>46301</v>
      </c>
      <c r="F537" t="inlineStr">
        <is>
          <t>KALMAR LÄN</t>
        </is>
      </c>
      <c r="G537" t="inlineStr">
        <is>
          <t>EMMABODA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46259</v>
      </c>
      <c r="E538" s="1" t="n">
        <v>46301</v>
      </c>
      <c r="F538" t="inlineStr">
        <is>
          <t>KALMAR LÄN</t>
        </is>
      </c>
      <c r="G538" t="inlineStr">
        <is>
          <t>EMMABODA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34907-2026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46301</v>
      </c>
      <c r="F539" t="inlineStr">
        <is>
          <t>KALMAR LÄN</t>
        </is>
      </c>
      <c r="G539" t="inlineStr">
        <is>
          <t>EMMABODA</t>
        </is>
      </c>
      <c r="H539" t="inlineStr">
        <is>
          <t>Kyrkan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68947-2021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44530</v>
      </c>
      <c r="E540" s="1" t="n">
        <v>46301</v>
      </c>
      <c r="F540" t="inlineStr">
        <is>
          <t>KALMAR LÄN</t>
        </is>
      </c>
      <c r="G540" t="inlineStr">
        <is>
          <t>EMMABODA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44586</v>
      </c>
      <c r="E541" s="1" t="n">
        <v>46301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44589</v>
      </c>
      <c r="E542" s="1" t="n">
        <v>46301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63180-2021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44507</v>
      </c>
      <c r="E543" s="1" t="n">
        <v>46301</v>
      </c>
      <c r="F543" t="inlineStr">
        <is>
          <t>KALMAR LÄN</t>
        </is>
      </c>
      <c r="G543" t="inlineStr">
        <is>
          <t>EMMABODA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44938</v>
      </c>
      <c r="E544" s="1" t="n">
        <v>46301</v>
      </c>
      <c r="F544" t="inlineStr">
        <is>
          <t>KALMAR LÄN</t>
        </is>
      </c>
      <c r="G544" t="inlineStr">
        <is>
          <t>EMMABODA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8974-2023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44979</v>
      </c>
      <c r="E545" s="1" t="n">
        <v>46301</v>
      </c>
      <c r="F545" t="inlineStr">
        <is>
          <t>KALMAR LÄN</t>
        </is>
      </c>
      <c r="G545" t="inlineStr">
        <is>
          <t>EMMABODA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45606</v>
      </c>
      <c r="E546" s="1" t="n">
        <v>46301</v>
      </c>
      <c r="F546" t="inlineStr">
        <is>
          <t>KALMAR LÄN</t>
        </is>
      </c>
      <c r="G546" t="inlineStr">
        <is>
          <t>EMMABODA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11061-2024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45370</v>
      </c>
      <c r="E547" s="1" t="n">
        <v>46301</v>
      </c>
      <c r="F547" t="inlineStr">
        <is>
          <t>KALMAR LÄN</t>
        </is>
      </c>
      <c r="G547" t="inlineStr">
        <is>
          <t>EMMABODA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26254-2023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45091</v>
      </c>
      <c r="E548" s="1" t="n">
        <v>46301</v>
      </c>
      <c r="F548" t="inlineStr">
        <is>
          <t>KALMAR LÄN</t>
        </is>
      </c>
      <c r="G548" t="inlineStr">
        <is>
          <t>EMMABODA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36009-2023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46301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45060-2023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46301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46301</v>
      </c>
      <c r="F551" t="inlineStr">
        <is>
          <t>KALMAR LÄN</t>
        </is>
      </c>
      <c r="G551" t="inlineStr">
        <is>
          <t>EMMABODA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58689-2023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45251</v>
      </c>
      <c r="E552" s="1" t="n">
        <v>46301</v>
      </c>
      <c r="F552" t="inlineStr">
        <is>
          <t>KALMAR LÄN</t>
        </is>
      </c>
      <c r="G552" t="inlineStr">
        <is>
          <t>EMMABODA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44930</v>
      </c>
      <c r="E553" s="1" t="n">
        <v>46301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46301</v>
      </c>
      <c r="F554" t="inlineStr">
        <is>
          <t>KALMAR LÄN</t>
        </is>
      </c>
      <c r="G554" t="inlineStr">
        <is>
          <t>EMMABODA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24779-2022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44728</v>
      </c>
      <c r="E555" s="1" t="n">
        <v>46301</v>
      </c>
      <c r="F555" t="inlineStr">
        <is>
          <t>KALMAR LÄN</t>
        </is>
      </c>
      <c r="G555" t="inlineStr">
        <is>
          <t>EMMABODA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46268</v>
      </c>
      <c r="E556" s="1" t="n">
        <v>46301</v>
      </c>
      <c r="F556" t="inlineStr">
        <is>
          <t>KALMAR LÄN</t>
        </is>
      </c>
      <c r="G556" t="inlineStr">
        <is>
          <t>EMMABODA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18478-2024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45425</v>
      </c>
      <c r="E557" s="1" t="n">
        <v>46301</v>
      </c>
      <c r="F557" t="inlineStr">
        <is>
          <t>KALMAR LÄN</t>
        </is>
      </c>
      <c r="G557" t="inlineStr">
        <is>
          <t>EMMABODA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46301</v>
      </c>
      <c r="F558" t="inlineStr">
        <is>
          <t>KALMAR LÄN</t>
        </is>
      </c>
      <c r="G558" t="inlineStr">
        <is>
          <t>EMMABODA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43256-2022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44834</v>
      </c>
      <c r="E559" s="1" t="n">
        <v>46301</v>
      </c>
      <c r="F559" t="inlineStr">
        <is>
          <t>KALMAR LÄN</t>
        </is>
      </c>
      <c r="G559" t="inlineStr">
        <is>
          <t>EMMABODA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46301</v>
      </c>
      <c r="F560" t="inlineStr">
        <is>
          <t>KALMAR LÄN</t>
        </is>
      </c>
      <c r="G560" t="inlineStr">
        <is>
          <t>EMMABODA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19695-2023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45051</v>
      </c>
      <c r="E561" s="1" t="n">
        <v>46301</v>
      </c>
      <c r="F561" t="inlineStr">
        <is>
          <t>KALMAR LÄN</t>
        </is>
      </c>
      <c r="G561" t="inlineStr">
        <is>
          <t>EMMABODA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48352-2024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45590</v>
      </c>
      <c r="E562" s="1" t="n">
        <v>46301</v>
      </c>
      <c r="F562" t="inlineStr">
        <is>
          <t>KALMAR LÄN</t>
        </is>
      </c>
      <c r="G562" t="inlineStr">
        <is>
          <t>EMMABODA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37296-2022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44808</v>
      </c>
      <c r="E563" s="1" t="n">
        <v>46301</v>
      </c>
      <c r="F563" t="inlineStr">
        <is>
          <t>KALMAR LÄN</t>
        </is>
      </c>
      <c r="G563" t="inlineStr">
        <is>
          <t>EMMABODA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36850-2026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46301</v>
      </c>
      <c r="F564" t="inlineStr">
        <is>
          <t>KALMAR LÄN</t>
        </is>
      </c>
      <c r="G564" t="inlineStr">
        <is>
          <t>EMMABODA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46271</v>
      </c>
      <c r="E565" s="1" t="n">
        <v>46301</v>
      </c>
      <c r="F565" t="inlineStr">
        <is>
          <t>KALMAR LÄN</t>
        </is>
      </c>
      <c r="G565" t="inlineStr">
        <is>
          <t>EMMABODA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44944</v>
      </c>
      <c r="E566" s="1" t="n">
        <v>46301</v>
      </c>
      <c r="F566" t="inlineStr">
        <is>
          <t>KALMAR LÄN</t>
        </is>
      </c>
      <c r="G566" t="inlineStr">
        <is>
          <t>EMMABODA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19210-2023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45048</v>
      </c>
      <c r="E567" s="1" t="n">
        <v>46301</v>
      </c>
      <c r="F567" t="inlineStr">
        <is>
          <t>KALMAR LÄN</t>
        </is>
      </c>
      <c r="G567" t="inlineStr">
        <is>
          <t>EMMABODA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58136-2021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44487</v>
      </c>
      <c r="E568" s="1" t="n">
        <v>46301</v>
      </c>
      <c r="F568" t="inlineStr">
        <is>
          <t>KALMAR LÄN</t>
        </is>
      </c>
      <c r="G568" t="inlineStr">
        <is>
          <t>EMMABODA</t>
        </is>
      </c>
      <c r="H568" t="inlineStr">
        <is>
          <t>Kommuner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32661-2024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45514</v>
      </c>
      <c r="E569" s="1" t="n">
        <v>46301</v>
      </c>
      <c r="F569" t="inlineStr">
        <is>
          <t>KALMAR LÄN</t>
        </is>
      </c>
      <c r="G569" t="inlineStr">
        <is>
          <t>EMMABODA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32666-2024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45514</v>
      </c>
      <c r="E570" s="1" t="n">
        <v>46301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45076</v>
      </c>
      <c r="E571" s="1" t="n">
        <v>46301</v>
      </c>
      <c r="F571" t="inlineStr">
        <is>
          <t>KALMAR LÄN</t>
        </is>
      </c>
      <c r="G571" t="inlineStr">
        <is>
          <t>EMMABODA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46301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45217</v>
      </c>
      <c r="E573" s="1" t="n">
        <v>46301</v>
      </c>
      <c r="F573" t="inlineStr">
        <is>
          <t>KALMAR LÄN</t>
        </is>
      </c>
      <c r="G573" t="inlineStr">
        <is>
          <t>EMMABODA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5192-2025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45688</v>
      </c>
      <c r="E574" s="1" t="n">
        <v>46301</v>
      </c>
      <c r="F574" t="inlineStr">
        <is>
          <t>KALMAR LÄN</t>
        </is>
      </c>
      <c r="G574" t="inlineStr">
        <is>
          <t>EMMABODA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14160-2025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46301</v>
      </c>
      <c r="F575" t="inlineStr">
        <is>
          <t>KALMAR LÄN</t>
        </is>
      </c>
      <c r="G575" t="inlineStr">
        <is>
          <t>EMMABODA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27155-2026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46188</v>
      </c>
      <c r="E576" s="1" t="n">
        <v>46301</v>
      </c>
      <c r="F576" t="inlineStr">
        <is>
          <t>KALMAR LÄN</t>
        </is>
      </c>
      <c r="G576" t="inlineStr">
        <is>
          <t>EMMABODA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46273</v>
      </c>
      <c r="E577" s="1" t="n">
        <v>46301</v>
      </c>
      <c r="F577" t="inlineStr">
        <is>
          <t>KALMAR LÄN</t>
        </is>
      </c>
      <c r="G577" t="inlineStr">
        <is>
          <t>EMMABODA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46301</v>
      </c>
      <c r="F578" t="inlineStr">
        <is>
          <t>KALMAR LÄN</t>
        </is>
      </c>
      <c r="G578" t="inlineStr">
        <is>
          <t>EMMABODA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45668</v>
      </c>
      <c r="E579" s="1" t="n">
        <v>46301</v>
      </c>
      <c r="F579" t="inlineStr">
        <is>
          <t>KALMAR LÄN</t>
        </is>
      </c>
      <c r="G579" t="inlineStr">
        <is>
          <t>EMMABODA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45349</v>
      </c>
      <c r="E580" s="1" t="n">
        <v>46301</v>
      </c>
      <c r="F580" t="inlineStr">
        <is>
          <t>KALMAR LÄN</t>
        </is>
      </c>
      <c r="G580" t="inlineStr">
        <is>
          <t>EMMABODA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45349</v>
      </c>
      <c r="E581" s="1" t="n">
        <v>46301</v>
      </c>
      <c r="F581" t="inlineStr">
        <is>
          <t>KALMAR LÄN</t>
        </is>
      </c>
      <c r="G581" t="inlineStr">
        <is>
          <t>EMMABODA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45641</v>
      </c>
      <c r="E582" s="1" t="n">
        <v>46301</v>
      </c>
      <c r="F582" t="inlineStr">
        <is>
          <t>KALMAR LÄN</t>
        </is>
      </c>
      <c r="G582" t="inlineStr">
        <is>
          <t>EMMABODA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46275</v>
      </c>
      <c r="E583" s="1" t="n">
        <v>46301</v>
      </c>
      <c r="F583" t="inlineStr">
        <is>
          <t>KALMAR LÄN</t>
        </is>
      </c>
      <c r="G583" t="inlineStr">
        <is>
          <t>EMMABODA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46301</v>
      </c>
      <c r="F584" t="inlineStr">
        <is>
          <t>KALMAR LÄN</t>
        </is>
      </c>
      <c r="G584" t="inlineStr">
        <is>
          <t>EMMABODA</t>
        </is>
      </c>
      <c r="H584" t="inlineStr">
        <is>
          <t>Sveaskog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34032-2022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44791</v>
      </c>
      <c r="E585" s="1" t="n">
        <v>46301</v>
      </c>
      <c r="F585" t="inlineStr">
        <is>
          <t>KALMAR LÄN</t>
        </is>
      </c>
      <c r="G585" t="inlineStr">
        <is>
          <t>EMMABODA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2354-2024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45310</v>
      </c>
      <c r="E586" s="1" t="n">
        <v>46301</v>
      </c>
      <c r="F586" t="inlineStr">
        <is>
          <t>KALMAR LÄN</t>
        </is>
      </c>
      <c r="G586" t="inlineStr">
        <is>
          <t>EMMABODA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46279</v>
      </c>
      <c r="E587" s="1" t="n">
        <v>46301</v>
      </c>
      <c r="F587" t="inlineStr">
        <is>
          <t>KALMAR LÄN</t>
        </is>
      </c>
      <c r="G587" t="inlineStr">
        <is>
          <t>EMMABODA</t>
        </is>
      </c>
      <c r="H587" t="inlineStr">
        <is>
          <t>Sveaskog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61791-2022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44911</v>
      </c>
      <c r="E588" s="1" t="n">
        <v>46301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46301</v>
      </c>
      <c r="F589" t="inlineStr">
        <is>
          <t>KALMAR LÄN</t>
        </is>
      </c>
      <c r="G589" t="inlineStr">
        <is>
          <t>EMMABODA</t>
        </is>
      </c>
      <c r="H589" t="inlineStr">
        <is>
          <t>Sveaskog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46301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14415-2024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46301</v>
      </c>
      <c r="F591" t="inlineStr">
        <is>
          <t>KALMAR LÄN</t>
        </is>
      </c>
      <c r="G591" t="inlineStr">
        <is>
          <t>EMMABODA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46301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37823-2026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46279</v>
      </c>
      <c r="E593" s="1" t="n">
        <v>46301</v>
      </c>
      <c r="F593" t="inlineStr">
        <is>
          <t>KALMAR LÄN</t>
        </is>
      </c>
      <c r="G593" t="inlineStr">
        <is>
          <t>EMMABODA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59764-2022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44900</v>
      </c>
      <c r="E594" s="1" t="n">
        <v>46301</v>
      </c>
      <c r="F594" t="inlineStr">
        <is>
          <t>KALMAR LÄN</t>
        </is>
      </c>
      <c r="G594" t="inlineStr">
        <is>
          <t>EMMABODA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46279</v>
      </c>
      <c r="E595" s="1" t="n">
        <v>46301</v>
      </c>
      <c r="F595" t="inlineStr">
        <is>
          <t>KALMAR LÄN</t>
        </is>
      </c>
      <c r="G595" t="inlineStr">
        <is>
          <t>EMMABODA</t>
        </is>
      </c>
      <c r="H595" t="inlineStr">
        <is>
          <t>Sveaskog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37783-2026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46279</v>
      </c>
      <c r="E596" s="1" t="n">
        <v>46301</v>
      </c>
      <c r="F596" t="inlineStr">
        <is>
          <t>KALMAR LÄN</t>
        </is>
      </c>
      <c r="G596" t="inlineStr">
        <is>
          <t>EMMABODA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46279</v>
      </c>
      <c r="E597" s="1" t="n">
        <v>46301</v>
      </c>
      <c r="F597" t="inlineStr">
        <is>
          <t>KALMAR LÄN</t>
        </is>
      </c>
      <c r="G597" t="inlineStr">
        <is>
          <t>EMMABODA</t>
        </is>
      </c>
      <c r="H597" t="inlineStr">
        <is>
          <t>Sveaskog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37781-2026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46279</v>
      </c>
      <c r="E598" s="1" t="n">
        <v>46301</v>
      </c>
      <c r="F598" t="inlineStr">
        <is>
          <t>KALMAR LÄN</t>
        </is>
      </c>
      <c r="G598" t="inlineStr">
        <is>
          <t>EMMABODA</t>
        </is>
      </c>
      <c r="H598" t="inlineStr">
        <is>
          <t>Sveaskog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44432-2023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45189</v>
      </c>
      <c r="E599" s="1" t="n">
        <v>46301</v>
      </c>
      <c r="F599" t="inlineStr">
        <is>
          <t>KALMAR LÄN</t>
        </is>
      </c>
      <c r="G599" t="inlineStr">
        <is>
          <t>EMMABODA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46301</v>
      </c>
      <c r="F600" t="inlineStr">
        <is>
          <t>KALMAR LÄN</t>
        </is>
      </c>
      <c r="G600" t="inlineStr">
        <is>
          <t>EMMABODA</t>
        </is>
      </c>
      <c r="H600" t="inlineStr">
        <is>
          <t>Sveaskog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46282</v>
      </c>
      <c r="E601" s="1" t="n">
        <v>46301</v>
      </c>
      <c r="F601" t="inlineStr">
        <is>
          <t>KALMAR LÄN</t>
        </is>
      </c>
      <c r="G601" t="inlineStr">
        <is>
          <t>EMMABODA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45113</v>
      </c>
      <c r="E602" s="1" t="n">
        <v>46301</v>
      </c>
      <c r="F602" t="inlineStr">
        <is>
          <t>KALMAR LÄN</t>
        </is>
      </c>
      <c r="G602" t="inlineStr">
        <is>
          <t>EMMABODA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45007</v>
      </c>
      <c r="E603" s="1" t="n">
        <v>46301</v>
      </c>
      <c r="F603" t="inlineStr">
        <is>
          <t>KALMAR LÄN</t>
        </is>
      </c>
      <c r="G603" t="inlineStr">
        <is>
          <t>EMMABODA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11616-2025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45727</v>
      </c>
      <c r="E604" s="1" t="n">
        <v>46301</v>
      </c>
      <c r="F604" t="inlineStr">
        <is>
          <t>KALMAR LÄN</t>
        </is>
      </c>
      <c r="G604" t="inlineStr">
        <is>
          <t>EMMABODA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45164</v>
      </c>
      <c r="E605" s="1" t="n">
        <v>46301</v>
      </c>
      <c r="F605" t="inlineStr">
        <is>
          <t>KALMAR LÄN</t>
        </is>
      </c>
      <c r="G605" t="inlineStr">
        <is>
          <t>EMMABODA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46301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7719-2025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45706</v>
      </c>
      <c r="E607" s="1" t="n">
        <v>46301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49626-2023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46301</v>
      </c>
      <c r="F608" t="inlineStr">
        <is>
          <t>KALMAR LÄN</t>
        </is>
      </c>
      <c r="G608" t="inlineStr">
        <is>
          <t>EMMABODA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11621-2025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45727</v>
      </c>
      <c r="E609" s="1" t="n">
        <v>46301</v>
      </c>
      <c r="F609" t="inlineStr">
        <is>
          <t>KALMAR LÄN</t>
        </is>
      </c>
      <c r="G609" t="inlineStr">
        <is>
          <t>EMMABODA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33060-2023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45126</v>
      </c>
      <c r="E610" s="1" t="n">
        <v>46301</v>
      </c>
      <c r="F610" t="inlineStr">
        <is>
          <t>KALMAR LÄN</t>
        </is>
      </c>
      <c r="G610" t="inlineStr">
        <is>
          <t>EMMABODA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20102-2022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44698</v>
      </c>
      <c r="E611" s="1" t="n">
        <v>46301</v>
      </c>
      <c r="F611" t="inlineStr">
        <is>
          <t>KALMAR LÄN</t>
        </is>
      </c>
      <c r="G611" t="inlineStr">
        <is>
          <t>EMMABODA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3288-2024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45317</v>
      </c>
      <c r="E612" s="1" t="n">
        <v>46301</v>
      </c>
      <c r="F612" t="inlineStr">
        <is>
          <t>KALMAR LÄN</t>
        </is>
      </c>
      <c r="G612" t="inlineStr">
        <is>
          <t>EMMABODA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46527-2025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45926</v>
      </c>
      <c r="E613" s="1" t="n">
        <v>46301</v>
      </c>
      <c r="F613" t="inlineStr">
        <is>
          <t>KALMAR LÄN</t>
        </is>
      </c>
      <c r="G613" t="inlineStr">
        <is>
          <t>EMMABODA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11636-2024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45373</v>
      </c>
      <c r="E614" s="1" t="n">
        <v>46301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39249-2026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46288</v>
      </c>
      <c r="E615" s="1" t="n">
        <v>46301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32853-2026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46244</v>
      </c>
      <c r="E616" s="1" t="n">
        <v>46301</v>
      </c>
      <c r="F616" t="inlineStr">
        <is>
          <t>KALMAR LÄN</t>
        </is>
      </c>
      <c r="G616" t="inlineStr">
        <is>
          <t>EMMABODA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46288</v>
      </c>
      <c r="E617" s="1" t="n">
        <v>46301</v>
      </c>
      <c r="F617" t="inlineStr">
        <is>
          <t>KALMAR LÄN</t>
        </is>
      </c>
      <c r="G617" t="inlineStr">
        <is>
          <t>EMMABODA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48957-2023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46301</v>
      </c>
      <c r="F618" t="inlineStr">
        <is>
          <t>KALMAR LÄN</t>
        </is>
      </c>
      <c r="G618" t="inlineStr">
        <is>
          <t>EMMABODA</t>
        </is>
      </c>
      <c r="H618" t="inlineStr">
        <is>
          <t>Övriga Aktiebolag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5880-2024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45335</v>
      </c>
      <c r="E619" s="1" t="n">
        <v>46301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10699-2024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45369</v>
      </c>
      <c r="E620" s="1" t="n">
        <v>46301</v>
      </c>
      <c r="F620" t="inlineStr">
        <is>
          <t>KALMAR LÄN</t>
        </is>
      </c>
      <c r="G620" t="inlineStr">
        <is>
          <t>EMMABODA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63219-2023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45273</v>
      </c>
      <c r="E621" s="1" t="n">
        <v>46301</v>
      </c>
      <c r="F621" t="inlineStr">
        <is>
          <t>KALMAR LÄN</t>
        </is>
      </c>
      <c r="G621" t="inlineStr">
        <is>
          <t>EMMABODA</t>
        </is>
      </c>
      <c r="H621" t="inlineStr">
        <is>
          <t>Kommuner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45204</v>
      </c>
      <c r="E622" s="1" t="n">
        <v>46301</v>
      </c>
      <c r="F622" t="inlineStr">
        <is>
          <t>KALMAR LÄN</t>
        </is>
      </c>
      <c r="G622" t="inlineStr">
        <is>
          <t>EMMABODA</t>
        </is>
      </c>
      <c r="H622" t="inlineStr">
        <is>
          <t>Övriga Aktiebolag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49284-2024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45595</v>
      </c>
      <c r="E623" s="1" t="n">
        <v>46301</v>
      </c>
      <c r="F623" t="inlineStr">
        <is>
          <t>KALMAR LÄN</t>
        </is>
      </c>
      <c r="G623" t="inlineStr">
        <is>
          <t>EMMABODA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19881-2024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45433</v>
      </c>
      <c r="E624" s="1" t="n">
        <v>46301</v>
      </c>
      <c r="F624" t="inlineStr">
        <is>
          <t>KALMAR LÄN</t>
        </is>
      </c>
      <c r="G624" t="inlineStr">
        <is>
          <t>EMMABODA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55174-2023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45237</v>
      </c>
      <c r="E625" s="1" t="n">
        <v>46301</v>
      </c>
      <c r="F625" t="inlineStr">
        <is>
          <t>KALMAR LÄN</t>
        </is>
      </c>
      <c r="G625" t="inlineStr">
        <is>
          <t>EMMABODA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69464-2021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44531</v>
      </c>
      <c r="E626" s="1" t="n">
        <v>46301</v>
      </c>
      <c r="F626" t="inlineStr">
        <is>
          <t>KALMAR LÄN</t>
        </is>
      </c>
      <c r="G626" t="inlineStr">
        <is>
          <t>EMMABODA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62733-2021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44504</v>
      </c>
      <c r="E627" s="1" t="n">
        <v>46301</v>
      </c>
      <c r="F627" t="inlineStr">
        <is>
          <t>KALMAR LÄN</t>
        </is>
      </c>
      <c r="G627" t="inlineStr">
        <is>
          <t>EMMABODA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28681-2023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45103</v>
      </c>
      <c r="E628" s="1" t="n">
        <v>46301</v>
      </c>
      <c r="F628" t="inlineStr">
        <is>
          <t>KALMAR LÄN</t>
        </is>
      </c>
      <c r="G628" t="inlineStr">
        <is>
          <t>EMMABODA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46301</v>
      </c>
      <c r="F629" t="inlineStr">
        <is>
          <t>KALMAR LÄN</t>
        </is>
      </c>
      <c r="G629" t="inlineStr">
        <is>
          <t>EMMABODA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6535-2024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45341</v>
      </c>
      <c r="E630" s="1" t="n">
        <v>46301</v>
      </c>
      <c r="F630" t="inlineStr">
        <is>
          <t>KALMAR LÄN</t>
        </is>
      </c>
      <c r="G630" t="inlineStr">
        <is>
          <t>EMMABODA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765-2025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45665</v>
      </c>
      <c r="E631" s="1" t="n">
        <v>46301</v>
      </c>
      <c r="F631" t="inlineStr">
        <is>
          <t>KALMAR LÄN</t>
        </is>
      </c>
      <c r="G631" t="inlineStr">
        <is>
          <t>EMMABODA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39824-2026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46301</v>
      </c>
      <c r="F632" t="inlineStr">
        <is>
          <t>KALMAR LÄN</t>
        </is>
      </c>
      <c r="G632" t="inlineStr">
        <is>
          <t>EMMABODA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33083-2023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45126</v>
      </c>
      <c r="E633" s="1" t="n">
        <v>46301</v>
      </c>
      <c r="F633" t="inlineStr">
        <is>
          <t>KALMAR LÄN</t>
        </is>
      </c>
      <c r="G633" t="inlineStr">
        <is>
          <t>EMMABODA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47291-2023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45202</v>
      </c>
      <c r="E634" s="1" t="n">
        <v>46301</v>
      </c>
      <c r="F634" t="inlineStr">
        <is>
          <t>KALMAR LÄN</t>
        </is>
      </c>
      <c r="G634" t="inlineStr">
        <is>
          <t>EMMABODA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64681-2023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45281</v>
      </c>
      <c r="E635" s="1" t="n">
        <v>46301</v>
      </c>
      <c r="F635" t="inlineStr">
        <is>
          <t>KALMAR LÄN</t>
        </is>
      </c>
      <c r="G635" t="inlineStr">
        <is>
          <t>EMMABODA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37060-2023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45155</v>
      </c>
      <c r="E636" s="1" t="n">
        <v>46301</v>
      </c>
      <c r="F636" t="inlineStr">
        <is>
          <t>KALMAR LÄN</t>
        </is>
      </c>
      <c r="G636" t="inlineStr">
        <is>
          <t>EMMABODA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39806-2026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46290</v>
      </c>
      <c r="E637" s="1" t="n">
        <v>46301</v>
      </c>
      <c r="F637" t="inlineStr">
        <is>
          <t>KALMAR LÄN</t>
        </is>
      </c>
      <c r="G637" t="inlineStr">
        <is>
          <t>EMMABODA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39812-2026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46290</v>
      </c>
      <c r="E638" s="1" t="n">
        <v>46301</v>
      </c>
      <c r="F638" t="inlineStr">
        <is>
          <t>KALMAR LÄN</t>
        </is>
      </c>
      <c r="G638" t="inlineStr">
        <is>
          <t>EMMABODA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57791-2022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46301</v>
      </c>
      <c r="F639" t="inlineStr">
        <is>
          <t>KALMAR LÄN</t>
        </is>
      </c>
      <c r="G639" t="inlineStr">
        <is>
          <t>EMMABODA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9688-2025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45716</v>
      </c>
      <c r="E640" s="1" t="n">
        <v>46301</v>
      </c>
      <c r="F640" t="inlineStr">
        <is>
          <t>KALMAR LÄN</t>
        </is>
      </c>
      <c r="G640" t="inlineStr">
        <is>
          <t>EMMABODA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33160-2026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46245</v>
      </c>
      <c r="E641" s="1" t="n">
        <v>46301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66658-2021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44519</v>
      </c>
      <c r="E642" s="1" t="n">
        <v>46301</v>
      </c>
      <c r="F642" t="inlineStr">
        <is>
          <t>KALMAR LÄN</t>
        </is>
      </c>
      <c r="G642" t="inlineStr">
        <is>
          <t>EMMABODA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41948-2024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45561</v>
      </c>
      <c r="E643" s="1" t="n">
        <v>46301</v>
      </c>
      <c r="F643" t="inlineStr">
        <is>
          <t>KALMAR LÄN</t>
        </is>
      </c>
      <c r="G643" t="inlineStr">
        <is>
          <t>EMMABODA</t>
        </is>
      </c>
      <c r="H643" t="inlineStr">
        <is>
          <t>Övriga Aktiebolag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46160</v>
      </c>
      <c r="E644" s="1" t="n">
        <v>46301</v>
      </c>
      <c r="F644" t="inlineStr">
        <is>
          <t>KALMAR LÄN</t>
        </is>
      </c>
      <c r="G644" t="inlineStr">
        <is>
          <t>EMMABODA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8971-2023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44979</v>
      </c>
      <c r="E645" s="1" t="n">
        <v>46301</v>
      </c>
      <c r="F645" t="inlineStr">
        <is>
          <t>KALMAR LÄN</t>
        </is>
      </c>
      <c r="G645" t="inlineStr">
        <is>
          <t>EMMABODA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34146-2026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46253</v>
      </c>
      <c r="E646" s="1" t="n">
        <v>46301</v>
      </c>
      <c r="F646" t="inlineStr">
        <is>
          <t>KALMAR LÄN</t>
        </is>
      </c>
      <c r="G646" t="inlineStr">
        <is>
          <t>EMMABODA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39521-2024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45551</v>
      </c>
      <c r="E647" s="1" t="n">
        <v>46301</v>
      </c>
      <c r="F647" t="inlineStr">
        <is>
          <t>KALMAR LÄN</t>
        </is>
      </c>
      <c r="G647" t="inlineStr">
        <is>
          <t>EMMABODA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45523</v>
      </c>
      <c r="E648" s="1" t="n">
        <v>46301</v>
      </c>
      <c r="F648" t="inlineStr">
        <is>
          <t>KALMAR LÄN</t>
        </is>
      </c>
      <c r="G648" t="inlineStr">
        <is>
          <t>EMMABODA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49953-2023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45215</v>
      </c>
      <c r="E649" s="1" t="n">
        <v>46301</v>
      </c>
      <c r="F649" t="inlineStr">
        <is>
          <t>KALMAR LÄN</t>
        </is>
      </c>
      <c r="G649" t="inlineStr">
        <is>
          <t>EMMABODA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44949</v>
      </c>
      <c r="E650" s="1" t="n">
        <v>46301</v>
      </c>
      <c r="F650" t="inlineStr">
        <is>
          <t>KALMAR LÄN</t>
        </is>
      </c>
      <c r="G650" t="inlineStr">
        <is>
          <t>EMMABODA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45684</v>
      </c>
      <c r="E651" s="1" t="n">
        <v>46301</v>
      </c>
      <c r="F651" t="inlineStr">
        <is>
          <t>KALMAR LÄN</t>
        </is>
      </c>
      <c r="G651" t="inlineStr">
        <is>
          <t>EMMABODA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56254-2024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45624</v>
      </c>
      <c r="E652" s="1" t="n">
        <v>46301</v>
      </c>
      <c r="F652" t="inlineStr">
        <is>
          <t>KALMAR LÄN</t>
        </is>
      </c>
      <c r="G652" t="inlineStr">
        <is>
          <t>EMMABODA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33759-2026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46251</v>
      </c>
      <c r="E653" s="1" t="n">
        <v>46301</v>
      </c>
      <c r="F653" t="inlineStr">
        <is>
          <t>KALMAR LÄN</t>
        </is>
      </c>
      <c r="G653" t="inlineStr">
        <is>
          <t>EMMABODA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36367-2024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45534</v>
      </c>
      <c r="E654" s="1" t="n">
        <v>46301</v>
      </c>
      <c r="F654" t="inlineStr">
        <is>
          <t>KALMAR LÄN</t>
        </is>
      </c>
      <c r="G654" t="inlineStr">
        <is>
          <t>EMMABODA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46301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8151-2024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45351</v>
      </c>
      <c r="E656" s="1" t="n">
        <v>46301</v>
      </c>
      <c r="F656" t="inlineStr">
        <is>
          <t>KALMAR LÄN</t>
        </is>
      </c>
      <c r="G656" t="inlineStr">
        <is>
          <t>EMMABODA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34191-2026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46253</v>
      </c>
      <c r="E657" s="1" t="n">
        <v>46301</v>
      </c>
      <c r="F657" t="inlineStr">
        <is>
          <t>KALMAR LÄN</t>
        </is>
      </c>
      <c r="G657" t="inlineStr">
        <is>
          <t>EMMABODA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29782-2023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45107</v>
      </c>
      <c r="E658" s="1" t="n">
        <v>46301</v>
      </c>
      <c r="F658" t="inlineStr">
        <is>
          <t>KALMAR LÄN</t>
        </is>
      </c>
      <c r="G658" t="inlineStr">
        <is>
          <t>EMMABODA</t>
        </is>
      </c>
      <c r="I658" t="n">
        <v>7.4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45317</v>
      </c>
      <c r="E659" s="1" t="n">
        <v>46301</v>
      </c>
      <c r="F659" t="inlineStr">
        <is>
          <t>KALMAR LÄN</t>
        </is>
      </c>
      <c r="G659" t="inlineStr">
        <is>
          <t>EMMABODA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17527-2024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45415</v>
      </c>
      <c r="E660" s="1" t="n">
        <v>46301</v>
      </c>
      <c r="F660" t="inlineStr">
        <is>
          <t>KALMAR LÄN</t>
        </is>
      </c>
      <c r="G660" t="inlineStr">
        <is>
          <t>EMMABODA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59413-2024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45638</v>
      </c>
      <c r="E661" s="1" t="n">
        <v>46301</v>
      </c>
      <c r="F661" t="inlineStr">
        <is>
          <t>KALMAR LÄN</t>
        </is>
      </c>
      <c r="G661" t="inlineStr">
        <is>
          <t>EMMABODA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52913-2024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45610</v>
      </c>
      <c r="E662" s="1" t="n">
        <v>46301</v>
      </c>
      <c r="F662" t="inlineStr">
        <is>
          <t>KALMAR LÄN</t>
        </is>
      </c>
      <c r="G662" t="inlineStr">
        <is>
          <t>EMMABODA</t>
        </is>
      </c>
      <c r="I662" t="n">
        <v>6.6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46429-2024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45582</v>
      </c>
      <c r="E663" s="1" t="n">
        <v>46301</v>
      </c>
      <c r="F663" t="inlineStr">
        <is>
          <t>KALMAR LÄN</t>
        </is>
      </c>
      <c r="G663" t="inlineStr">
        <is>
          <t>EMMABODA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42448-2024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45565</v>
      </c>
      <c r="E664" s="1" t="n">
        <v>46301</v>
      </c>
      <c r="F664" t="inlineStr">
        <is>
          <t>KALMAR LÄN</t>
        </is>
      </c>
      <c r="G664" t="inlineStr">
        <is>
          <t>EMMABODA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22145-2024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45445</v>
      </c>
      <c r="E665" s="1" t="n">
        <v>46301</v>
      </c>
      <c r="F665" t="inlineStr">
        <is>
          <t>KALMAR LÄN</t>
        </is>
      </c>
      <c r="G665" t="inlineStr">
        <is>
          <t>EMMABODA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39169-2024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45548</v>
      </c>
      <c r="E666" s="1" t="n">
        <v>46301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52462-2024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45609</v>
      </c>
      <c r="E667" s="1" t="n">
        <v>46301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45688</v>
      </c>
      <c r="E668" s="1" t="n">
        <v>46301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29491-2024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45484</v>
      </c>
      <c r="E669" s="1" t="n">
        <v>46301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45386</v>
      </c>
      <c r="E670" s="1" t="n">
        <v>46301</v>
      </c>
      <c r="F670" t="inlineStr">
        <is>
          <t>KALMAR LÄN</t>
        </is>
      </c>
      <c r="G670" t="inlineStr">
        <is>
          <t>EMMABODA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46301</v>
      </c>
      <c r="F671" t="inlineStr">
        <is>
          <t>KALMAR LÄN</t>
        </is>
      </c>
      <c r="G671" t="inlineStr">
        <is>
          <t>EMMABODA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45566</v>
      </c>
      <c r="E672" s="1" t="n">
        <v>46301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46301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45481</v>
      </c>
      <c r="E674" s="1" t="n">
        <v>46301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15281-2024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45400</v>
      </c>
      <c r="E675" s="1" t="n">
        <v>46301</v>
      </c>
      <c r="F675" t="inlineStr">
        <is>
          <t>KALMAR LÄN</t>
        </is>
      </c>
      <c r="G675" t="inlineStr">
        <is>
          <t>EMMABODA</t>
        </is>
      </c>
      <c r="I675" t="n">
        <v>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34891-2026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46301</v>
      </c>
      <c r="F676" t="inlineStr">
        <is>
          <t>KALMAR LÄN</t>
        </is>
      </c>
      <c r="G676" t="inlineStr">
        <is>
          <t>EMMABODA</t>
        </is>
      </c>
      <c r="H676" t="inlineStr">
        <is>
          <t>Kyrkan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19551-2026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46134</v>
      </c>
      <c r="E677" s="1" t="n">
        <v>46301</v>
      </c>
      <c r="F677" t="inlineStr">
        <is>
          <t>KALMAR LÄN</t>
        </is>
      </c>
      <c r="G677" t="inlineStr">
        <is>
          <t>EMMABODA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46301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23776-2024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45455</v>
      </c>
      <c r="E679" s="1" t="n">
        <v>46301</v>
      </c>
      <c r="F679" t="inlineStr">
        <is>
          <t>KALMAR LÄN</t>
        </is>
      </c>
      <c r="G679" t="inlineStr">
        <is>
          <t>EMMABODA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34914-2026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46301</v>
      </c>
      <c r="F680" t="inlineStr">
        <is>
          <t>KALMAR LÄN</t>
        </is>
      </c>
      <c r="G680" t="inlineStr">
        <is>
          <t>EMMABODA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51649-2024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45606</v>
      </c>
      <c r="E681" s="1" t="n">
        <v>46301</v>
      </c>
      <c r="F681" t="inlineStr">
        <is>
          <t>KALMAR LÄN</t>
        </is>
      </c>
      <c r="G681" t="inlineStr">
        <is>
          <t>EMMABODA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46230</v>
      </c>
      <c r="E682" s="1" t="n">
        <v>46301</v>
      </c>
      <c r="F682" t="inlineStr">
        <is>
          <t>KALMAR LÄN</t>
        </is>
      </c>
      <c r="G682" t="inlineStr">
        <is>
          <t>EMMABODA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25316-2025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45800</v>
      </c>
      <c r="E683" s="1" t="n">
        <v>46301</v>
      </c>
      <c r="F683" t="inlineStr">
        <is>
          <t>KALMAR LÄN</t>
        </is>
      </c>
      <c r="G683" t="inlineStr">
        <is>
          <t>EMMABODA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34893-2026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46301</v>
      </c>
      <c r="F684" t="inlineStr">
        <is>
          <t>KALMAR LÄN</t>
        </is>
      </c>
      <c r="G684" t="inlineStr">
        <is>
          <t>EMMABODA</t>
        </is>
      </c>
      <c r="H684" t="inlineStr">
        <is>
          <t>Kyrkan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34896-2026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46301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34905-2026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46301</v>
      </c>
      <c r="F686" t="inlineStr">
        <is>
          <t>KALMAR LÄN</t>
        </is>
      </c>
      <c r="G686" t="inlineStr">
        <is>
          <t>EMMABODA</t>
        </is>
      </c>
      <c r="H686" t="inlineStr">
        <is>
          <t>Kyrkan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36491-2024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45537</v>
      </c>
      <c r="E687" s="1" t="n">
        <v>46301</v>
      </c>
      <c r="F687" t="inlineStr">
        <is>
          <t>KALMAR LÄN</t>
        </is>
      </c>
      <c r="G687" t="inlineStr">
        <is>
          <t>EMMABODA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8397-2023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44977</v>
      </c>
      <c r="E688" s="1" t="n">
        <v>46301</v>
      </c>
      <c r="F688" t="inlineStr">
        <is>
          <t>KALMAR LÄN</t>
        </is>
      </c>
      <c r="G688" t="inlineStr">
        <is>
          <t>EMMABODA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768-2025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45665</v>
      </c>
      <c r="E689" s="1" t="n">
        <v>46301</v>
      </c>
      <c r="F689" t="inlineStr">
        <is>
          <t>KALMAR LÄN</t>
        </is>
      </c>
      <c r="G689" t="inlineStr">
        <is>
          <t>EMMABODA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46301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46301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393-2023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44959</v>
      </c>
      <c r="E692" s="1" t="n">
        <v>46301</v>
      </c>
      <c r="F692" t="inlineStr">
        <is>
          <t>KALMAR LÄN</t>
        </is>
      </c>
      <c r="G692" t="inlineStr">
        <is>
          <t>EMMABODA</t>
        </is>
      </c>
      <c r="I692" t="n">
        <v>14.2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3275-2023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45194</v>
      </c>
      <c r="E693" s="1" t="n">
        <v>46301</v>
      </c>
      <c r="F693" t="inlineStr">
        <is>
          <t>KALMAR LÄN</t>
        </is>
      </c>
      <c r="G693" t="inlineStr">
        <is>
          <t>EMMABODA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916-2024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45377</v>
      </c>
      <c r="E694" s="1" t="n">
        <v>46301</v>
      </c>
      <c r="F694" t="inlineStr">
        <is>
          <t>KALMAR LÄN</t>
        </is>
      </c>
      <c r="G694" t="inlineStr">
        <is>
          <t>EMMABODA</t>
        </is>
      </c>
      <c r="I694" t="n">
        <v>34.2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1064-2024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45387</v>
      </c>
      <c r="E695" s="1" t="n">
        <v>46301</v>
      </c>
      <c r="F695" t="inlineStr">
        <is>
          <t>KALMAR LÄN</t>
        </is>
      </c>
      <c r="G695" t="inlineStr">
        <is>
          <t>EMMABODA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7020-2022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44903</v>
      </c>
      <c r="E696" s="1" t="n">
        <v>46301</v>
      </c>
      <c r="F696" t="inlineStr">
        <is>
          <t>KALMAR LÄN</t>
        </is>
      </c>
      <c r="G696" t="inlineStr">
        <is>
          <t>EMMABODA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6951-2022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44900</v>
      </c>
      <c r="E697" s="1" t="n">
        <v>46301</v>
      </c>
      <c r="F697" t="inlineStr">
        <is>
          <t>KALMAR LÄN</t>
        </is>
      </c>
      <c r="G697" t="inlineStr">
        <is>
          <t>EMMABODA</t>
        </is>
      </c>
      <c r="I697" t="n">
        <v>16.2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5811-2022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44852</v>
      </c>
      <c r="E698" s="1" t="n">
        <v>46301</v>
      </c>
      <c r="F698" t="inlineStr">
        <is>
          <t>KALMAR LÄN</t>
        </is>
      </c>
      <c r="G698" t="inlineStr">
        <is>
          <t>EMMABODA</t>
        </is>
      </c>
      <c r="I698" t="n">
        <v>20.2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3326-2023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45200</v>
      </c>
      <c r="E699" s="1" t="n">
        <v>46301</v>
      </c>
      <c r="F699" t="inlineStr">
        <is>
          <t>KALMAR LÄN</t>
        </is>
      </c>
      <c r="G699" t="inlineStr">
        <is>
          <t>EMMABODA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3397-2024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45534</v>
      </c>
      <c r="E700" s="1" t="n">
        <v>46301</v>
      </c>
      <c r="F700" t="inlineStr">
        <is>
          <t>KALMAR LÄN</t>
        </is>
      </c>
      <c r="G700" t="inlineStr">
        <is>
          <t>EMMABODA</t>
        </is>
      </c>
      <c r="I700" t="n">
        <v>49.9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3244-2023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45191</v>
      </c>
      <c r="E701" s="1" t="n">
        <v>46301</v>
      </c>
      <c r="F701" t="inlineStr">
        <is>
          <t>KALMAR LÄN</t>
        </is>
      </c>
      <c r="G701" t="inlineStr">
        <is>
          <t>EMMABODA</t>
        </is>
      </c>
      <c r="I701" t="n">
        <v>86.2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1011-2024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46301</v>
      </c>
      <c r="F702" t="inlineStr">
        <is>
          <t>KALMAR LÄN</t>
        </is>
      </c>
      <c r="G702" t="inlineStr">
        <is>
          <t>EMMABODA</t>
        </is>
      </c>
      <c r="I702" t="n">
        <v>25.2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4594-2023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45287</v>
      </c>
      <c r="E703" s="1" t="n">
        <v>46301</v>
      </c>
      <c r="F703" t="inlineStr">
        <is>
          <t>KALMAR LÄN</t>
        </is>
      </c>
      <c r="G703" t="inlineStr">
        <is>
          <t>EMMABODA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46301</v>
      </c>
      <c r="F704" t="inlineStr">
        <is>
          <t>KALMAR LÄN</t>
        </is>
      </c>
      <c r="G704" t="inlineStr">
        <is>
          <t>EMMABODA</t>
        </is>
      </c>
      <c r="I704" t="n">
        <v>70.90000000000001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1014-2024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46301</v>
      </c>
      <c r="F705" t="inlineStr">
        <is>
          <t>KALMAR LÄN</t>
        </is>
      </c>
      <c r="G705" t="inlineStr">
        <is>
          <t>EMMABODA</t>
        </is>
      </c>
      <c r="I705" t="n">
        <v>21.8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46301</v>
      </c>
      <c r="F706" t="inlineStr">
        <is>
          <t>KALMAR LÄN</t>
        </is>
      </c>
      <c r="G706" t="inlineStr">
        <is>
          <t>EMMABODA</t>
        </is>
      </c>
      <c r="I706" t="n">
        <v>17.9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1028-2024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45387</v>
      </c>
      <c r="E707" s="1" t="n">
        <v>46301</v>
      </c>
      <c r="F707" t="inlineStr">
        <is>
          <t>KALMAR LÄN</t>
        </is>
      </c>
      <c r="G707" t="inlineStr">
        <is>
          <t>EMMABODA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9363-2021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46301</v>
      </c>
      <c r="F708" t="inlineStr">
        <is>
          <t>KALMAR LÄN</t>
        </is>
      </c>
      <c r="G708" t="inlineStr">
        <is>
          <t>EMMABODA</t>
        </is>
      </c>
      <c r="I708" t="n">
        <v>9.199999999999999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3393-2024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45534</v>
      </c>
      <c r="E709" s="1" t="n">
        <v>46301</v>
      </c>
      <c r="F709" t="inlineStr">
        <is>
          <t>KALMAR LÄN</t>
        </is>
      </c>
      <c r="G709" t="inlineStr">
        <is>
          <t>EMMABODA</t>
        </is>
      </c>
      <c r="I709" t="n">
        <v>48.6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46301</v>
      </c>
      <c r="F710" t="inlineStr">
        <is>
          <t>KALMAR LÄN</t>
        </is>
      </c>
      <c r="G710" t="inlineStr">
        <is>
          <t>EMMABODA</t>
        </is>
      </c>
      <c r="I710" t="n">
        <v>30.6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66-2023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44928</v>
      </c>
      <c r="E711" s="1" t="n">
        <v>46301</v>
      </c>
      <c r="F711" t="inlineStr">
        <is>
          <t>KALMAR LÄN</t>
        </is>
      </c>
      <c r="G711" t="inlineStr">
        <is>
          <t>EMMABODA</t>
        </is>
      </c>
      <c r="I711" t="n">
        <v>29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921-2024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46301</v>
      </c>
      <c r="F712" t="inlineStr">
        <is>
          <t>KALMAR LÄN</t>
        </is>
      </c>
      <c r="G712" t="inlineStr">
        <is>
          <t>EMMABODA</t>
        </is>
      </c>
      <c r="I712" t="n">
        <v>15.6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9386-2021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46301</v>
      </c>
      <c r="F713" t="inlineStr">
        <is>
          <t>KALMAR LÄN</t>
        </is>
      </c>
      <c r="G713" t="inlineStr">
        <is>
          <t>EMMABODA</t>
        </is>
      </c>
      <c r="I713" t="n">
        <v>18.7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3325-2023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45200</v>
      </c>
      <c r="E714" s="1" t="n">
        <v>46301</v>
      </c>
      <c r="F714" t="inlineStr">
        <is>
          <t>KALMAR LÄN</t>
        </is>
      </c>
      <c r="G714" t="inlineStr">
        <is>
          <t>EMMABODA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6949-2022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44900</v>
      </c>
      <c r="E715" s="1" t="n">
        <v>46301</v>
      </c>
      <c r="F715" t="inlineStr">
        <is>
          <t>KALMAR LÄN</t>
        </is>
      </c>
      <c r="G715" t="inlineStr">
        <is>
          <t>EMMABODA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361-2024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45330</v>
      </c>
      <c r="E716" s="1" t="n">
        <v>46301</v>
      </c>
      <c r="F716" t="inlineStr">
        <is>
          <t>KALMAR LÄN</t>
        </is>
      </c>
      <c r="G716" t="inlineStr">
        <is>
          <t>EMMABODA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388-2023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44959</v>
      </c>
      <c r="E717" s="1" t="n">
        <v>46301</v>
      </c>
      <c r="F717" t="inlineStr">
        <is>
          <t>KALMAR LÄN</t>
        </is>
      </c>
      <c r="G717" t="inlineStr">
        <is>
          <t>EMMABODA</t>
        </is>
      </c>
      <c r="I717" t="n">
        <v>13.7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919-2024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45348</v>
      </c>
      <c r="E718" s="1" t="n">
        <v>46301</v>
      </c>
      <c r="F718" t="inlineStr">
        <is>
          <t>KALMAR LÄN</t>
        </is>
      </c>
      <c r="G718" t="inlineStr">
        <is>
          <t>EMMABODA</t>
        </is>
      </c>
      <c r="I718" t="n">
        <v>12.3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1775-2025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45813</v>
      </c>
      <c r="E719" s="1" t="n">
        <v>46301</v>
      </c>
      <c r="F719" t="inlineStr">
        <is>
          <t>KALMAR LÄN</t>
        </is>
      </c>
      <c r="G719" t="inlineStr">
        <is>
          <t>EMMABODA</t>
        </is>
      </c>
      <c r="I719" t="n">
        <v>8.300000000000001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1774-2025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45813</v>
      </c>
      <c r="E720" s="1" t="n">
        <v>46301</v>
      </c>
      <c r="F720" t="inlineStr">
        <is>
          <t>KALMAR LÄN</t>
        </is>
      </c>
      <c r="G720" t="inlineStr">
        <is>
          <t>EMMABODA</t>
        </is>
      </c>
      <c r="I720" t="n">
        <v>21.5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2164-2025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45849</v>
      </c>
      <c r="E721" s="1" t="n">
        <v>46301</v>
      </c>
      <c r="F721" t="inlineStr">
        <is>
          <t>KALMAR LÄN</t>
        </is>
      </c>
      <c r="G721" t="inlineStr">
        <is>
          <t>EMMABODA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2433-2025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45898</v>
      </c>
      <c r="E722" s="1" t="n">
        <v>46301</v>
      </c>
      <c r="F722" t="inlineStr">
        <is>
          <t>KALMAR LÄN</t>
        </is>
      </c>
      <c r="G722" t="inlineStr">
        <is>
          <t>EMMABODA</t>
        </is>
      </c>
      <c r="I722" t="n">
        <v>16.5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2757-2025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45935</v>
      </c>
      <c r="E723" s="1" t="n">
        <v>46301</v>
      </c>
      <c r="F723" t="inlineStr">
        <is>
          <t>KALMAR LÄN</t>
        </is>
      </c>
      <c r="G723" t="inlineStr">
        <is>
          <t>EMMABODA</t>
        </is>
      </c>
      <c r="I723" t="n">
        <v>17.8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3189-2025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45978</v>
      </c>
      <c r="E724" s="1" t="n">
        <v>46301</v>
      </c>
      <c r="F724" t="inlineStr">
        <is>
          <t>KALMAR LÄN</t>
        </is>
      </c>
      <c r="G724" t="inlineStr">
        <is>
          <t>EMMABODA</t>
        </is>
      </c>
      <c r="I724" t="n">
        <v>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82-2026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46034</v>
      </c>
      <c r="E725" s="1" t="n">
        <v>46301</v>
      </c>
      <c r="F725" t="inlineStr">
        <is>
          <t>KALMAR LÄN</t>
        </is>
      </c>
      <c r="G725" t="inlineStr">
        <is>
          <t>EMMABODA</t>
        </is>
      </c>
      <c r="I725" t="n">
        <v>47.8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193-2026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46049</v>
      </c>
      <c r="E726" s="1" t="n">
        <v>46301</v>
      </c>
      <c r="F726" t="inlineStr">
        <is>
          <t>KALMAR LÄN</t>
        </is>
      </c>
      <c r="G726" t="inlineStr">
        <is>
          <t>EMMABODA</t>
        </is>
      </c>
      <c r="I726" t="n">
        <v>12.9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194-2026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46049</v>
      </c>
      <c r="E727" s="1" t="n">
        <v>46301</v>
      </c>
      <c r="F727" t="inlineStr">
        <is>
          <t>KALMAR LÄN</t>
        </is>
      </c>
      <c r="G727" t="inlineStr">
        <is>
          <t>EMMABODA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374-2026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46065</v>
      </c>
      <c r="E728" s="1" t="n">
        <v>46301</v>
      </c>
      <c r="F728" t="inlineStr">
        <is>
          <t>KALMAR LÄN</t>
        </is>
      </c>
      <c r="G728" t="inlineStr">
        <is>
          <t>EMMABODA</t>
        </is>
      </c>
      <c r="I728" t="n">
        <v>22.4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700-2026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46092</v>
      </c>
      <c r="E729" s="1" t="n">
        <v>46301</v>
      </c>
      <c r="F729" t="inlineStr">
        <is>
          <t>KALMAR LÄN</t>
        </is>
      </c>
      <c r="G729" t="inlineStr">
        <is>
          <t>EMMABODA</t>
        </is>
      </c>
      <c r="I729" t="n">
        <v>22.1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337-2026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46062</v>
      </c>
      <c r="E730" s="1" t="n">
        <v>46301</v>
      </c>
      <c r="F730" t="inlineStr">
        <is>
          <t>KALMAR LÄN</t>
        </is>
      </c>
      <c r="G730" t="inlineStr">
        <is>
          <t>EMMABODA</t>
        </is>
      </c>
      <c r="I730" t="n">
        <v>38.4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978-2026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46119</v>
      </c>
      <c r="E731" s="1" t="n">
        <v>46301</v>
      </c>
      <c r="F731" t="inlineStr">
        <is>
          <t>KALMAR LÄN</t>
        </is>
      </c>
      <c r="G731" t="inlineStr">
        <is>
          <t>EMMABODA</t>
        </is>
      </c>
      <c r="I731" t="n">
        <v>14.1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988-2026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46119</v>
      </c>
      <c r="E732" s="1" t="n">
        <v>46301</v>
      </c>
      <c r="F732" t="inlineStr">
        <is>
          <t>KALMAR LÄN</t>
        </is>
      </c>
      <c r="G732" t="inlineStr">
        <is>
          <t>EMMABODA</t>
        </is>
      </c>
      <c r="I732" t="n">
        <v>11.2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1058-2026</t>
        </is>
      </c>
      <c r="B733" t="inlineStr">
        <is>
          <t>samrådsanmälan</t>
        </is>
      </c>
      <c r="C733" t="inlineStr">
        <is>
          <t>Annan skogsbruksåtgärd</t>
        </is>
      </c>
      <c r="D733" s="1" t="n">
        <v>46127</v>
      </c>
      <c r="E733" s="1" t="n">
        <v>46301</v>
      </c>
      <c r="F733" t="inlineStr">
        <is>
          <t>KALMAR LÄN</t>
        </is>
      </c>
      <c r="G733" t="inlineStr">
        <is>
          <t>EMMABODA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1527-2026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46167</v>
      </c>
      <c r="E734" s="1" t="n">
        <v>46301</v>
      </c>
      <c r="F734" t="inlineStr">
        <is>
          <t>KALMAR LÄN</t>
        </is>
      </c>
      <c r="G734" t="inlineStr">
        <is>
          <t>EMMABODA</t>
        </is>
      </c>
      <c r="I734" t="n">
        <v>12.7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1430-2026</t>
        </is>
      </c>
      <c r="B735" t="inlineStr">
        <is>
          <t>samrådsanmälan</t>
        </is>
      </c>
      <c r="C735" t="inlineStr">
        <is>
          <t>Skogsgödsling</t>
        </is>
      </c>
      <c r="D735" s="1" t="n">
        <v>46156</v>
      </c>
      <c r="E735" s="1" t="n">
        <v>46301</v>
      </c>
      <c r="F735" t="inlineStr">
        <is>
          <t>KALMAR LÄN</t>
        </is>
      </c>
      <c r="G735" t="inlineStr">
        <is>
          <t>EMMABODA</t>
        </is>
      </c>
      <c r="I735" t="n">
        <v>17.1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1688-2026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46183</v>
      </c>
      <c r="E736" s="1" t="n">
        <v>46301</v>
      </c>
      <c r="F736" t="inlineStr">
        <is>
          <t>KALMAR LÄN</t>
        </is>
      </c>
      <c r="G736" t="inlineStr">
        <is>
          <t>EMMABODA</t>
        </is>
      </c>
      <c r="I736" t="n">
        <v>40.2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2480-2026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46286</v>
      </c>
      <c r="E737" s="1" t="n">
        <v>46301</v>
      </c>
      <c r="F737" t="inlineStr">
        <is>
          <t>KALMAR LÄN</t>
        </is>
      </c>
      <c r="G737" t="inlineStr">
        <is>
          <t>EMMABODA</t>
        </is>
      </c>
      <c r="I737" t="n">
        <v>23.1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2471-2026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46283</v>
      </c>
      <c r="E738" s="1" t="n">
        <v>46301</v>
      </c>
      <c r="F738" t="inlineStr">
        <is>
          <t>KALMAR LÄN</t>
        </is>
      </c>
      <c r="G738" t="inlineStr">
        <is>
          <t>EMMABODA</t>
        </is>
      </c>
      <c r="I738" t="n">
        <v>70.90000000000001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46301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2395-2026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46276</v>
      </c>
      <c r="E740" s="1" t="n">
        <v>46301</v>
      </c>
      <c r="F740" t="inlineStr">
        <is>
          <t>KALMAR LÄN</t>
        </is>
      </c>
      <c r="G740" t="inlineStr">
        <is>
          <t>EMMABODA</t>
        </is>
      </c>
      <c r="H740" t="inlineStr">
        <is>
          <t>Kyrkan</t>
        </is>
      </c>
      <c r="I740" t="n">
        <v>113.3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2026-10-06T01:54:37Z</dcterms:created>
  <dcterms:modified xmlns:dcterms="http://purl.org/dc/terms/" xmlns:xsi="http://www.w3.org/2001/XMLSchema-instance" xsi:type="dcterms:W3CDTF">2026-10-06T01:54:38Z</dcterms:modified>
</cp:coreProperties>
</file>