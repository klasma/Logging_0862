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46290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46290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46290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46290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46290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46290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46290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46290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46290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46290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46290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46290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46290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46290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39217-2023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46290</v>
      </c>
      <c r="F21" t="inlineStr">
        <is>
          <t>KALMAR LÄN</t>
        </is>
      </c>
      <c r="G21" t="inlineStr">
        <is>
          <t>EMMABODA</t>
        </is>
      </c>
      <c r="I21" t="n">
        <v>1.2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HYPERLINK("https://klasma.github.io/Logging_0862/artfynd/A 39217-2023 artfynd.xlsx", "A 39217-2023")</f>
        <v/>
      </c>
      <c r="X21">
        <f>HYPERLINK("https://klasma.github.io/Logging_0862/kartor/A 39217-2023 karta.png", "A 39217-2023")</f>
        <v/>
      </c>
      <c r="Y21">
        <f>HYPERLINK("https://klasma.github.io/Logging_0862/kartor_geotiff/A 39217-2023 georefererad karta.tif", "A 39217-2023")</f>
        <v/>
      </c>
      <c r="AA21">
        <f>HYPERLINK("https://klasma.github.io/Logging_0862/klagomål/A 39217-2023 FSC-klagomål.docx", "A 39217-2023")</f>
        <v/>
      </c>
      <c r="AB21">
        <f>HYPERLINK("https://klasma.github.io/Logging_0862/klagomålsmail/A 39217-2023 FSC-klagomål mail.docx", "A 39217-2023")</f>
        <v/>
      </c>
      <c r="AC21">
        <f>HYPERLINK("https://klasma.github.io/Logging_0862/tillsyn/A 39217-2023 tillsynsbegäran.docx", "A 39217-2023")</f>
        <v/>
      </c>
      <c r="AD21">
        <f>HYPERLINK("https://klasma.github.io/Logging_0862/tillsynsmail/A 39217-2023 tillsynsbegäran mail.docx", "A 39217-2023")</f>
        <v/>
      </c>
    </row>
    <row r="22" ht="15" customHeight="1">
      <c r="A22" t="inlineStr">
        <is>
          <t>A 6612-2023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44966</v>
      </c>
      <c r="E22" s="1" t="n">
        <v>46290</v>
      </c>
      <c r="F22" t="inlineStr">
        <is>
          <t>KALMAR LÄN</t>
        </is>
      </c>
      <c r="G22" t="inlineStr">
        <is>
          <t>EMMABODA</t>
        </is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HYPERLINK("https://klasma.github.io/Logging_0862/artfynd/A 6612-2023 artfynd.xlsx", "A 6612-2023")</f>
        <v/>
      </c>
      <c r="X22">
        <f>HYPERLINK("https://klasma.github.io/Logging_0862/kartor/A 6612-2023 karta.png", "A 6612-2023")</f>
        <v/>
      </c>
      <c r="Y22">
        <f>HYPERLINK("https://klasma.github.io/Logging_0862/kartor_geotiff/A 6612-2023 georefererad karta.tif", "A 6612-2023")</f>
        <v/>
      </c>
      <c r="AA22">
        <f>HYPERLINK("https://klasma.github.io/Logging_0862/klagomål/A 6612-2023 FSC-klagomål.docx", "A 6612-2023")</f>
        <v/>
      </c>
      <c r="AB22">
        <f>HYPERLINK("https://klasma.github.io/Logging_0862/klagomålsmail/A 6612-2023 FSC-klagomål mail.docx", "A 6612-2023")</f>
        <v/>
      </c>
      <c r="AC22">
        <f>HYPERLINK("https://klasma.github.io/Logging_0862/tillsyn/A 6612-2023 tillsynsbegäran.docx", "A 6612-2023")</f>
        <v/>
      </c>
      <c r="AD22">
        <f>HYPERLINK("https://klasma.github.io/Logging_0862/tillsynsmail/A 6612-2023 tillsynsbegäran mail.docx", "A 6612-2023")</f>
        <v/>
      </c>
    </row>
    <row r="23" ht="15" customHeight="1">
      <c r="A23" t="inlineStr">
        <is>
          <t>A 770-2022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44570</v>
      </c>
      <c r="E23" s="1" t="n">
        <v>46290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Grönpyrola</t>
        </is>
      </c>
      <c r="W23">
        <f>HYPERLINK("https://klasma.github.io/Logging_0862/artfynd/A 770-2022 artfynd.xlsx", "A 770-2022")</f>
        <v/>
      </c>
      <c r="X23">
        <f>HYPERLINK("https://klasma.github.io/Logging_0862/kartor/A 770-2022 karta.png", "A 770-2022")</f>
        <v/>
      </c>
      <c r="Y23">
        <f>HYPERLINK("https://klasma.github.io/Logging_0862/kartor_geotiff/A 770-2022 georefererad karta.tif", "A 770-2022")</f>
        <v/>
      </c>
      <c r="AA23">
        <f>HYPERLINK("https://klasma.github.io/Logging_0862/klagomål/A 770-2022 FSC-klagomål.docx", "A 770-2022")</f>
        <v/>
      </c>
      <c r="AB23">
        <f>HYPERLINK("https://klasma.github.io/Logging_0862/klagomålsmail/A 770-2022 FSC-klagomål mail.docx", "A 770-2022")</f>
        <v/>
      </c>
      <c r="AC23">
        <f>HYPERLINK("https://klasma.github.io/Logging_0862/tillsyn/A 770-2022 tillsynsbegäran.docx", "A 770-2022")</f>
        <v/>
      </c>
      <c r="AD23">
        <f>HYPERLINK("https://klasma.github.io/Logging_0862/tillsynsmail/A 770-2022 tillsynsbegäran mail.docx", "A 770-2022")</f>
        <v/>
      </c>
    </row>
    <row r="24" ht="15" customHeight="1">
      <c r="A24" t="inlineStr">
        <is>
          <t>A 9633-2023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44984</v>
      </c>
      <c r="E24" s="1" t="n">
        <v>46290</v>
      </c>
      <c r="F24" t="inlineStr">
        <is>
          <t>KALMAR LÄN</t>
        </is>
      </c>
      <c r="G24" t="inlineStr">
        <is>
          <t>EMMABODA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Småjungfrukam</t>
        </is>
      </c>
      <c r="W24">
        <f>HYPERLINK("https://klasma.github.io/Logging_0862/artfynd/A 9633-2023 artfynd.xlsx", "A 9633-2023")</f>
        <v/>
      </c>
      <c r="X24">
        <f>HYPERLINK("https://klasma.github.io/Logging_0862/kartor/A 9633-2023 karta.png", "A 9633-2023")</f>
        <v/>
      </c>
      <c r="Y24">
        <f>HYPERLINK("https://klasma.github.io/Logging_0862/kartor_geotiff/A 9633-2023 georefererad karta.tif", "A 9633-2023")</f>
        <v/>
      </c>
      <c r="AA24">
        <f>HYPERLINK("https://klasma.github.io/Logging_0862/klagomål/A 9633-2023 FSC-klagomål.docx", "A 9633-2023")</f>
        <v/>
      </c>
      <c r="AB24">
        <f>HYPERLINK("https://klasma.github.io/Logging_0862/klagomålsmail/A 9633-2023 FSC-klagomål mail.docx", "A 9633-2023")</f>
        <v/>
      </c>
      <c r="AC24">
        <f>HYPERLINK("https://klasma.github.io/Logging_0862/tillsyn/A 9633-2023 tillsynsbegäran.docx", "A 9633-2023")</f>
        <v/>
      </c>
      <c r="AD24">
        <f>HYPERLINK("https://klasma.github.io/Logging_0862/tillsynsmail/A 9633-2023 tillsynsbegäran mail.docx", "A 9633-2023")</f>
        <v/>
      </c>
    </row>
    <row r="25" ht="15" customHeight="1">
      <c r="A25" t="inlineStr">
        <is>
          <t>A 54981-2025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45967</v>
      </c>
      <c r="E25" s="1" t="n">
        <v>46290</v>
      </c>
      <c r="F25" t="inlineStr">
        <is>
          <t>KALMAR LÄN</t>
        </is>
      </c>
      <c r="G25" t="inlineStr">
        <is>
          <t>EMMABODA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HYPERLINK("https://klasma.github.io/Logging_0862/artfynd/A 54981-2025 artfynd.xlsx", "A 54981-2025")</f>
        <v/>
      </c>
      <c r="X25">
        <f>HYPERLINK("https://klasma.github.io/Logging_0862/kartor/A 54981-2025 karta.png", "A 54981-2025")</f>
        <v/>
      </c>
      <c r="Y25">
        <f>HYPERLINK("https://klasma.github.io/Logging_0862/kartor_geotiff/A 54981-2025 georefererad karta.tif", "A 54981-2025")</f>
        <v/>
      </c>
      <c r="AA25">
        <f>HYPERLINK("https://klasma.github.io/Logging_0862/klagomål/A 54981-2025 FSC-klagomål.docx", "A 54981-2025")</f>
        <v/>
      </c>
      <c r="AB25">
        <f>HYPERLINK("https://klasma.github.io/Logging_0862/klagomålsmail/A 54981-2025 FSC-klagomål mail.docx", "A 54981-2025")</f>
        <v/>
      </c>
      <c r="AC25">
        <f>HYPERLINK("https://klasma.github.io/Logging_0862/tillsyn/A 54981-2025 tillsynsbegäran.docx", "A 54981-2025")</f>
        <v/>
      </c>
      <c r="AD25">
        <f>HYPERLINK("https://klasma.github.io/Logging_0862/tillsynsmail/A 54981-2025 tillsynsbegäran mail.docx", "A 54981-2025")</f>
        <v/>
      </c>
    </row>
    <row r="26" ht="15" customHeight="1">
      <c r="A26" t="inlineStr">
        <is>
          <t>A 46187-2023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46290</v>
      </c>
      <c r="F26" t="inlineStr">
        <is>
          <t>KALMAR LÄN</t>
        </is>
      </c>
      <c r="G26" t="inlineStr">
        <is>
          <t>EMMABODA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HYPERLINK("https://klasma.github.io/Logging_0862/artfynd/A 46187-2023 artfynd.xlsx", "A 46187-2023")</f>
        <v/>
      </c>
      <c r="X26">
        <f>HYPERLINK("https://klasma.github.io/Logging_0862/kartor/A 46187-2023 karta.png", "A 46187-2023")</f>
        <v/>
      </c>
      <c r="Y26">
        <f>HYPERLINK("https://klasma.github.io/Logging_0862/kartor_geotiff/A 46187-2023 georefererad karta.tif", "A 46187-2023")</f>
        <v/>
      </c>
      <c r="AA26">
        <f>HYPERLINK("https://klasma.github.io/Logging_0862/klagomål/A 46187-2023 FSC-klagomål.docx", "A 46187-2023")</f>
        <v/>
      </c>
      <c r="AB26">
        <f>HYPERLINK("https://klasma.github.io/Logging_0862/klagomålsmail/A 46187-2023 FSC-klagomål mail.docx", "A 46187-2023")</f>
        <v/>
      </c>
      <c r="AC26">
        <f>HYPERLINK("https://klasma.github.io/Logging_0862/tillsyn/A 46187-2023 tillsynsbegäran.docx", "A 46187-2023")</f>
        <v/>
      </c>
      <c r="AD26">
        <f>HYPERLINK("https://klasma.github.io/Logging_0862/tillsynsmail/A 46187-2023 tillsynsbegäran mail.docx", "A 46187-2023")</f>
        <v/>
      </c>
    </row>
    <row r="27" ht="15" customHeight="1">
      <c r="A27" t="inlineStr">
        <is>
          <t>A 18621-2025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46290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Pärluggla</t>
        </is>
      </c>
      <c r="W27">
        <f>HYPERLINK("https://klasma.github.io/Logging_0862/artfynd/A 18621-2025 artfynd.xlsx", "A 18621-2025")</f>
        <v/>
      </c>
      <c r="X27">
        <f>HYPERLINK("https://klasma.github.io/Logging_0862/kartor/A 18621-2025 karta.png", "A 18621-2025")</f>
        <v/>
      </c>
      <c r="Y27">
        <f>HYPERLINK("https://klasma.github.io/Logging_0862/kartor_geotiff/A 18621-2025 georefererad karta.tif", "A 18621-2025")</f>
        <v/>
      </c>
      <c r="AA27">
        <f>HYPERLINK("https://klasma.github.io/Logging_0862/klagomål/A 18621-2025 FSC-klagomål.docx", "A 18621-2025")</f>
        <v/>
      </c>
      <c r="AB27">
        <f>HYPERLINK("https://klasma.github.io/Logging_0862/klagomålsmail/A 18621-2025 FSC-klagomål mail.docx", "A 18621-2025")</f>
        <v/>
      </c>
      <c r="AC27">
        <f>HYPERLINK("https://klasma.github.io/Logging_0862/tillsyn/A 18621-2025 tillsynsbegäran.docx", "A 18621-2025")</f>
        <v/>
      </c>
      <c r="AD27">
        <f>HYPERLINK("https://klasma.github.io/Logging_0862/tillsynsmail/A 18621-2025 tillsynsbegäran mail.docx", "A 18621-2025")</f>
        <v/>
      </c>
      <c r="AE27">
        <f>HYPERLINK("https://klasma.github.io/Logging_0862/fåglar/A 18621-2025 prioriterade fågelarter.docx", "A 18621-2025")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46290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HYPERLINK("https://klasma.github.io/Logging_0862/artfynd/A 24282-2025 artfynd.xlsx", "A 24282-2025")</f>
        <v/>
      </c>
      <c r="X28">
        <f>HYPERLINK("https://klasma.github.io/Logging_0862/kartor/A 24282-2025 karta.png", "A 24282-2025")</f>
        <v/>
      </c>
      <c r="Y28">
        <f>HYPERLINK("https://klasma.github.io/Logging_0862/kartor_geotiff/A 24282-2025 georefererad karta.tif", "A 24282-2025")</f>
        <v/>
      </c>
      <c r="AA28">
        <f>HYPERLINK("https://klasma.github.io/Logging_0862/klagomål/A 24282-2025 FSC-klagomål.docx", "A 24282-2025")</f>
        <v/>
      </c>
      <c r="AB28">
        <f>HYPERLINK("https://klasma.github.io/Logging_0862/klagomålsmail/A 24282-2025 FSC-klagomål mail.docx", "A 24282-2025")</f>
        <v/>
      </c>
      <c r="AC28">
        <f>HYPERLINK("https://klasma.github.io/Logging_0862/tillsyn/A 24282-2025 tillsynsbegäran.docx", "A 24282-2025")</f>
        <v/>
      </c>
      <c r="AD28">
        <f>HYPERLINK("https://klasma.github.io/Logging_0862/tillsynsmail/A 24282-2025 tillsynsbegäran mail.docx", "A 24282-2025")</f>
        <v/>
      </c>
      <c r="AE28">
        <f>HYPERLINK("https://klasma.github.io/Logging_0862/fåglar/A 24282-2025 prioriterade fågelarter.docx", "A 24282-2025")</f>
        <v/>
      </c>
    </row>
    <row r="29" ht="15" customHeight="1">
      <c r="A29" t="inlineStr">
        <is>
          <t>A 28871-2023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46290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HYPERLINK("https://klasma.github.io/Logging_0862/artfynd/A 28871-2023 artfynd.xlsx", "A 28871-2023")</f>
        <v/>
      </c>
      <c r="X29">
        <f>HYPERLINK("https://klasma.github.io/Logging_0862/kartor/A 28871-2023 karta.png", "A 28871-2023")</f>
        <v/>
      </c>
      <c r="Y29">
        <f>HYPERLINK("https://klasma.github.io/Logging_0862/kartor_geotiff/A 28871-2023 georefererad karta.tif", "A 28871-2023")</f>
        <v/>
      </c>
      <c r="AA29">
        <f>HYPERLINK("https://klasma.github.io/Logging_0862/klagomål/A 28871-2023 FSC-klagomål.docx", "A 28871-2023")</f>
        <v/>
      </c>
      <c r="AB29">
        <f>HYPERLINK("https://klasma.github.io/Logging_0862/klagomålsmail/A 28871-2023 FSC-klagomål mail.docx", "A 28871-2023")</f>
        <v/>
      </c>
      <c r="AC29">
        <f>HYPERLINK("https://klasma.github.io/Logging_0862/tillsyn/A 28871-2023 tillsynsbegäran.docx", "A 28871-2023")</f>
        <v/>
      </c>
      <c r="AD29">
        <f>HYPERLINK("https://klasma.github.io/Logging_0862/tillsynsmail/A 28871-2023 tillsynsbegäran mail.docx", "A 28871-2023")</f>
        <v/>
      </c>
    </row>
    <row r="30" ht="15" customHeight="1">
      <c r="A30" t="inlineStr">
        <is>
          <t>A 5884-2024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46290</v>
      </c>
      <c r="F30" t="inlineStr">
        <is>
          <t>KALMAR LÄN</t>
        </is>
      </c>
      <c r="G30" t="inlineStr">
        <is>
          <t>EMMABODA</t>
        </is>
      </c>
      <c r="I30" t="n">
        <v>4.7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HYPERLINK("https://klasma.github.io/Logging_0862/artfynd/A 5884-2024 artfynd.xlsx", "A 5884-2024")</f>
        <v/>
      </c>
      <c r="X30">
        <f>HYPERLINK("https://klasma.github.io/Logging_0862/kartor/A 5884-2024 karta.png", "A 5884-2024")</f>
        <v/>
      </c>
      <c r="Y30">
        <f>HYPERLINK("https://klasma.github.io/Logging_0862/kartor_geotiff/A 5884-2024 georefererad karta.tif", "A 5884-2024")</f>
        <v/>
      </c>
      <c r="AA30">
        <f>HYPERLINK("https://klasma.github.io/Logging_0862/klagomål/A 5884-2024 FSC-klagomål.docx", "A 5884-2024")</f>
        <v/>
      </c>
      <c r="AB30">
        <f>HYPERLINK("https://klasma.github.io/Logging_0862/klagomålsmail/A 5884-2024 FSC-klagomål mail.docx", "A 5884-2024")</f>
        <v/>
      </c>
      <c r="AC30">
        <f>HYPERLINK("https://klasma.github.io/Logging_0862/tillsyn/A 5884-2024 tillsynsbegäran.docx", "A 5884-2024")</f>
        <v/>
      </c>
      <c r="AD30">
        <f>HYPERLINK("https://klasma.github.io/Logging_0862/tillsynsmail/A 5884-2024 tillsynsbegäran mail.docx", "A 5884-2024")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46290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Göktyta</t>
        </is>
      </c>
      <c r="W31">
        <f>HYPERLINK("https://klasma.github.io/Logging_0862/artfynd/A 52182-2025 artfynd.xlsx", "A 52182-2025")</f>
        <v/>
      </c>
      <c r="X31">
        <f>HYPERLINK("https://klasma.github.io/Logging_0862/kartor/A 52182-2025 karta.png", "A 52182-2025")</f>
        <v/>
      </c>
      <c r="Y31">
        <f>HYPERLINK("https://klasma.github.io/Logging_0862/kartor_geotiff/A 52182-2025 georefererad karta.tif", "A 52182-2025")</f>
        <v/>
      </c>
      <c r="AA31">
        <f>HYPERLINK("https://klasma.github.io/Logging_0862/klagomål/A 52182-2025 FSC-klagomål.docx", "A 52182-2025")</f>
        <v/>
      </c>
      <c r="AB31">
        <f>HYPERLINK("https://klasma.github.io/Logging_0862/klagomålsmail/A 52182-2025 FSC-klagomål mail.docx", "A 52182-2025")</f>
        <v/>
      </c>
      <c r="AC31">
        <f>HYPERLINK("https://klasma.github.io/Logging_0862/tillsyn/A 52182-2025 tillsynsbegäran.docx", "A 52182-2025")</f>
        <v/>
      </c>
      <c r="AD31">
        <f>HYPERLINK("https://klasma.github.io/Logging_0862/tillsynsmail/A 52182-2025 tillsynsbegäran mail.docx", "A 52182-2025")</f>
        <v/>
      </c>
      <c r="AE31">
        <f>HYPERLINK("https://klasma.github.io/Logging_0862/fåglar/A 52182-2025 prioriterade fågelarter.docx", "A 52182-2025")</f>
        <v/>
      </c>
    </row>
    <row r="32" ht="15" customHeight="1">
      <c r="A32" t="inlineStr">
        <is>
          <t>A 38119-2023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46290</v>
      </c>
      <c r="F32" t="inlineStr">
        <is>
          <t>KALMAR LÄN</t>
        </is>
      </c>
      <c r="G32" t="inlineStr">
        <is>
          <t>EMMABODA</t>
        </is>
      </c>
      <c r="H32" t="inlineStr">
        <is>
          <t>Kommuner</t>
        </is>
      </c>
      <c r="I32" t="n">
        <v>1.5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HYPERLINK("https://klasma.github.io/Logging_0862/artfynd/A 38119-2023 artfynd.xlsx", "A 38119-2023")</f>
        <v/>
      </c>
      <c r="X32">
        <f>HYPERLINK("https://klasma.github.io/Logging_0862/kartor/A 38119-2023 karta.png", "A 38119-2023")</f>
        <v/>
      </c>
      <c r="Y32">
        <f>HYPERLINK("https://klasma.github.io/Logging_0862/kartor_geotiff/A 38119-2023 georefererad karta.tif", "A 38119-2023")</f>
        <v/>
      </c>
      <c r="AA32">
        <f>HYPERLINK("https://klasma.github.io/Logging_0862/klagomål/A 38119-2023 FSC-klagomål.docx", "A 38119-2023")</f>
        <v/>
      </c>
      <c r="AB32">
        <f>HYPERLINK("https://klasma.github.io/Logging_0862/klagomålsmail/A 38119-2023 FSC-klagomål mail.docx", "A 38119-2023")</f>
        <v/>
      </c>
      <c r="AC32">
        <f>HYPERLINK("https://klasma.github.io/Logging_0862/tillsyn/A 38119-2023 tillsynsbegäran.docx", "A 38119-2023")</f>
        <v/>
      </c>
      <c r="AD32">
        <f>HYPERLINK("https://klasma.github.io/Logging_0862/tillsynsmail/A 38119-2023 tillsynsbegäran mail.docx", "A 38119-2023")</f>
        <v/>
      </c>
    </row>
    <row r="33" ht="15" customHeight="1">
      <c r="A33" t="inlineStr">
        <is>
          <t>A 21846-2023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46290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21846-2023 artfynd.xlsx", "A 21846-2023")</f>
        <v/>
      </c>
      <c r="X33">
        <f>HYPERLINK("https://klasma.github.io/Logging_0862/kartor/A 21846-2023 karta.png", "A 21846-2023")</f>
        <v/>
      </c>
      <c r="Y33">
        <f>HYPERLINK("https://klasma.github.io/Logging_0862/kartor_geotiff/A 21846-2023 georefererad karta.tif", "A 21846-2023")</f>
        <v/>
      </c>
      <c r="AA33">
        <f>HYPERLINK("https://klasma.github.io/Logging_0862/klagomål/A 21846-2023 FSC-klagomål.docx", "A 21846-2023")</f>
        <v/>
      </c>
      <c r="AB33">
        <f>HYPERLINK("https://klasma.github.io/Logging_0862/klagomålsmail/A 21846-2023 FSC-klagomål mail.docx", "A 21846-2023")</f>
        <v/>
      </c>
      <c r="AC33">
        <f>HYPERLINK("https://klasma.github.io/Logging_0862/tillsyn/A 21846-2023 tillsynsbegäran.docx", "A 21846-2023")</f>
        <v/>
      </c>
      <c r="AD33">
        <f>HYPERLINK("https://klasma.github.io/Logging_0862/tillsynsmail/A 21846-2023 tillsynsbegäran mail.docx", "A 21846-2023")</f>
        <v/>
      </c>
    </row>
    <row r="34" ht="15" customHeight="1">
      <c r="A34" t="inlineStr">
        <is>
          <t>A 31226-2022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44771</v>
      </c>
      <c r="E34" s="1" t="n">
        <v>46290</v>
      </c>
      <c r="F34" t="inlineStr">
        <is>
          <t>KALMAR LÄN</t>
        </is>
      </c>
      <c r="G34" t="inlineStr">
        <is>
          <t>EMMABODA</t>
        </is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HYPERLINK("https://klasma.github.io/Logging_0862/artfynd/A 31226-2022 artfynd.xlsx", "A 31226-2022")</f>
        <v/>
      </c>
      <c r="X34">
        <f>HYPERLINK("https://klasma.github.io/Logging_0862/kartor/A 31226-2022 karta.png", "A 31226-2022")</f>
        <v/>
      </c>
      <c r="Y34">
        <f>HYPERLINK("https://klasma.github.io/Logging_0862/kartor_geotiff/A 31226-2022 georefererad karta.tif", "A 31226-2022")</f>
        <v/>
      </c>
      <c r="AA34">
        <f>HYPERLINK("https://klasma.github.io/Logging_0862/klagomål/A 31226-2022 FSC-klagomål.docx", "A 31226-2022")</f>
        <v/>
      </c>
      <c r="AB34">
        <f>HYPERLINK("https://klasma.github.io/Logging_0862/klagomålsmail/A 31226-2022 FSC-klagomål mail.docx", "A 31226-2022")</f>
        <v/>
      </c>
      <c r="AC34">
        <f>HYPERLINK("https://klasma.github.io/Logging_0862/tillsyn/A 31226-2022 tillsynsbegäran.docx", "A 31226-2022")</f>
        <v/>
      </c>
      <c r="AD34">
        <f>HYPERLINK("https://klasma.github.io/Logging_0862/tillsynsmail/A 31226-2022 tillsynsbegäran mail.docx", "A 31226-2022")</f>
        <v/>
      </c>
      <c r="AE34">
        <f>HYPERLINK("https://klasma.github.io/Logging_0862/fåglar/A 31226-2022 prioriterade fågelarter.docx", "A 31226-2022")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46290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53370-2023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46290</v>
      </c>
      <c r="F36" t="inlineStr">
        <is>
          <t>KALMAR LÄN</t>
        </is>
      </c>
      <c r="G36" t="inlineStr">
        <is>
          <t>EMMABODA</t>
        </is>
      </c>
      <c r="I36" t="n">
        <v>2.4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HYPERLINK("https://klasma.github.io/Logging_0862/artfynd/A 53370-2023 artfynd.xlsx", "A 53370-2023")</f>
        <v/>
      </c>
      <c r="X36">
        <f>HYPERLINK("https://klasma.github.io/Logging_0862/kartor/A 53370-2023 karta.png", "A 53370-2023")</f>
        <v/>
      </c>
      <c r="Y36">
        <f>HYPERLINK("https://klasma.github.io/Logging_0862/kartor_geotiff/A 53370-2023 georefererad karta.tif", "A 53370-2023")</f>
        <v/>
      </c>
      <c r="Z36">
        <f>HYPERLINK("https://klasma.github.io/Logging_0862/knärot/A 53370-2023 karta knärot.png", "A 53370-2023")</f>
        <v/>
      </c>
      <c r="AA36">
        <f>HYPERLINK("https://klasma.github.io/Logging_0862/klagomål/A 53370-2023 FSC-klagomål.docx", "A 53370-2023")</f>
        <v/>
      </c>
      <c r="AB36">
        <f>HYPERLINK("https://klasma.github.io/Logging_0862/klagomålsmail/A 53370-2023 FSC-klagomål mail.docx", "A 53370-2023")</f>
        <v/>
      </c>
      <c r="AC36">
        <f>HYPERLINK("https://klasma.github.io/Logging_0862/tillsyn/A 53370-2023 tillsynsbegäran.docx", "A 53370-2023")</f>
        <v/>
      </c>
      <c r="AD36">
        <f>HYPERLINK("https://klasma.github.io/Logging_0862/tillsynsmail/A 53370-2023 tillsynsbegäran mail.docx", "A 53370-2023")</f>
        <v/>
      </c>
    </row>
    <row r="37" ht="15" customHeight="1">
      <c r="A37" t="inlineStr">
        <is>
          <t>A 34220-2026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46253</v>
      </c>
      <c r="E37" s="1" t="n">
        <v>46290</v>
      </c>
      <c r="F37" t="inlineStr">
        <is>
          <t>KALMAR LÄN</t>
        </is>
      </c>
      <c r="G37" t="inlineStr">
        <is>
          <t>EMMABODA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HYPERLINK("https://klasma.github.io/Logging_0862/artfynd/A 34220-2026 artfynd.xlsx", "A 34220-2026")</f>
        <v/>
      </c>
      <c r="X37">
        <f>HYPERLINK("https://klasma.github.io/Logging_0862/kartor/A 34220-2026 karta.png", "A 34220-2026")</f>
        <v/>
      </c>
      <c r="Y37">
        <f>HYPERLINK("https://klasma.github.io/Logging_0862/kartor_geotiff/A 34220-2026 georefererad karta.tif", "A 34220-2026")</f>
        <v/>
      </c>
      <c r="AA37">
        <f>HYPERLINK("https://klasma.github.io/Logging_0862/klagomål/A 34220-2026 FSC-klagomål.docx", "A 34220-2026")</f>
        <v/>
      </c>
      <c r="AB37">
        <f>HYPERLINK("https://klasma.github.io/Logging_0862/klagomålsmail/A 34220-2026 FSC-klagomål mail.docx", "A 34220-2026")</f>
        <v/>
      </c>
      <c r="AC37">
        <f>HYPERLINK("https://klasma.github.io/Logging_0862/tillsyn/A 34220-2026 tillsynsbegäran.docx", "A 34220-2026")</f>
        <v/>
      </c>
      <c r="AD37">
        <f>HYPERLINK("https://klasma.github.io/Logging_0862/tillsynsmail/A 34220-2026 tillsynsbegäran mail.docx", "A 34220-2026")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46290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46290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t="n">
        <v>0</v>
      </c>
      <c r="V39" s="2" t="inlineStr">
        <is>
          <t>Ask</t>
        </is>
      </c>
      <c r="W39">
        <f>HYPERLINK("https://klasma.github.io/Logging_0862/artfynd/A 31024-2026 artfynd.xlsx", "A 31024-2026")</f>
        <v/>
      </c>
      <c r="X39">
        <f>HYPERLINK("https://klasma.github.io/Logging_0862/kartor/A 31024-2026 karta.png", "A 31024-2026")</f>
        <v/>
      </c>
      <c r="Y39">
        <f>HYPERLINK("https://klasma.github.io/Logging_0862/kartor_geotiff/A 31024-2026 georefererad karta.tif", "A 31024-2026")</f>
        <v/>
      </c>
      <c r="AA39">
        <f>HYPERLINK("https://klasma.github.io/Logging_0862/klagomål/A 31024-2026 FSC-klagomål.docx", "A 31024-2026")</f>
        <v/>
      </c>
      <c r="AB39">
        <f>HYPERLINK("https://klasma.github.io/Logging_0862/klagomålsmail/A 31024-2026 FSC-klagomål mail.docx", "A 31024-2026")</f>
        <v/>
      </c>
      <c r="AC39">
        <f>HYPERLINK("https://klasma.github.io/Logging_0862/tillsyn/A 31024-2026 tillsynsbegäran.docx", "A 31024-2026")</f>
        <v/>
      </c>
      <c r="AD39">
        <f>HYPERLINK("https://klasma.github.io/Logging_0862/tillsynsmail/A 31024-2026 tillsynsbegäran mail.docx", "A 31024-2026")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46290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46290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46290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46290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46290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46290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46290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46290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46290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46290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46290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46290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46290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46290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46290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46290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46290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46290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46290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46290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46290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46290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46290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46290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46290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46290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46290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46290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44490</v>
      </c>
      <c r="E68" s="1" t="n">
        <v>46290</v>
      </c>
      <c r="F68" t="inlineStr">
        <is>
          <t>KALMAR LÄN</t>
        </is>
      </c>
      <c r="G68" t="inlineStr">
        <is>
          <t>EMMABODA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46290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46290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46290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46290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46290</v>
      </c>
      <c r="F73" t="inlineStr">
        <is>
          <t>KALMAR LÄN</t>
        </is>
      </c>
      <c r="G73" t="inlineStr">
        <is>
          <t>EMMABODA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46290</v>
      </c>
      <c r="F74" t="inlineStr">
        <is>
          <t>KALMAR LÄN</t>
        </is>
      </c>
      <c r="G74" t="inlineStr">
        <is>
          <t>EMMABODA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46290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46290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46290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46290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46290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44851</v>
      </c>
      <c r="E80" s="1" t="n">
        <v>46290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46290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46290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46290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46290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46290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46290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46290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46290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46290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46290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46290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46290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46290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46290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46290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46290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46290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46290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46290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44652</v>
      </c>
      <c r="E100" s="1" t="n">
        <v>46290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61590-2021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44501</v>
      </c>
      <c r="E101" s="1" t="n">
        <v>46290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46290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46290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46290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46290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46290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46290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46290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46290</v>
      </c>
      <c r="F109" t="inlineStr">
        <is>
          <t>KALMAR LÄN</t>
        </is>
      </c>
      <c r="G109" t="inlineStr">
        <is>
          <t>EMMABODA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46290</v>
      </c>
      <c r="F110" t="inlineStr">
        <is>
          <t>KALMAR LÄN</t>
        </is>
      </c>
      <c r="G110" t="inlineStr">
        <is>
          <t>EMMABODA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46290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69857-2021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44532</v>
      </c>
      <c r="E112" s="1" t="n">
        <v>46290</v>
      </c>
      <c r="F112" t="inlineStr">
        <is>
          <t>KALMAR LÄN</t>
        </is>
      </c>
      <c r="G112" t="inlineStr">
        <is>
          <t>EMMABODA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46290</v>
      </c>
      <c r="F113" t="inlineStr">
        <is>
          <t>KALMAR LÄN</t>
        </is>
      </c>
      <c r="G113" t="inlineStr">
        <is>
          <t>EMMABODA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46290</v>
      </c>
      <c r="F114" t="inlineStr">
        <is>
          <t>KALMAR LÄN</t>
        </is>
      </c>
      <c r="G114" t="inlineStr">
        <is>
          <t>EMMABODA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46290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44699</v>
      </c>
      <c r="E116" s="1" t="n">
        <v>46290</v>
      </c>
      <c r="F116" t="inlineStr">
        <is>
          <t>KALMAR LÄN</t>
        </is>
      </c>
      <c r="G116" t="inlineStr">
        <is>
          <t>EMMABODA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46290</v>
      </c>
      <c r="F117" t="inlineStr">
        <is>
          <t>KALMAR LÄN</t>
        </is>
      </c>
      <c r="G117" t="inlineStr">
        <is>
          <t>EMMABODA</t>
        </is>
      </c>
      <c r="H117" t="inlineStr">
        <is>
          <t>Övriga Aktiebolag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46290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46290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46290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46290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46290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46290</v>
      </c>
      <c r="F123" t="inlineStr">
        <is>
          <t>KALMAR LÄN</t>
        </is>
      </c>
      <c r="G123" t="inlineStr">
        <is>
          <t>EMMABODA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46290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46290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46290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68952-2021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44530</v>
      </c>
      <c r="E127" s="1" t="n">
        <v>46290</v>
      </c>
      <c r="F127" t="inlineStr">
        <is>
          <t>KALMAR LÄN</t>
        </is>
      </c>
      <c r="G127" t="inlineStr">
        <is>
          <t>EMMABODA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44980</v>
      </c>
      <c r="E128" s="1" t="n">
        <v>46290</v>
      </c>
      <c r="F128" t="inlineStr">
        <is>
          <t>KALMAR LÄN</t>
        </is>
      </c>
      <c r="G128" t="inlineStr">
        <is>
          <t>EMMABODA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44788</v>
      </c>
      <c r="E129" s="1" t="n">
        <v>46290</v>
      </c>
      <c r="F129" t="inlineStr">
        <is>
          <t>KALMAR LÄN</t>
        </is>
      </c>
      <c r="G129" t="inlineStr">
        <is>
          <t>EMMABODA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22150-2024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45445</v>
      </c>
      <c r="E130" s="1" t="n">
        <v>46290</v>
      </c>
      <c r="F130" t="inlineStr">
        <is>
          <t>KALMAR LÄN</t>
        </is>
      </c>
      <c r="G130" t="inlineStr">
        <is>
          <t>EMMABODA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46290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46290</v>
      </c>
      <c r="F132" t="inlineStr">
        <is>
          <t>KALMAR LÄN</t>
        </is>
      </c>
      <c r="G132" t="inlineStr">
        <is>
          <t>EMMABODA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46290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46290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46290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46290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46290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46290</v>
      </c>
      <c r="F138" t="inlineStr">
        <is>
          <t>KALMAR LÄN</t>
        </is>
      </c>
      <c r="G138" t="inlineStr">
        <is>
          <t>EMMABODA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45411</v>
      </c>
      <c r="E139" s="1" t="n">
        <v>46290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45040</v>
      </c>
      <c r="E140" s="1" t="n">
        <v>46290</v>
      </c>
      <c r="F140" t="inlineStr">
        <is>
          <t>KALMAR LÄN</t>
        </is>
      </c>
      <c r="G140" t="inlineStr">
        <is>
          <t>EMMABODA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46290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45060-2023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46290</v>
      </c>
      <c r="F142" t="inlineStr">
        <is>
          <t>KALMAR LÄN</t>
        </is>
      </c>
      <c r="G142" t="inlineStr">
        <is>
          <t>EMMABODA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46290</v>
      </c>
      <c r="F143" t="inlineStr">
        <is>
          <t>KALMAR LÄN</t>
        </is>
      </c>
      <c r="G143" t="inlineStr">
        <is>
          <t>EMMABODA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45606</v>
      </c>
      <c r="E144" s="1" t="n">
        <v>46290</v>
      </c>
      <c r="F144" t="inlineStr">
        <is>
          <t>KALMAR LÄN</t>
        </is>
      </c>
      <c r="G144" t="inlineStr">
        <is>
          <t>EMMABODA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46290</v>
      </c>
      <c r="F145" t="inlineStr">
        <is>
          <t>KALMAR LÄN</t>
        </is>
      </c>
      <c r="G145" t="inlineStr">
        <is>
          <t>EMMABODA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46290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46290</v>
      </c>
      <c r="F147" t="inlineStr">
        <is>
          <t>KALMAR LÄN</t>
        </is>
      </c>
      <c r="G147" t="inlineStr">
        <is>
          <t>EMMABODA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46290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44652</v>
      </c>
      <c r="E149" s="1" t="n">
        <v>46290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45397</v>
      </c>
      <c r="E150" s="1" t="n">
        <v>46290</v>
      </c>
      <c r="F150" t="inlineStr">
        <is>
          <t>KALMAR LÄN</t>
        </is>
      </c>
      <c r="G150" t="inlineStr">
        <is>
          <t>EMMABODA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46290</v>
      </c>
      <c r="F151" t="inlineStr">
        <is>
          <t>KALMAR LÄN</t>
        </is>
      </c>
      <c r="G151" t="inlineStr">
        <is>
          <t>EMMABODA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46290</v>
      </c>
      <c r="F152" t="inlineStr">
        <is>
          <t>KALMAR LÄN</t>
        </is>
      </c>
      <c r="G152" t="inlineStr">
        <is>
          <t>EMMABODA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46290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51135-2023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45219</v>
      </c>
      <c r="E154" s="1" t="n">
        <v>46290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45049</v>
      </c>
      <c r="E155" s="1" t="n">
        <v>46290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45230</v>
      </c>
      <c r="E156" s="1" t="n">
        <v>46290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46290</v>
      </c>
      <c r="F157" t="inlineStr">
        <is>
          <t>KALMAR LÄN</t>
        </is>
      </c>
      <c r="G157" t="inlineStr">
        <is>
          <t>EMMABODA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45392</v>
      </c>
      <c r="E158" s="1" t="n">
        <v>46290</v>
      </c>
      <c r="F158" t="inlineStr">
        <is>
          <t>KALMAR LÄN</t>
        </is>
      </c>
      <c r="G158" t="inlineStr">
        <is>
          <t>EMMABODA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46290</v>
      </c>
      <c r="F159" t="inlineStr">
        <is>
          <t>KALMAR LÄN</t>
        </is>
      </c>
      <c r="G159" t="inlineStr">
        <is>
          <t>EMMABODA</t>
        </is>
      </c>
      <c r="H159" t="inlineStr">
        <is>
          <t>Kommuner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46290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66658-2021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44519</v>
      </c>
      <c r="E161" s="1" t="n">
        <v>46290</v>
      </c>
      <c r="F161" t="inlineStr">
        <is>
          <t>KALMAR LÄN</t>
        </is>
      </c>
      <c r="G161" t="inlineStr">
        <is>
          <t>EMMABODA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44683</v>
      </c>
      <c r="E162" s="1" t="n">
        <v>46290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45559</v>
      </c>
      <c r="E163" s="1" t="n">
        <v>46290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46290</v>
      </c>
      <c r="F164" t="inlineStr">
        <is>
          <t>KALMAR LÄN</t>
        </is>
      </c>
      <c r="G164" t="inlineStr">
        <is>
          <t>EMMABODA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45665</v>
      </c>
      <c r="E165" s="1" t="n">
        <v>46290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45211</v>
      </c>
      <c r="E166" s="1" t="n">
        <v>46290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46290</v>
      </c>
      <c r="F167" t="inlineStr">
        <is>
          <t>KALMAR LÄN</t>
        </is>
      </c>
      <c r="G167" t="inlineStr">
        <is>
          <t>EMMABODA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46290</v>
      </c>
      <c r="F168" t="inlineStr">
        <is>
          <t>KALMAR LÄN</t>
        </is>
      </c>
      <c r="G168" t="inlineStr">
        <is>
          <t>EMMABODA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45164</v>
      </c>
      <c r="E169" s="1" t="n">
        <v>46290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46290</v>
      </c>
      <c r="F170" t="inlineStr">
        <is>
          <t>KALMAR LÄN</t>
        </is>
      </c>
      <c r="G170" t="inlineStr">
        <is>
          <t>EMMABODA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46290</v>
      </c>
      <c r="F171" t="inlineStr">
        <is>
          <t>KALMAR LÄN</t>
        </is>
      </c>
      <c r="G171" t="inlineStr">
        <is>
          <t>EMMABODA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46290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45474</v>
      </c>
      <c r="E173" s="1" t="n">
        <v>46290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45475</v>
      </c>
      <c r="E174" s="1" t="n">
        <v>46290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46290</v>
      </c>
      <c r="F175" t="inlineStr">
        <is>
          <t>KALMAR LÄN</t>
        </is>
      </c>
      <c r="G175" t="inlineStr">
        <is>
          <t>EMMABODA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46290</v>
      </c>
      <c r="F176" t="inlineStr">
        <is>
          <t>KALMAR LÄN</t>
        </is>
      </c>
      <c r="G176" t="inlineStr">
        <is>
          <t>EMMABODA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45394</v>
      </c>
      <c r="E177" s="1" t="n">
        <v>46290</v>
      </c>
      <c r="F177" t="inlineStr">
        <is>
          <t>KALMAR LÄN</t>
        </is>
      </c>
      <c r="G177" t="inlineStr">
        <is>
          <t>EMMABODA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45606</v>
      </c>
      <c r="E178" s="1" t="n">
        <v>46290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45355</v>
      </c>
      <c r="E179" s="1" t="n">
        <v>46290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44949</v>
      </c>
      <c r="E180" s="1" t="n">
        <v>46290</v>
      </c>
      <c r="F180" t="inlineStr">
        <is>
          <t>KALMAR LÄN</t>
        </is>
      </c>
      <c r="G180" t="inlineStr">
        <is>
          <t>EMMABODA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45188</v>
      </c>
      <c r="E181" s="1" t="n">
        <v>46290</v>
      </c>
      <c r="F181" t="inlineStr">
        <is>
          <t>KALMAR LÄN</t>
        </is>
      </c>
      <c r="G181" t="inlineStr">
        <is>
          <t>EMMABODA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45422</v>
      </c>
      <c r="E182" s="1" t="n">
        <v>46290</v>
      </c>
      <c r="F182" t="inlineStr">
        <is>
          <t>KALMAR LÄN</t>
        </is>
      </c>
      <c r="G182" t="inlineStr">
        <is>
          <t>EMMABODA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34032-2022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44791</v>
      </c>
      <c r="E183" s="1" t="n">
        <v>46290</v>
      </c>
      <c r="F183" t="inlineStr">
        <is>
          <t>KALMAR LÄN</t>
        </is>
      </c>
      <c r="G183" t="inlineStr">
        <is>
          <t>EMMABODA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44834</v>
      </c>
      <c r="E184" s="1" t="n">
        <v>46290</v>
      </c>
      <c r="F184" t="inlineStr">
        <is>
          <t>KALMAR LÄN</t>
        </is>
      </c>
      <c r="G184" t="inlineStr">
        <is>
          <t>EMMABODA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45369</v>
      </c>
      <c r="E185" s="1" t="n">
        <v>46290</v>
      </c>
      <c r="F185" t="inlineStr">
        <is>
          <t>KALMAR LÄN</t>
        </is>
      </c>
      <c r="G185" t="inlineStr">
        <is>
          <t>EMMABODA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44982</v>
      </c>
      <c r="E186" s="1" t="n">
        <v>46290</v>
      </c>
      <c r="F186" t="inlineStr">
        <is>
          <t>KALMAR LÄN</t>
        </is>
      </c>
      <c r="G186" t="inlineStr">
        <is>
          <t>EMMABODA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44783</v>
      </c>
      <c r="E187" s="1" t="n">
        <v>46290</v>
      </c>
      <c r="F187" t="inlineStr">
        <is>
          <t>KALMAR LÄN</t>
        </is>
      </c>
      <c r="G187" t="inlineStr">
        <is>
          <t>EMMABODA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46290</v>
      </c>
      <c r="F188" t="inlineStr">
        <is>
          <t>KALMAR LÄN</t>
        </is>
      </c>
      <c r="G188" t="inlineStr">
        <is>
          <t>EMMABODA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45341</v>
      </c>
      <c r="E189" s="1" t="n">
        <v>46290</v>
      </c>
      <c r="F189" t="inlineStr">
        <is>
          <t>KALMAR LÄN</t>
        </is>
      </c>
      <c r="G189" t="inlineStr">
        <is>
          <t>EMMABODA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46290</v>
      </c>
      <c r="F190" t="inlineStr">
        <is>
          <t>KALMAR LÄN</t>
        </is>
      </c>
      <c r="G190" t="inlineStr">
        <is>
          <t>EMMABODA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58136-2021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46290</v>
      </c>
      <c r="F191" t="inlineStr">
        <is>
          <t>KALMAR LÄN</t>
        </is>
      </c>
      <c r="G191" t="inlineStr">
        <is>
          <t>EMMABODA</t>
        </is>
      </c>
      <c r="H191" t="inlineStr">
        <is>
          <t>Kommuner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46290</v>
      </c>
      <c r="F192" t="inlineStr">
        <is>
          <t>KALMAR LÄN</t>
        </is>
      </c>
      <c r="G192" t="inlineStr">
        <is>
          <t>EMMABODA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17712-2024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45415</v>
      </c>
      <c r="E193" s="1" t="n">
        <v>46290</v>
      </c>
      <c r="F193" t="inlineStr">
        <is>
          <t>KALMAR LÄN</t>
        </is>
      </c>
      <c r="G193" t="inlineStr">
        <is>
          <t>EMMABODA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44593</v>
      </c>
      <c r="E194" s="1" t="n">
        <v>46290</v>
      </c>
      <c r="F194" t="inlineStr">
        <is>
          <t>KALMAR LÄN</t>
        </is>
      </c>
      <c r="G194" t="inlineStr">
        <is>
          <t>EMMABODA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46290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46290</v>
      </c>
      <c r="F196" t="inlineStr">
        <is>
          <t>KALMAR LÄN</t>
        </is>
      </c>
      <c r="G196" t="inlineStr">
        <is>
          <t>EMMABODA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45323</v>
      </c>
      <c r="E197" s="1" t="n">
        <v>46290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46290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45735</v>
      </c>
      <c r="E199" s="1" t="n">
        <v>46290</v>
      </c>
      <c r="F199" t="inlineStr">
        <is>
          <t>KALMAR LÄN</t>
        </is>
      </c>
      <c r="G199" t="inlineStr">
        <is>
          <t>EMMABODA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46290</v>
      </c>
      <c r="F200" t="inlineStr">
        <is>
          <t>KALMAR LÄN</t>
        </is>
      </c>
      <c r="G200" t="inlineStr">
        <is>
          <t>EMMABODA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44690</v>
      </c>
      <c r="E201" s="1" t="n">
        <v>46290</v>
      </c>
      <c r="F201" t="inlineStr">
        <is>
          <t>KALMAR LÄN</t>
        </is>
      </c>
      <c r="G201" t="inlineStr">
        <is>
          <t>EMMABODA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46290</v>
      </c>
      <c r="F202" t="inlineStr">
        <is>
          <t>KALMAR LÄN</t>
        </is>
      </c>
      <c r="G202" t="inlineStr">
        <is>
          <t>EMMABODA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45641</v>
      </c>
      <c r="E203" s="1" t="n">
        <v>46290</v>
      </c>
      <c r="F203" t="inlineStr">
        <is>
          <t>KALMAR LÄN</t>
        </is>
      </c>
      <c r="G203" t="inlineStr">
        <is>
          <t>EMMABODA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46290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44504</v>
      </c>
      <c r="E205" s="1" t="n">
        <v>46290</v>
      </c>
      <c r="F205" t="inlineStr">
        <is>
          <t>KALMAR LÄN</t>
        </is>
      </c>
      <c r="G205" t="inlineStr">
        <is>
          <t>EMMABODA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46290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45126</v>
      </c>
      <c r="E207" s="1" t="n">
        <v>46290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45126</v>
      </c>
      <c r="E208" s="1" t="n">
        <v>46290</v>
      </c>
      <c r="F208" t="inlineStr">
        <is>
          <t>KALMAR LÄN</t>
        </is>
      </c>
      <c r="G208" t="inlineStr">
        <is>
          <t>EMMABODA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37060-2023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45155</v>
      </c>
      <c r="E209" s="1" t="n">
        <v>46290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46290</v>
      </c>
      <c r="F210" t="inlineStr">
        <is>
          <t>KALMAR LÄN</t>
        </is>
      </c>
      <c r="G210" t="inlineStr">
        <is>
          <t>EMMABODA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44852</v>
      </c>
      <c r="E211" s="1" t="n">
        <v>46290</v>
      </c>
      <c r="F211" t="inlineStr">
        <is>
          <t>KALMAR LÄN</t>
        </is>
      </c>
      <c r="G211" t="inlineStr">
        <is>
          <t>EMMABODA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46290</v>
      </c>
      <c r="F212" t="inlineStr">
        <is>
          <t>KALMAR LÄN</t>
        </is>
      </c>
      <c r="G212" t="inlineStr">
        <is>
          <t>EMMABODA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44729</v>
      </c>
      <c r="E213" s="1" t="n">
        <v>46290</v>
      </c>
      <c r="F213" t="inlineStr">
        <is>
          <t>KALMAR LÄN</t>
        </is>
      </c>
      <c r="G213" t="inlineStr">
        <is>
          <t>EMMABODA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45433</v>
      </c>
      <c r="E214" s="1" t="n">
        <v>46290</v>
      </c>
      <c r="F214" t="inlineStr">
        <is>
          <t>KALMAR LÄN</t>
        </is>
      </c>
      <c r="G214" t="inlineStr">
        <is>
          <t>EMMABODA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45067</v>
      </c>
      <c r="E215" s="1" t="n">
        <v>46290</v>
      </c>
      <c r="F215" t="inlineStr">
        <is>
          <t>KALMAR LÄN</t>
        </is>
      </c>
      <c r="G215" t="inlineStr">
        <is>
          <t>EMMABODA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46290</v>
      </c>
      <c r="F216" t="inlineStr">
        <is>
          <t>KALMAR LÄN</t>
        </is>
      </c>
      <c r="G216" t="inlineStr">
        <is>
          <t>EMMABODA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46290</v>
      </c>
      <c r="F217" t="inlineStr">
        <is>
          <t>KALMAR LÄN</t>
        </is>
      </c>
      <c r="G217" t="inlineStr">
        <is>
          <t>EMMABODA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46290</v>
      </c>
      <c r="F218" t="inlineStr">
        <is>
          <t>KALMAR LÄN</t>
        </is>
      </c>
      <c r="G218" t="inlineStr">
        <is>
          <t>EMMABODA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44507</v>
      </c>
      <c r="E219" s="1" t="n">
        <v>46290</v>
      </c>
      <c r="F219" t="inlineStr">
        <is>
          <t>KALMAR LÄN</t>
        </is>
      </c>
      <c r="G219" t="inlineStr">
        <is>
          <t>EMMABODA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46290</v>
      </c>
      <c r="F220" t="inlineStr">
        <is>
          <t>KALMAR LÄN</t>
        </is>
      </c>
      <c r="G220" t="inlineStr">
        <is>
          <t>EMMABODA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46290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45434</v>
      </c>
      <c r="E222" s="1" t="n">
        <v>46290</v>
      </c>
      <c r="F222" t="inlineStr">
        <is>
          <t>KALMAR LÄN</t>
        </is>
      </c>
      <c r="G222" t="inlineStr">
        <is>
          <t>EMMABODA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46290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45191</v>
      </c>
      <c r="E224" s="1" t="n">
        <v>46290</v>
      </c>
      <c r="F224" t="inlineStr">
        <is>
          <t>KALMAR LÄN</t>
        </is>
      </c>
      <c r="G224" t="inlineStr">
        <is>
          <t>EMMABODA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44619</v>
      </c>
      <c r="E225" s="1" t="n">
        <v>46290</v>
      </c>
      <c r="F225" t="inlineStr">
        <is>
          <t>KALMAR LÄN</t>
        </is>
      </c>
      <c r="G225" t="inlineStr">
        <is>
          <t>EMMABODA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46290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45036</v>
      </c>
      <c r="E227" s="1" t="n">
        <v>46290</v>
      </c>
      <c r="F227" t="inlineStr">
        <is>
          <t>KALMAR LÄN</t>
        </is>
      </c>
      <c r="G227" t="inlineStr">
        <is>
          <t>EMMABODA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59468-2022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44907</v>
      </c>
      <c r="E228" s="1" t="n">
        <v>46290</v>
      </c>
      <c r="F228" t="inlineStr">
        <is>
          <t>KALMAR LÄN</t>
        </is>
      </c>
      <c r="G228" t="inlineStr">
        <is>
          <t>EMMABODA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46290</v>
      </c>
      <c r="F229" t="inlineStr">
        <is>
          <t>KALMAR LÄN</t>
        </is>
      </c>
      <c r="G229" t="inlineStr">
        <is>
          <t>EMMABODA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45273</v>
      </c>
      <c r="E230" s="1" t="n">
        <v>46290</v>
      </c>
      <c r="F230" t="inlineStr">
        <is>
          <t>KALMAR LÄN</t>
        </is>
      </c>
      <c r="G230" t="inlineStr">
        <is>
          <t>EMMABODA</t>
        </is>
      </c>
      <c r="H230" t="inlineStr">
        <is>
          <t>Kommuner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46290</v>
      </c>
      <c r="F231" t="inlineStr">
        <is>
          <t>KALMAR LÄN</t>
        </is>
      </c>
      <c r="G231" t="inlineStr">
        <is>
          <t>EMMABODA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46290</v>
      </c>
      <c r="F232" t="inlineStr">
        <is>
          <t>KALMAR LÄN</t>
        </is>
      </c>
      <c r="G232" t="inlineStr">
        <is>
          <t>EMMABODA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46290</v>
      </c>
      <c r="F233" t="inlineStr">
        <is>
          <t>KALMAR LÄN</t>
        </is>
      </c>
      <c r="G233" t="inlineStr">
        <is>
          <t>EMMABODA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46290</v>
      </c>
      <c r="F234" t="inlineStr">
        <is>
          <t>KALMAR LÄN</t>
        </is>
      </c>
      <c r="G234" t="inlineStr">
        <is>
          <t>EMMABODA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46290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45615</v>
      </c>
      <c r="E236" s="1" t="n">
        <v>46290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46290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46290</v>
      </c>
      <c r="F238" t="inlineStr">
        <is>
          <t>KALMAR LÄN</t>
        </is>
      </c>
      <c r="G238" t="inlineStr">
        <is>
          <t>EMMABODA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46290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66662-2021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44519</v>
      </c>
      <c r="E240" s="1" t="n">
        <v>46290</v>
      </c>
      <c r="F240" t="inlineStr">
        <is>
          <t>KALMAR LÄN</t>
        </is>
      </c>
      <c r="G240" t="inlineStr">
        <is>
          <t>EMMABODA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46290</v>
      </c>
      <c r="F241" t="inlineStr">
        <is>
          <t>KALMAR LÄN</t>
        </is>
      </c>
      <c r="G241" t="inlineStr">
        <is>
          <t>EMMABODA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46290</v>
      </c>
      <c r="F242" t="inlineStr">
        <is>
          <t>KALMAR LÄN</t>
        </is>
      </c>
      <c r="G242" t="inlineStr">
        <is>
          <t>EMMABODA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28437-2023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45102</v>
      </c>
      <c r="E243" s="1" t="n">
        <v>46290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46290</v>
      </c>
      <c r="F244" t="inlineStr">
        <is>
          <t>KALMAR LÄN</t>
        </is>
      </c>
      <c r="G244" t="inlineStr">
        <is>
          <t>EMMABODA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44067-2022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44839</v>
      </c>
      <c r="E245" s="1" t="n">
        <v>46290</v>
      </c>
      <c r="F245" t="inlineStr">
        <is>
          <t>KALMAR LÄN</t>
        </is>
      </c>
      <c r="G245" t="inlineStr">
        <is>
          <t>EMMABODA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41429-2025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46290</v>
      </c>
      <c r="F246" t="inlineStr">
        <is>
          <t>KALMAR LÄN</t>
        </is>
      </c>
      <c r="G246" t="inlineStr">
        <is>
          <t>EMMABODA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46290</v>
      </c>
      <c r="F247" t="inlineStr">
        <is>
          <t>KALMAR LÄN</t>
        </is>
      </c>
      <c r="G247" t="inlineStr">
        <is>
          <t>EMMABODA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45700</v>
      </c>
      <c r="E248" s="1" t="n">
        <v>46290</v>
      </c>
      <c r="F248" t="inlineStr">
        <is>
          <t>KALMAR LÄN</t>
        </is>
      </c>
      <c r="G248" t="inlineStr">
        <is>
          <t>EMMABODA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46290</v>
      </c>
      <c r="F249" t="inlineStr">
        <is>
          <t>KALMAR LÄN</t>
        </is>
      </c>
      <c r="G249" t="inlineStr">
        <is>
          <t>EMMABODA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44979</v>
      </c>
      <c r="E250" s="1" t="n">
        <v>46290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45716</v>
      </c>
      <c r="E251" s="1" t="n">
        <v>46290</v>
      </c>
      <c r="F251" t="inlineStr">
        <is>
          <t>KALMAR LÄN</t>
        </is>
      </c>
      <c r="G251" t="inlineStr">
        <is>
          <t>EMMABODA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46290</v>
      </c>
      <c r="F252" t="inlineStr">
        <is>
          <t>KALMAR LÄN</t>
        </is>
      </c>
      <c r="G252" t="inlineStr">
        <is>
          <t>EMMABODA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46290</v>
      </c>
      <c r="F253" t="inlineStr">
        <is>
          <t>KALMAR LÄN</t>
        </is>
      </c>
      <c r="G253" t="inlineStr">
        <is>
          <t>EMMABODA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46290</v>
      </c>
      <c r="F254" t="inlineStr">
        <is>
          <t>KALMAR LÄN</t>
        </is>
      </c>
      <c r="G254" t="inlineStr">
        <is>
          <t>EMMABODA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45887</v>
      </c>
      <c r="E255" s="1" t="n">
        <v>46290</v>
      </c>
      <c r="F255" t="inlineStr">
        <is>
          <t>KALMAR LÄN</t>
        </is>
      </c>
      <c r="G255" t="inlineStr">
        <is>
          <t>EMMABODA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15448-2024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45401</v>
      </c>
      <c r="E256" s="1" t="n">
        <v>46290</v>
      </c>
      <c r="F256" t="inlineStr">
        <is>
          <t>KALMAR LÄN</t>
        </is>
      </c>
      <c r="G256" t="inlineStr">
        <is>
          <t>EMMABODA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45091</v>
      </c>
      <c r="E257" s="1" t="n">
        <v>46290</v>
      </c>
      <c r="F257" t="inlineStr">
        <is>
          <t>KALMAR LÄN</t>
        </is>
      </c>
      <c r="G257" t="inlineStr">
        <is>
          <t>EMMABODA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45716</v>
      </c>
      <c r="E258" s="1" t="n">
        <v>46290</v>
      </c>
      <c r="F258" t="inlineStr">
        <is>
          <t>KALMAR LÄN</t>
        </is>
      </c>
      <c r="G258" t="inlineStr">
        <is>
          <t>EMMABODA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45681</v>
      </c>
      <c r="E259" s="1" t="n">
        <v>46290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46290</v>
      </c>
      <c r="F260" t="inlineStr">
        <is>
          <t>KALMAR LÄN</t>
        </is>
      </c>
      <c r="G260" t="inlineStr">
        <is>
          <t>EMMABODA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46290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46290</v>
      </c>
      <c r="F262" t="inlineStr">
        <is>
          <t>KALMAR LÄN</t>
        </is>
      </c>
      <c r="G262" t="inlineStr">
        <is>
          <t>EMMABODA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45121</v>
      </c>
      <c r="E263" s="1" t="n">
        <v>46290</v>
      </c>
      <c r="F263" t="inlineStr">
        <is>
          <t>KALMAR LÄN</t>
        </is>
      </c>
      <c r="G263" t="inlineStr">
        <is>
          <t>EMMABODA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46290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46290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46290</v>
      </c>
      <c r="F266" t="inlineStr">
        <is>
          <t>KALMAR LÄN</t>
        </is>
      </c>
      <c r="G266" t="inlineStr">
        <is>
          <t>EMMABODA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46290</v>
      </c>
      <c r="F267" t="inlineStr">
        <is>
          <t>KALMAR LÄN</t>
        </is>
      </c>
      <c r="G267" t="inlineStr">
        <is>
          <t>EMMABODA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45113</v>
      </c>
      <c r="E268" s="1" t="n">
        <v>46290</v>
      </c>
      <c r="F268" t="inlineStr">
        <is>
          <t>KALMAR LÄN</t>
        </is>
      </c>
      <c r="G268" t="inlineStr">
        <is>
          <t>EMMABODA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45113</v>
      </c>
      <c r="E269" s="1" t="n">
        <v>46290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46290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45615</v>
      </c>
      <c r="E271" s="1" t="n">
        <v>46290</v>
      </c>
      <c r="F271" t="inlineStr">
        <is>
          <t>KALMAR LÄN</t>
        </is>
      </c>
      <c r="G271" t="inlineStr">
        <is>
          <t>EMMABODA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46290</v>
      </c>
      <c r="F272" t="inlineStr">
        <is>
          <t>KALMAR LÄN</t>
        </is>
      </c>
      <c r="G272" t="inlineStr">
        <is>
          <t>EMMABODA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46290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22117-2023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45069</v>
      </c>
      <c r="E274" s="1" t="n">
        <v>46290</v>
      </c>
      <c r="F274" t="inlineStr">
        <is>
          <t>KALMAR LÄN</t>
        </is>
      </c>
      <c r="G274" t="inlineStr">
        <is>
          <t>EMMABODA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45401</v>
      </c>
      <c r="E275" s="1" t="n">
        <v>46290</v>
      </c>
      <c r="F275" t="inlineStr">
        <is>
          <t>KALMAR LÄN</t>
        </is>
      </c>
      <c r="G275" t="inlineStr">
        <is>
          <t>EMMABODA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46290</v>
      </c>
      <c r="F276" t="inlineStr">
        <is>
          <t>KALMAR LÄN</t>
        </is>
      </c>
      <c r="G276" t="inlineStr">
        <is>
          <t>EMMABODA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46290</v>
      </c>
      <c r="F277" t="inlineStr">
        <is>
          <t>KALMAR LÄN</t>
        </is>
      </c>
      <c r="G277" t="inlineStr">
        <is>
          <t>EMMABODA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45921</v>
      </c>
      <c r="E278" s="1" t="n">
        <v>46290</v>
      </c>
      <c r="F278" t="inlineStr">
        <is>
          <t>KALMAR LÄN</t>
        </is>
      </c>
      <c r="G278" t="inlineStr">
        <is>
          <t>EMMABODA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46290</v>
      </c>
      <c r="F279" t="inlineStr">
        <is>
          <t>KALMAR LÄN</t>
        </is>
      </c>
      <c r="G279" t="inlineStr">
        <is>
          <t>EMMABODA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46290</v>
      </c>
      <c r="F280" t="inlineStr">
        <is>
          <t>KALMAR LÄN</t>
        </is>
      </c>
      <c r="G280" t="inlineStr">
        <is>
          <t>EMMABODA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11941-2024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46290</v>
      </c>
      <c r="F281" t="inlineStr">
        <is>
          <t>KALMAR LÄN</t>
        </is>
      </c>
      <c r="G281" t="inlineStr">
        <is>
          <t>EMMABODA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44683</v>
      </c>
      <c r="E282" s="1" t="n">
        <v>46290</v>
      </c>
      <c r="F282" t="inlineStr">
        <is>
          <t>KALMAR LÄN</t>
        </is>
      </c>
      <c r="G282" t="inlineStr">
        <is>
          <t>EMMABODA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46290</v>
      </c>
      <c r="F283" t="inlineStr">
        <is>
          <t>KALMAR LÄN</t>
        </is>
      </c>
      <c r="G283" t="inlineStr">
        <is>
          <t>EMMABODA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46290</v>
      </c>
      <c r="F284" t="inlineStr">
        <is>
          <t>KALMAR LÄN</t>
        </is>
      </c>
      <c r="G284" t="inlineStr">
        <is>
          <t>EMMABODA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46290</v>
      </c>
      <c r="F285" t="inlineStr">
        <is>
          <t>KALMAR LÄN</t>
        </is>
      </c>
      <c r="G285" t="inlineStr">
        <is>
          <t>EMMABODA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46290</v>
      </c>
      <c r="F286" t="inlineStr">
        <is>
          <t>KALMAR LÄN</t>
        </is>
      </c>
      <c r="G286" t="inlineStr">
        <is>
          <t>EMMABODA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44145-2025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46290</v>
      </c>
      <c r="F287" t="inlineStr">
        <is>
          <t>KALMAR LÄN</t>
        </is>
      </c>
      <c r="G287" t="inlineStr">
        <is>
          <t>EMMABODA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46290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67543-2021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46290</v>
      </c>
      <c r="F289" t="inlineStr">
        <is>
          <t>KALMAR LÄN</t>
        </is>
      </c>
      <c r="G289" t="inlineStr">
        <is>
          <t>EMMABODA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46290</v>
      </c>
      <c r="F290" t="inlineStr">
        <is>
          <t>KALMAR LÄN</t>
        </is>
      </c>
      <c r="G290" t="inlineStr">
        <is>
          <t>EMMABODA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46290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46290</v>
      </c>
      <c r="F292" t="inlineStr">
        <is>
          <t>KALMAR LÄN</t>
        </is>
      </c>
      <c r="G292" t="inlineStr">
        <is>
          <t>EMMABODA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46290</v>
      </c>
      <c r="F293" t="inlineStr">
        <is>
          <t>KALMAR LÄN</t>
        </is>
      </c>
      <c r="G293" t="inlineStr">
        <is>
          <t>EMMABODA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46290</v>
      </c>
      <c r="F294" t="inlineStr">
        <is>
          <t>KALMAR LÄN</t>
        </is>
      </c>
      <c r="G294" t="inlineStr">
        <is>
          <t>EMMABODA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46290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46290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46290</v>
      </c>
      <c r="F297" t="inlineStr">
        <is>
          <t>KALMAR LÄN</t>
        </is>
      </c>
      <c r="G297" t="inlineStr">
        <is>
          <t>EMMABODA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46290</v>
      </c>
      <c r="F298" t="inlineStr">
        <is>
          <t>KALMAR LÄN</t>
        </is>
      </c>
      <c r="G298" t="inlineStr">
        <is>
          <t>EMMABODA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46290</v>
      </c>
      <c r="F299" t="inlineStr">
        <is>
          <t>KALMAR LÄN</t>
        </is>
      </c>
      <c r="G299" t="inlineStr">
        <is>
          <t>EMMABODA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45335</v>
      </c>
      <c r="E300" s="1" t="n">
        <v>46290</v>
      </c>
      <c r="F300" t="inlineStr">
        <is>
          <t>KALMAR LÄN</t>
        </is>
      </c>
      <c r="G300" t="inlineStr">
        <is>
          <t>EMMABODA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46290</v>
      </c>
      <c r="F301" t="inlineStr">
        <is>
          <t>KALMAR LÄN</t>
        </is>
      </c>
      <c r="G301" t="inlineStr">
        <is>
          <t>EMMABODA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46862-2023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45200</v>
      </c>
      <c r="E302" s="1" t="n">
        <v>46290</v>
      </c>
      <c r="F302" t="inlineStr">
        <is>
          <t>KALMAR LÄN</t>
        </is>
      </c>
      <c r="G302" t="inlineStr">
        <is>
          <t>EMMABODA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45755</v>
      </c>
      <c r="E303" s="1" t="n">
        <v>46290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45070</v>
      </c>
      <c r="E304" s="1" t="n">
        <v>46290</v>
      </c>
      <c r="F304" t="inlineStr">
        <is>
          <t>KALMAR LÄN</t>
        </is>
      </c>
      <c r="G304" t="inlineStr">
        <is>
          <t>EMMABODA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46006</v>
      </c>
      <c r="E305" s="1" t="n">
        <v>46290</v>
      </c>
      <c r="F305" t="inlineStr">
        <is>
          <t>KALMAR LÄN</t>
        </is>
      </c>
      <c r="G305" t="inlineStr">
        <is>
          <t>EMMABODA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46290</v>
      </c>
      <c r="F306" t="inlineStr">
        <is>
          <t>KALMAR LÄN</t>
        </is>
      </c>
      <c r="G306" t="inlineStr">
        <is>
          <t>EMMABODA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44944</v>
      </c>
      <c r="E307" s="1" t="n">
        <v>46290</v>
      </c>
      <c r="F307" t="inlineStr">
        <is>
          <t>KALMAR LÄN</t>
        </is>
      </c>
      <c r="G307" t="inlineStr">
        <is>
          <t>EMMABODA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46290</v>
      </c>
      <c r="F308" t="inlineStr">
        <is>
          <t>KALMAR LÄN</t>
        </is>
      </c>
      <c r="G308" t="inlineStr">
        <is>
          <t>EMMABODA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46290</v>
      </c>
      <c r="F309" t="inlineStr">
        <is>
          <t>KALMAR LÄN</t>
        </is>
      </c>
      <c r="G309" t="inlineStr">
        <is>
          <t>EMMABODA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45400</v>
      </c>
      <c r="E310" s="1" t="n">
        <v>46290</v>
      </c>
      <c r="F310" t="inlineStr">
        <is>
          <t>KALMAR LÄN</t>
        </is>
      </c>
      <c r="G310" t="inlineStr">
        <is>
          <t>EMMABODA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45901</v>
      </c>
      <c r="E311" s="1" t="n">
        <v>46290</v>
      </c>
      <c r="F311" t="inlineStr">
        <is>
          <t>KALMAR LÄN</t>
        </is>
      </c>
      <c r="G311" t="inlineStr">
        <is>
          <t>EMMABODA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45021</v>
      </c>
      <c r="E312" s="1" t="n">
        <v>46290</v>
      </c>
      <c r="F312" t="inlineStr">
        <is>
          <t>KALMAR LÄN</t>
        </is>
      </c>
      <c r="G312" t="inlineStr">
        <is>
          <t>EMMABODA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46290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59764-2022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46290</v>
      </c>
      <c r="F314" t="inlineStr">
        <is>
          <t>KALMAR LÄN</t>
        </is>
      </c>
      <c r="G314" t="inlineStr">
        <is>
          <t>EMMABODA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44922</v>
      </c>
      <c r="E315" s="1" t="n">
        <v>46290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44781</v>
      </c>
      <c r="E316" s="1" t="n">
        <v>46290</v>
      </c>
      <c r="F316" t="inlineStr">
        <is>
          <t>KALMAR LÄN</t>
        </is>
      </c>
      <c r="G316" t="inlineStr">
        <is>
          <t>EMMABODA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45466</v>
      </c>
      <c r="E317" s="1" t="n">
        <v>46290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46290</v>
      </c>
      <c r="F318" t="inlineStr">
        <is>
          <t>KALMAR LÄN</t>
        </is>
      </c>
      <c r="G318" t="inlineStr">
        <is>
          <t>EMMABODA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46290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46290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45327</v>
      </c>
      <c r="E321" s="1" t="n">
        <v>46290</v>
      </c>
      <c r="F321" t="inlineStr">
        <is>
          <t>KALMAR LÄN</t>
        </is>
      </c>
      <c r="G321" t="inlineStr">
        <is>
          <t>EMMABODA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46290</v>
      </c>
      <c r="F322" t="inlineStr">
        <is>
          <t>KALMAR LÄN</t>
        </is>
      </c>
      <c r="G322" t="inlineStr">
        <is>
          <t>EMMABODA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46290</v>
      </c>
      <c r="F323" t="inlineStr">
        <is>
          <t>KALMAR LÄN</t>
        </is>
      </c>
      <c r="G323" t="inlineStr">
        <is>
          <t>EMMABODA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46290</v>
      </c>
      <c r="F324" t="inlineStr">
        <is>
          <t>KALMAR LÄN</t>
        </is>
      </c>
      <c r="G324" t="inlineStr">
        <is>
          <t>EMMABODA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46290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54982-2025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45967</v>
      </c>
      <c r="E326" s="1" t="n">
        <v>46290</v>
      </c>
      <c r="F326" t="inlineStr">
        <is>
          <t>KALMAR LÄN</t>
        </is>
      </c>
      <c r="G326" t="inlineStr">
        <is>
          <t>EMMABODA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45976</v>
      </c>
      <c r="E327" s="1" t="n">
        <v>46290</v>
      </c>
      <c r="F327" t="inlineStr">
        <is>
          <t>KALMAR LÄN</t>
        </is>
      </c>
      <c r="G327" t="inlineStr">
        <is>
          <t>EMMABODA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54983-2025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45967</v>
      </c>
      <c r="E328" s="1" t="n">
        <v>46290</v>
      </c>
      <c r="F328" t="inlineStr">
        <is>
          <t>KALMAR LÄN</t>
        </is>
      </c>
      <c r="G328" t="inlineStr">
        <is>
          <t>EMMABODA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46290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45217</v>
      </c>
      <c r="E330" s="1" t="n">
        <v>46290</v>
      </c>
      <c r="F330" t="inlineStr">
        <is>
          <t>KALMAR LÄN</t>
        </is>
      </c>
      <c r="G330" t="inlineStr">
        <is>
          <t>EMMABODA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45425</v>
      </c>
      <c r="E331" s="1" t="n">
        <v>46290</v>
      </c>
      <c r="F331" t="inlineStr">
        <is>
          <t>KALMAR LÄN</t>
        </is>
      </c>
      <c r="G331" t="inlineStr">
        <is>
          <t>EMMABODA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46290</v>
      </c>
      <c r="F332" t="inlineStr">
        <is>
          <t>KALMAR LÄN</t>
        </is>
      </c>
      <c r="G332" t="inlineStr">
        <is>
          <t>EMMABODA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46290</v>
      </c>
      <c r="F333" t="inlineStr">
        <is>
          <t>KALMAR LÄN</t>
        </is>
      </c>
      <c r="G333" t="inlineStr">
        <is>
          <t>EMMABODA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46290</v>
      </c>
      <c r="F334" t="inlineStr">
        <is>
          <t>KALMAR LÄN</t>
        </is>
      </c>
      <c r="G334" t="inlineStr">
        <is>
          <t>EMMABODA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45976</v>
      </c>
      <c r="E335" s="1" t="n">
        <v>46290</v>
      </c>
      <c r="F335" t="inlineStr">
        <is>
          <t>KALMAR LÄN</t>
        </is>
      </c>
      <c r="G335" t="inlineStr">
        <is>
          <t>EMMABODA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46290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46290</v>
      </c>
      <c r="F337" t="inlineStr">
        <is>
          <t>KALMAR LÄN</t>
        </is>
      </c>
      <c r="G337" t="inlineStr">
        <is>
          <t>EMMABODA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45204</v>
      </c>
      <c r="E338" s="1" t="n">
        <v>46290</v>
      </c>
      <c r="F338" t="inlineStr">
        <is>
          <t>KALMAR LÄN</t>
        </is>
      </c>
      <c r="G338" t="inlineStr">
        <is>
          <t>EMMABODA</t>
        </is>
      </c>
      <c r="H338" t="inlineStr">
        <is>
          <t>Övriga Aktiebolag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46290</v>
      </c>
      <c r="F339" t="inlineStr">
        <is>
          <t>KALMAR LÄN</t>
        </is>
      </c>
      <c r="G339" t="inlineStr">
        <is>
          <t>EMMABODA</t>
        </is>
      </c>
      <c r="H339" t="inlineStr">
        <is>
          <t>Övriga Aktiebolag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46290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46290</v>
      </c>
      <c r="F341" t="inlineStr">
        <is>
          <t>KALMAR LÄN</t>
        </is>
      </c>
      <c r="G341" t="inlineStr">
        <is>
          <t>EMMABODA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7834-2024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46290</v>
      </c>
      <c r="F342" t="inlineStr">
        <is>
          <t>KALMAR LÄN</t>
        </is>
      </c>
      <c r="G342" t="inlineStr">
        <is>
          <t>EMMABODA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45310</v>
      </c>
      <c r="E343" s="1" t="n">
        <v>46290</v>
      </c>
      <c r="F343" t="inlineStr">
        <is>
          <t>KALMAR LÄN</t>
        </is>
      </c>
      <c r="G343" t="inlineStr">
        <is>
          <t>EMMABODA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46290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45573</v>
      </c>
      <c r="E345" s="1" t="n">
        <v>46290</v>
      </c>
      <c r="F345" t="inlineStr">
        <is>
          <t>KALMAR LÄN</t>
        </is>
      </c>
      <c r="G345" t="inlineStr">
        <is>
          <t>EMMABODA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46142</v>
      </c>
      <c r="E346" s="1" t="n">
        <v>46290</v>
      </c>
      <c r="F346" t="inlineStr">
        <is>
          <t>KALMAR LÄN</t>
        </is>
      </c>
      <c r="G346" t="inlineStr">
        <is>
          <t>EMMABODA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46290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45789</v>
      </c>
      <c r="E348" s="1" t="n">
        <v>46290</v>
      </c>
      <c r="F348" t="inlineStr">
        <is>
          <t>KALMAR LÄN</t>
        </is>
      </c>
      <c r="G348" t="inlineStr">
        <is>
          <t>EMMABODA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24779-2022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44728</v>
      </c>
      <c r="E349" s="1" t="n">
        <v>46290</v>
      </c>
      <c r="F349" t="inlineStr">
        <is>
          <t>KALMAR LÄN</t>
        </is>
      </c>
      <c r="G349" t="inlineStr">
        <is>
          <t>EMMABODA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60141-2023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45258</v>
      </c>
      <c r="E350" s="1" t="n">
        <v>46290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46290</v>
      </c>
      <c r="F351" t="inlineStr">
        <is>
          <t>KALMAR LÄN</t>
        </is>
      </c>
      <c r="G351" t="inlineStr">
        <is>
          <t>EMMABODA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46290</v>
      </c>
      <c r="F352" t="inlineStr">
        <is>
          <t>KALMAR LÄN</t>
        </is>
      </c>
      <c r="G352" t="inlineStr">
        <is>
          <t>EMMABODA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46290</v>
      </c>
      <c r="F353" t="inlineStr">
        <is>
          <t>KALMAR LÄN</t>
        </is>
      </c>
      <c r="G353" t="inlineStr">
        <is>
          <t>EMMABODA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46290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46290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45400</v>
      </c>
      <c r="E356" s="1" t="n">
        <v>46290</v>
      </c>
      <c r="F356" t="inlineStr">
        <is>
          <t>KALMAR LÄN</t>
        </is>
      </c>
      <c r="G356" t="inlineStr">
        <is>
          <t>EMMABODA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46290</v>
      </c>
      <c r="F357" t="inlineStr">
        <is>
          <t>KALMAR LÄN</t>
        </is>
      </c>
      <c r="G357" t="inlineStr">
        <is>
          <t>EMMABODA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16236-2023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45028</v>
      </c>
      <c r="E358" s="1" t="n">
        <v>46290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45392</v>
      </c>
      <c r="E359" s="1" t="n">
        <v>46290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22602-2026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46290</v>
      </c>
      <c r="F360" t="inlineStr">
        <is>
          <t>KALMAR LÄN</t>
        </is>
      </c>
      <c r="G360" t="inlineStr">
        <is>
          <t>EMMABODA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46290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46069</v>
      </c>
      <c r="E362" s="1" t="n">
        <v>46290</v>
      </c>
      <c r="F362" t="inlineStr">
        <is>
          <t>KALMAR LÄN</t>
        </is>
      </c>
      <c r="G362" t="inlineStr">
        <is>
          <t>EMMABODA</t>
        </is>
      </c>
      <c r="H362" t="inlineStr">
        <is>
          <t>Kyrkan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46290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57916-2022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46290</v>
      </c>
      <c r="F364" t="inlineStr">
        <is>
          <t>KALMAR LÄN</t>
        </is>
      </c>
      <c r="G364" t="inlineStr">
        <is>
          <t>EMMABODA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45196</v>
      </c>
      <c r="E365" s="1" t="n">
        <v>46290</v>
      </c>
      <c r="F365" t="inlineStr">
        <is>
          <t>KALMAR LÄN</t>
        </is>
      </c>
      <c r="G365" t="inlineStr">
        <is>
          <t>EMMABODA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44586</v>
      </c>
      <c r="E366" s="1" t="n">
        <v>46290</v>
      </c>
      <c r="F366" t="inlineStr">
        <is>
          <t>KALMAR LÄN</t>
        </is>
      </c>
      <c r="G366" t="inlineStr">
        <is>
          <t>EMMABODA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38123-2023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45161</v>
      </c>
      <c r="E367" s="1" t="n">
        <v>46290</v>
      </c>
      <c r="F367" t="inlineStr">
        <is>
          <t>KALMAR LÄN</t>
        </is>
      </c>
      <c r="G367" t="inlineStr">
        <is>
          <t>EMMABODA</t>
        </is>
      </c>
      <c r="H367" t="inlineStr">
        <is>
          <t>Kommuner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45180</v>
      </c>
      <c r="E368" s="1" t="n">
        <v>46290</v>
      </c>
      <c r="F368" t="inlineStr">
        <is>
          <t>KALMAR LÄN</t>
        </is>
      </c>
      <c r="G368" t="inlineStr">
        <is>
          <t>EMMABODA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9791-2025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46290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45048</v>
      </c>
      <c r="E370" s="1" t="n">
        <v>46290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46290</v>
      </c>
      <c r="F371" t="inlineStr">
        <is>
          <t>KALMAR LÄN</t>
        </is>
      </c>
      <c r="G371" t="inlineStr">
        <is>
          <t>EMMABODA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22841-2026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46290</v>
      </c>
      <c r="F372" t="inlineStr">
        <is>
          <t>KALMAR LÄN</t>
        </is>
      </c>
      <c r="G372" t="inlineStr">
        <is>
          <t>EMMABODA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44897</v>
      </c>
      <c r="E373" s="1" t="n">
        <v>46290</v>
      </c>
      <c r="F373" t="inlineStr">
        <is>
          <t>KALMAR LÄN</t>
        </is>
      </c>
      <c r="G373" t="inlineStr">
        <is>
          <t>EMMABODA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46290</v>
      </c>
      <c r="F374" t="inlineStr">
        <is>
          <t>KALMAR LÄN</t>
        </is>
      </c>
      <c r="G374" t="inlineStr">
        <is>
          <t>EMMABODA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46290</v>
      </c>
      <c r="F375" t="inlineStr">
        <is>
          <t>KALMAR LÄN</t>
        </is>
      </c>
      <c r="G375" t="inlineStr">
        <is>
          <t>EMMABODA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46290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45902</v>
      </c>
      <c r="E377" s="1" t="n">
        <v>46290</v>
      </c>
      <c r="F377" t="inlineStr">
        <is>
          <t>KALMAR LÄN</t>
        </is>
      </c>
      <c r="G377" t="inlineStr">
        <is>
          <t>EMMABODA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53704-2023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45230</v>
      </c>
      <c r="E378" s="1" t="n">
        <v>46290</v>
      </c>
      <c r="F378" t="inlineStr">
        <is>
          <t>KALMAR LÄN</t>
        </is>
      </c>
      <c r="G378" t="inlineStr">
        <is>
          <t>EMMABODA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46290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44977</v>
      </c>
      <c r="E380" s="1" t="n">
        <v>46290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46290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45587</v>
      </c>
      <c r="E382" s="1" t="n">
        <v>46290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45301</v>
      </c>
      <c r="E383" s="1" t="n">
        <v>46290</v>
      </c>
      <c r="F383" t="inlineStr">
        <is>
          <t>KALMAR LÄN</t>
        </is>
      </c>
      <c r="G383" t="inlineStr">
        <is>
          <t>EMMABODA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46290</v>
      </c>
      <c r="F384" t="inlineStr">
        <is>
          <t>KALMAR LÄN</t>
        </is>
      </c>
      <c r="G384" t="inlineStr">
        <is>
          <t>EMMABODA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46290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46290</v>
      </c>
      <c r="F386" t="inlineStr">
        <is>
          <t>KALMAR LÄN</t>
        </is>
      </c>
      <c r="G386" t="inlineStr">
        <is>
          <t>EMMABODA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46290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46290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27676-2022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44743</v>
      </c>
      <c r="E389" s="1" t="n">
        <v>46290</v>
      </c>
      <c r="F389" t="inlineStr">
        <is>
          <t>KALMAR LÄN</t>
        </is>
      </c>
      <c r="G389" t="inlineStr">
        <is>
          <t>EMMABODA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46290</v>
      </c>
      <c r="F390" t="inlineStr">
        <is>
          <t>KALMAR LÄN</t>
        </is>
      </c>
      <c r="G390" t="inlineStr">
        <is>
          <t>EMMABODA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46290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45327</v>
      </c>
      <c r="E392" s="1" t="n">
        <v>46290</v>
      </c>
      <c r="F392" t="inlineStr">
        <is>
          <t>KALMAR LÄN</t>
        </is>
      </c>
      <c r="G392" t="inlineStr">
        <is>
          <t>EMMABODA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46290</v>
      </c>
      <c r="F393" t="inlineStr">
        <is>
          <t>KALMAR LÄN</t>
        </is>
      </c>
      <c r="G393" t="inlineStr">
        <is>
          <t>EMMABODA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46290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46290</v>
      </c>
      <c r="F395" t="inlineStr">
        <is>
          <t>KALMAR LÄN</t>
        </is>
      </c>
      <c r="G395" t="inlineStr">
        <is>
          <t>EMMABODA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41366-2024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45559</v>
      </c>
      <c r="E396" s="1" t="n">
        <v>46290</v>
      </c>
      <c r="F396" t="inlineStr">
        <is>
          <t>KALMAR LÄN</t>
        </is>
      </c>
      <c r="G396" t="inlineStr">
        <is>
          <t>EMMABODA</t>
        </is>
      </c>
      <c r="H396" t="inlineStr">
        <is>
          <t>Övriga Aktiebolag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46290</v>
      </c>
      <c r="F397" t="inlineStr">
        <is>
          <t>KALMAR LÄN</t>
        </is>
      </c>
      <c r="G397" t="inlineStr">
        <is>
          <t>EMMABODA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46290</v>
      </c>
      <c r="F398" t="inlineStr">
        <is>
          <t>KALMAR LÄN</t>
        </is>
      </c>
      <c r="G398" t="inlineStr">
        <is>
          <t>EMMABODA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19881-2024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45433</v>
      </c>
      <c r="E399" s="1" t="n">
        <v>46290</v>
      </c>
      <c r="F399" t="inlineStr">
        <is>
          <t>KALMAR LÄN</t>
        </is>
      </c>
      <c r="G399" t="inlineStr">
        <is>
          <t>EMMABODA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46290</v>
      </c>
      <c r="F400" t="inlineStr">
        <is>
          <t>KALMAR LÄN</t>
        </is>
      </c>
      <c r="G400" t="inlineStr">
        <is>
          <t>EMMABODA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46058</v>
      </c>
      <c r="E401" s="1" t="n">
        <v>46290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45007</v>
      </c>
      <c r="E402" s="1" t="n">
        <v>46290</v>
      </c>
      <c r="F402" t="inlineStr">
        <is>
          <t>KALMAR LÄN</t>
        </is>
      </c>
      <c r="G402" t="inlineStr">
        <is>
          <t>EMMABODA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45007</v>
      </c>
      <c r="E403" s="1" t="n">
        <v>46290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46290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35849-2023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45148</v>
      </c>
      <c r="E405" s="1" t="n">
        <v>46290</v>
      </c>
      <c r="F405" t="inlineStr">
        <is>
          <t>KALMAR LÄN</t>
        </is>
      </c>
      <c r="G405" t="inlineStr">
        <is>
          <t>EMMABODA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24784-2023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45084</v>
      </c>
      <c r="E406" s="1" t="n">
        <v>46290</v>
      </c>
      <c r="F406" t="inlineStr">
        <is>
          <t>KALMAR LÄN</t>
        </is>
      </c>
      <c r="G406" t="inlineStr">
        <is>
          <t>EMMABODA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45537</v>
      </c>
      <c r="E407" s="1" t="n">
        <v>46290</v>
      </c>
      <c r="F407" t="inlineStr">
        <is>
          <t>KALMAR LÄN</t>
        </is>
      </c>
      <c r="G407" t="inlineStr">
        <is>
          <t>EMMABODA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64681-2023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46290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45211</v>
      </c>
      <c r="E409" s="1" t="n">
        <v>46290</v>
      </c>
      <c r="F409" t="inlineStr">
        <is>
          <t>KALMAR LÄN</t>
        </is>
      </c>
      <c r="G409" t="inlineStr">
        <is>
          <t>EMMABODA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46290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45021</v>
      </c>
      <c r="E411" s="1" t="n">
        <v>46290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68940-2021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44530</v>
      </c>
      <c r="E412" s="1" t="n">
        <v>46290</v>
      </c>
      <c r="F412" t="inlineStr">
        <is>
          <t>KALMAR LÄN</t>
        </is>
      </c>
      <c r="G412" t="inlineStr">
        <is>
          <t>EMMABODA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45189</v>
      </c>
      <c r="E413" s="1" t="n">
        <v>46290</v>
      </c>
      <c r="F413" t="inlineStr">
        <is>
          <t>KALMAR LÄN</t>
        </is>
      </c>
      <c r="G413" t="inlineStr">
        <is>
          <t>EMMABODA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46290</v>
      </c>
      <c r="F414" t="inlineStr">
        <is>
          <t>KALMAR LÄN</t>
        </is>
      </c>
      <c r="G414" t="inlineStr">
        <is>
          <t>EMMABODA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46290</v>
      </c>
      <c r="F415" t="inlineStr">
        <is>
          <t>KALMAR LÄN</t>
        </is>
      </c>
      <c r="G415" t="inlineStr">
        <is>
          <t>EMMABODA</t>
        </is>
      </c>
      <c r="H415" t="inlineStr">
        <is>
          <t>Kyrkan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46290</v>
      </c>
      <c r="F416" t="inlineStr">
        <is>
          <t>KALMAR LÄN</t>
        </is>
      </c>
      <c r="G416" t="inlineStr">
        <is>
          <t>EMMABODA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46775-2022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44851</v>
      </c>
      <c r="E417" s="1" t="n">
        <v>46290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44960</v>
      </c>
      <c r="E418" s="1" t="n">
        <v>46290</v>
      </c>
      <c r="F418" t="inlineStr">
        <is>
          <t>KALMAR LÄN</t>
        </is>
      </c>
      <c r="G418" t="inlineStr">
        <is>
          <t>EMMABODA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46290</v>
      </c>
      <c r="F419" t="inlineStr">
        <is>
          <t>KALMAR LÄN</t>
        </is>
      </c>
      <c r="G419" t="inlineStr">
        <is>
          <t>EMMABODA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46290</v>
      </c>
      <c r="F420" t="inlineStr">
        <is>
          <t>KALMAR LÄN</t>
        </is>
      </c>
      <c r="G420" t="inlineStr">
        <is>
          <t>EMMABODA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46290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46290</v>
      </c>
      <c r="F422" t="inlineStr">
        <is>
          <t>KALMAR LÄN</t>
        </is>
      </c>
      <c r="G422" t="inlineStr">
        <is>
          <t>EMMABODA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46290</v>
      </c>
      <c r="F423" t="inlineStr">
        <is>
          <t>KALMAR LÄN</t>
        </is>
      </c>
      <c r="G423" t="inlineStr">
        <is>
          <t>EMMABODA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46290</v>
      </c>
      <c r="F424" t="inlineStr">
        <is>
          <t>KALMAR LÄN</t>
        </is>
      </c>
      <c r="G424" t="inlineStr">
        <is>
          <t>EMMABODA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59737-2021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44494</v>
      </c>
      <c r="E425" s="1" t="n">
        <v>46290</v>
      </c>
      <c r="F425" t="inlineStr">
        <is>
          <t>KALMAR LÄN</t>
        </is>
      </c>
      <c r="G425" t="inlineStr">
        <is>
          <t>EMMABODA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46290</v>
      </c>
      <c r="F426" t="inlineStr">
        <is>
          <t>KALMAR LÄN</t>
        </is>
      </c>
      <c r="G426" t="inlineStr">
        <is>
          <t>EMMABODA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46290</v>
      </c>
      <c r="F427" t="inlineStr">
        <is>
          <t>KALMAR LÄN</t>
        </is>
      </c>
      <c r="G427" t="inlineStr">
        <is>
          <t>EMMABODA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45706-2025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46290</v>
      </c>
      <c r="F428" t="inlineStr">
        <is>
          <t>KALMAR LÄN</t>
        </is>
      </c>
      <c r="G428" t="inlineStr">
        <is>
          <t>EMMABODA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46290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46290</v>
      </c>
      <c r="F430" t="inlineStr">
        <is>
          <t>KALMAR LÄN</t>
        </is>
      </c>
      <c r="G430" t="inlineStr">
        <is>
          <t>EMMABODA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44893</v>
      </c>
      <c r="E431" s="1" t="n">
        <v>46290</v>
      </c>
      <c r="F431" t="inlineStr">
        <is>
          <t>KALMAR LÄN</t>
        </is>
      </c>
      <c r="G431" t="inlineStr">
        <is>
          <t>EMMABODA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66333-2021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44518</v>
      </c>
      <c r="E432" s="1" t="n">
        <v>46290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46290</v>
      </c>
      <c r="F433" t="inlineStr">
        <is>
          <t>KALMAR LÄN</t>
        </is>
      </c>
      <c r="G433" t="inlineStr">
        <is>
          <t>EMMABODA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45009</v>
      </c>
      <c r="E434" s="1" t="n">
        <v>46290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45009</v>
      </c>
      <c r="E435" s="1" t="n">
        <v>46290</v>
      </c>
      <c r="F435" t="inlineStr">
        <is>
          <t>KALMAR LÄN</t>
        </is>
      </c>
      <c r="G435" t="inlineStr">
        <is>
          <t>EMMABODA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45009</v>
      </c>
      <c r="E436" s="1" t="n">
        <v>46290</v>
      </c>
      <c r="F436" t="inlineStr">
        <is>
          <t>KALMAR LÄN</t>
        </is>
      </c>
      <c r="G436" t="inlineStr">
        <is>
          <t>EMMABODA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46290</v>
      </c>
      <c r="F437" t="inlineStr">
        <is>
          <t>KALMAR LÄN</t>
        </is>
      </c>
      <c r="G437" t="inlineStr">
        <is>
          <t>EMMABODA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61791-2022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44911</v>
      </c>
      <c r="E438" s="1" t="n">
        <v>46290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37630-2023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46290</v>
      </c>
      <c r="F439" t="inlineStr">
        <is>
          <t>KALMAR LÄN</t>
        </is>
      </c>
      <c r="G439" t="inlineStr">
        <is>
          <t>EMMABODA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45514</v>
      </c>
      <c r="E440" s="1" t="n">
        <v>46290</v>
      </c>
      <c r="F440" t="inlineStr">
        <is>
          <t>KALMAR LÄN</t>
        </is>
      </c>
      <c r="G440" t="inlineStr">
        <is>
          <t>EMMABODA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45514</v>
      </c>
      <c r="E441" s="1" t="n">
        <v>46290</v>
      </c>
      <c r="F441" t="inlineStr">
        <is>
          <t>KALMAR LÄN</t>
        </is>
      </c>
      <c r="G441" t="inlineStr">
        <is>
          <t>EMMABODA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47291-2023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45202</v>
      </c>
      <c r="E442" s="1" t="n">
        <v>46290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46290</v>
      </c>
      <c r="F443" t="inlineStr">
        <is>
          <t>KALMAR LÄN</t>
        </is>
      </c>
      <c r="G443" t="inlineStr">
        <is>
          <t>EMMABODA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46290</v>
      </c>
      <c r="F444" t="inlineStr">
        <is>
          <t>KALMAR LÄN</t>
        </is>
      </c>
      <c r="G444" t="inlineStr">
        <is>
          <t>EMMABODA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46290</v>
      </c>
      <c r="F445" t="inlineStr">
        <is>
          <t>KALMAR LÄN</t>
        </is>
      </c>
      <c r="G445" t="inlineStr">
        <is>
          <t>EMMABODA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46185</v>
      </c>
      <c r="E446" s="1" t="n">
        <v>46290</v>
      </c>
      <c r="F446" t="inlineStr">
        <is>
          <t>KALMAR LÄN</t>
        </is>
      </c>
      <c r="G446" t="inlineStr">
        <is>
          <t>EMMABODA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46290</v>
      </c>
      <c r="F447" t="inlineStr">
        <is>
          <t>KALMAR LÄN</t>
        </is>
      </c>
      <c r="G447" t="inlineStr">
        <is>
          <t>EMMABODA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46290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46290</v>
      </c>
      <c r="F449" t="inlineStr">
        <is>
          <t>KALMAR LÄN</t>
        </is>
      </c>
      <c r="G449" t="inlineStr">
        <is>
          <t>EMMABODA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46290</v>
      </c>
      <c r="F450" t="inlineStr">
        <is>
          <t>KALMAR LÄN</t>
        </is>
      </c>
      <c r="G450" t="inlineStr">
        <is>
          <t>EMMABODA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27133-2026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46290</v>
      </c>
      <c r="F451" t="inlineStr">
        <is>
          <t>KALMAR LÄN</t>
        </is>
      </c>
      <c r="G451" t="inlineStr">
        <is>
          <t>EMMABODA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46290</v>
      </c>
      <c r="F452" t="inlineStr">
        <is>
          <t>KALMAR LÄN</t>
        </is>
      </c>
      <c r="G452" t="inlineStr">
        <is>
          <t>EMMABODA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53350-2022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44879</v>
      </c>
      <c r="E453" s="1" t="n">
        <v>46290</v>
      </c>
      <c r="F453" t="inlineStr">
        <is>
          <t>KALMAR LÄN</t>
        </is>
      </c>
      <c r="G453" t="inlineStr">
        <is>
          <t>EMMABODA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27016-2026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46290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46290</v>
      </c>
      <c r="F455" t="inlineStr">
        <is>
          <t>KALMAR LÄN</t>
        </is>
      </c>
      <c r="G455" t="inlineStr">
        <is>
          <t>EMMABODA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46290</v>
      </c>
      <c r="F456" t="inlineStr">
        <is>
          <t>KALMAR LÄN</t>
        </is>
      </c>
      <c r="G456" t="inlineStr">
        <is>
          <t>EMMABODA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15693-2026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46290</v>
      </c>
      <c r="F457" t="inlineStr">
        <is>
          <t>KALMAR LÄN</t>
        </is>
      </c>
      <c r="G457" t="inlineStr">
        <is>
          <t>EMMABODA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45126</v>
      </c>
      <c r="E458" s="1" t="n">
        <v>46290</v>
      </c>
      <c r="F458" t="inlineStr">
        <is>
          <t>KALMAR LÄN</t>
        </is>
      </c>
      <c r="G458" t="inlineStr">
        <is>
          <t>EMMABODA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46290</v>
      </c>
      <c r="F459" t="inlineStr">
        <is>
          <t>KALMAR LÄN</t>
        </is>
      </c>
      <c r="G459" t="inlineStr">
        <is>
          <t>EMMABODA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33083-2023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46290</v>
      </c>
      <c r="F460" t="inlineStr">
        <is>
          <t>KALMAR LÄN</t>
        </is>
      </c>
      <c r="G460" t="inlineStr">
        <is>
          <t>EMMABODA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45155</v>
      </c>
      <c r="E461" s="1" t="n">
        <v>46290</v>
      </c>
      <c r="F461" t="inlineStr">
        <is>
          <t>KALMAR LÄN</t>
        </is>
      </c>
      <c r="G461" t="inlineStr">
        <is>
          <t>EMMABODA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46290</v>
      </c>
      <c r="F462" t="inlineStr">
        <is>
          <t>KALMAR LÄN</t>
        </is>
      </c>
      <c r="G462" t="inlineStr">
        <is>
          <t>EMMABODA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46120</v>
      </c>
      <c r="E463" s="1" t="n">
        <v>46290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46120</v>
      </c>
      <c r="E464" s="1" t="n">
        <v>46290</v>
      </c>
      <c r="F464" t="inlineStr">
        <is>
          <t>KALMAR LÄN</t>
        </is>
      </c>
      <c r="G464" t="inlineStr">
        <is>
          <t>EMMABODA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46290</v>
      </c>
      <c r="F465" t="inlineStr">
        <is>
          <t>KALMAR LÄN</t>
        </is>
      </c>
      <c r="G465" t="inlineStr">
        <is>
          <t>EMMABODA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9812-2024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45362</v>
      </c>
      <c r="E466" s="1" t="n">
        <v>46290</v>
      </c>
      <c r="F466" t="inlineStr">
        <is>
          <t>KALMAR LÄN</t>
        </is>
      </c>
      <c r="G466" t="inlineStr">
        <is>
          <t>EMMABODA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20648-2022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44700</v>
      </c>
      <c r="E467" s="1" t="n">
        <v>46290</v>
      </c>
      <c r="F467" t="inlineStr">
        <is>
          <t>KALMAR LÄN</t>
        </is>
      </c>
      <c r="G467" t="inlineStr">
        <is>
          <t>EMMABODA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46127</v>
      </c>
      <c r="E468" s="1" t="n">
        <v>46290</v>
      </c>
      <c r="F468" t="inlineStr">
        <is>
          <t>KALMAR LÄN</t>
        </is>
      </c>
      <c r="G468" t="inlineStr">
        <is>
          <t>EMMABODA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18444-2026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46127</v>
      </c>
      <c r="E469" s="1" t="n">
        <v>46290</v>
      </c>
      <c r="F469" t="inlineStr">
        <is>
          <t>KALMAR LÄN</t>
        </is>
      </c>
      <c r="G469" t="inlineStr">
        <is>
          <t>EMMABODA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46120</v>
      </c>
      <c r="E470" s="1" t="n">
        <v>46290</v>
      </c>
      <c r="F470" t="inlineStr">
        <is>
          <t>KALMAR LÄN</t>
        </is>
      </c>
      <c r="G470" t="inlineStr">
        <is>
          <t>EMMABODA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18437-2026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46127</v>
      </c>
      <c r="E471" s="1" t="n">
        <v>46290</v>
      </c>
      <c r="F471" t="inlineStr">
        <is>
          <t>KALMAR LÄN</t>
        </is>
      </c>
      <c r="G471" t="inlineStr">
        <is>
          <t>EMMABODA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28347-2026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46290</v>
      </c>
      <c r="F472" t="inlineStr">
        <is>
          <t>KALMAR LÄN</t>
        </is>
      </c>
      <c r="G472" t="inlineStr">
        <is>
          <t>EMMABODA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46133</v>
      </c>
      <c r="E473" s="1" t="n">
        <v>46290</v>
      </c>
      <c r="F473" t="inlineStr">
        <is>
          <t>KALMAR LÄN</t>
        </is>
      </c>
      <c r="G473" t="inlineStr">
        <is>
          <t>EMMABODA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45743</v>
      </c>
      <c r="E474" s="1" t="n">
        <v>46290</v>
      </c>
      <c r="F474" t="inlineStr">
        <is>
          <t>KALMAR LÄN</t>
        </is>
      </c>
      <c r="G474" t="inlineStr">
        <is>
          <t>EMMABODA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45296</v>
      </c>
      <c r="E475" s="1" t="n">
        <v>46290</v>
      </c>
      <c r="F475" t="inlineStr">
        <is>
          <t>KALMAR LÄN</t>
        </is>
      </c>
      <c r="G475" t="inlineStr">
        <is>
          <t>EMMABODA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68947-2021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44530</v>
      </c>
      <c r="E476" s="1" t="n">
        <v>46290</v>
      </c>
      <c r="F476" t="inlineStr">
        <is>
          <t>KALMAR LÄN</t>
        </is>
      </c>
      <c r="G476" t="inlineStr">
        <is>
          <t>EMMABODA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31860-2022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44777</v>
      </c>
      <c r="E477" s="1" t="n">
        <v>46290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60674-2024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46290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42684-2023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46290</v>
      </c>
      <c r="F479" t="inlineStr">
        <is>
          <t>KALMAR LÄN</t>
        </is>
      </c>
      <c r="G479" t="inlineStr">
        <is>
          <t>EMMABODA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46290</v>
      </c>
      <c r="F480" t="inlineStr">
        <is>
          <t>KALMAR LÄN</t>
        </is>
      </c>
      <c r="G480" t="inlineStr">
        <is>
          <t>EMMABODA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46290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28996-2026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46196</v>
      </c>
      <c r="E482" s="1" t="n">
        <v>46290</v>
      </c>
      <c r="F482" t="inlineStr">
        <is>
          <t>KALMAR LÄN</t>
        </is>
      </c>
      <c r="G482" t="inlineStr">
        <is>
          <t>EMMABODA</t>
        </is>
      </c>
      <c r="H482" t="inlineStr">
        <is>
          <t>Kyrkan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49624-2023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45211</v>
      </c>
      <c r="E483" s="1" t="n">
        <v>46290</v>
      </c>
      <c r="F483" t="inlineStr">
        <is>
          <t>KALMAR LÄN</t>
        </is>
      </c>
      <c r="G483" t="inlineStr">
        <is>
          <t>EMMABODA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46196</v>
      </c>
      <c r="E484" s="1" t="n">
        <v>46290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45164</v>
      </c>
      <c r="E485" s="1" t="n">
        <v>46290</v>
      </c>
      <c r="F485" t="inlineStr">
        <is>
          <t>KALMAR LÄN</t>
        </is>
      </c>
      <c r="G485" t="inlineStr">
        <is>
          <t>EMMABODA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63254-2025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46290</v>
      </c>
      <c r="F486" t="inlineStr">
        <is>
          <t>KALMAR LÄN</t>
        </is>
      </c>
      <c r="G486" t="inlineStr">
        <is>
          <t>EMMABODA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45190</v>
      </c>
      <c r="E487" s="1" t="n">
        <v>46290</v>
      </c>
      <c r="F487" t="inlineStr">
        <is>
          <t>KALMAR LÄN</t>
        </is>
      </c>
      <c r="G487" t="inlineStr">
        <is>
          <t>EMMABODA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44993</v>
      </c>
      <c r="E488" s="1" t="n">
        <v>46290</v>
      </c>
      <c r="F488" t="inlineStr">
        <is>
          <t>KALMAR LÄN</t>
        </is>
      </c>
      <c r="G488" t="inlineStr">
        <is>
          <t>EMMABODA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28677-2026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46290</v>
      </c>
      <c r="F489" t="inlineStr">
        <is>
          <t>KALMAR LÄN</t>
        </is>
      </c>
      <c r="G489" t="inlineStr">
        <is>
          <t>EMMABODA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10157-2025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45719</v>
      </c>
      <c r="E490" s="1" t="n">
        <v>46290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10167-2025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45719</v>
      </c>
      <c r="E491" s="1" t="n">
        <v>46290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45349</v>
      </c>
      <c r="E492" s="1" t="n">
        <v>46290</v>
      </c>
      <c r="F492" t="inlineStr">
        <is>
          <t>KALMAR LÄN</t>
        </is>
      </c>
      <c r="G492" t="inlineStr">
        <is>
          <t>EMMABODA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28448-2026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46197</v>
      </c>
      <c r="E493" s="1" t="n">
        <v>46290</v>
      </c>
      <c r="F493" t="inlineStr">
        <is>
          <t>KALMAR LÄN</t>
        </is>
      </c>
      <c r="G493" t="inlineStr">
        <is>
          <t>EMMABODA</t>
        </is>
      </c>
      <c r="H493" t="inlineStr">
        <is>
          <t>Sveaskog</t>
        </is>
      </c>
      <c r="I493" t="n">
        <v>6.3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46290</v>
      </c>
      <c r="F494" t="inlineStr">
        <is>
          <t>KALMAR LÄN</t>
        </is>
      </c>
      <c r="G494" t="inlineStr">
        <is>
          <t>EMMABODA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46197</v>
      </c>
      <c r="E495" s="1" t="n">
        <v>46290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46197</v>
      </c>
      <c r="E496" s="1" t="n">
        <v>46290</v>
      </c>
      <c r="F496" t="inlineStr">
        <is>
          <t>KALMAR LÄN</t>
        </is>
      </c>
      <c r="G496" t="inlineStr">
        <is>
          <t>EMMABODA</t>
        </is>
      </c>
      <c r="H496" t="inlineStr">
        <is>
          <t>Sveaskog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45126</v>
      </c>
      <c r="E497" s="1" t="n">
        <v>46290</v>
      </c>
      <c r="F497" t="inlineStr">
        <is>
          <t>KALMAR LÄN</t>
        </is>
      </c>
      <c r="G497" t="inlineStr">
        <is>
          <t>EMMABODA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50500-2022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44861</v>
      </c>
      <c r="E498" s="1" t="n">
        <v>46290</v>
      </c>
      <c r="F498" t="inlineStr">
        <is>
          <t>KALMAR LÄN</t>
        </is>
      </c>
      <c r="G498" t="inlineStr">
        <is>
          <t>EMMABODA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20051-2025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45772</v>
      </c>
      <c r="E499" s="1" t="n">
        <v>46290</v>
      </c>
      <c r="F499" t="inlineStr">
        <is>
          <t>KALMAR LÄN</t>
        </is>
      </c>
      <c r="G499" t="inlineStr">
        <is>
          <t>EMMABODA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46290</v>
      </c>
      <c r="F500" t="inlineStr">
        <is>
          <t>KALMAR LÄN</t>
        </is>
      </c>
      <c r="G500" t="inlineStr">
        <is>
          <t>EMMABODA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27488-2024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45474</v>
      </c>
      <c r="E501" s="1" t="n">
        <v>46290</v>
      </c>
      <c r="F501" t="inlineStr">
        <is>
          <t>KALMAR LÄN</t>
        </is>
      </c>
      <c r="G501" t="inlineStr">
        <is>
          <t>EMMABODA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45084</v>
      </c>
      <c r="E502" s="1" t="n">
        <v>46290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46290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46290</v>
      </c>
      <c r="F504" t="inlineStr">
        <is>
          <t>KALMAR LÄN</t>
        </is>
      </c>
      <c r="G504" t="inlineStr">
        <is>
          <t>EMMABODA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46290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48918-2023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45204</v>
      </c>
      <c r="E506" s="1" t="n">
        <v>46290</v>
      </c>
      <c r="F506" t="inlineStr">
        <is>
          <t>KALMAR LÄN</t>
        </is>
      </c>
      <c r="G506" t="inlineStr">
        <is>
          <t>EMMABODA</t>
        </is>
      </c>
      <c r="H506" t="inlineStr">
        <is>
          <t>Övriga Aktiebolag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45232</v>
      </c>
      <c r="E507" s="1" t="n">
        <v>46290</v>
      </c>
      <c r="F507" t="inlineStr">
        <is>
          <t>KALMAR LÄN</t>
        </is>
      </c>
      <c r="G507" t="inlineStr">
        <is>
          <t>EMMABODA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27996-2023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46290</v>
      </c>
      <c r="F508" t="inlineStr">
        <is>
          <t>KALMAR LÄN</t>
        </is>
      </c>
      <c r="G508" t="inlineStr">
        <is>
          <t>EMMABODA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29943-2026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46290</v>
      </c>
      <c r="F509" t="inlineStr">
        <is>
          <t>KALMAR LÄN</t>
        </is>
      </c>
      <c r="G509" t="inlineStr">
        <is>
          <t>EMMABODA</t>
        </is>
      </c>
      <c r="H509" t="inlineStr">
        <is>
          <t>Sveaskog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14071-2024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45392</v>
      </c>
      <c r="E510" s="1" t="n">
        <v>46290</v>
      </c>
      <c r="F510" t="inlineStr">
        <is>
          <t>KALMAR LÄN</t>
        </is>
      </c>
      <c r="G510" t="inlineStr">
        <is>
          <t>EMMABODA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45740</v>
      </c>
      <c r="E511" s="1" t="n">
        <v>46290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45341</v>
      </c>
      <c r="E512" s="1" t="n">
        <v>46290</v>
      </c>
      <c r="F512" t="inlineStr">
        <is>
          <t>KALMAR LÄN</t>
        </is>
      </c>
      <c r="G512" t="inlineStr">
        <is>
          <t>EMMABODA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33759-2026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46290</v>
      </c>
      <c r="F513" t="inlineStr">
        <is>
          <t>KALMAR LÄN</t>
        </is>
      </c>
      <c r="G513" t="inlineStr">
        <is>
          <t>EMMABODA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46290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13276-2023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45003</v>
      </c>
      <c r="E515" s="1" t="n">
        <v>46290</v>
      </c>
      <c r="F515" t="inlineStr">
        <is>
          <t>KALMAR LÄN</t>
        </is>
      </c>
      <c r="G515" t="inlineStr">
        <is>
          <t>EMMABODA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28323-2024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45477</v>
      </c>
      <c r="E516" s="1" t="n">
        <v>46290</v>
      </c>
      <c r="F516" t="inlineStr">
        <is>
          <t>KALMAR LÄN</t>
        </is>
      </c>
      <c r="G516" t="inlineStr">
        <is>
          <t>EMMABODA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12014-2023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44995</v>
      </c>
      <c r="E517" s="1" t="n">
        <v>46290</v>
      </c>
      <c r="F517" t="inlineStr">
        <is>
          <t>KALMAR LÄN</t>
        </is>
      </c>
      <c r="G517" t="inlineStr">
        <is>
          <t>EMMABODA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46290</v>
      </c>
      <c r="F518" t="inlineStr">
        <is>
          <t>KALMAR LÄN</t>
        </is>
      </c>
      <c r="G518" t="inlineStr">
        <is>
          <t>EMMABODA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46290</v>
      </c>
      <c r="F519" t="inlineStr">
        <is>
          <t>KALMAR LÄN</t>
        </is>
      </c>
      <c r="G519" t="inlineStr">
        <is>
          <t>EMMABODA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32663-2024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45514</v>
      </c>
      <c r="E520" s="1" t="n">
        <v>46290</v>
      </c>
      <c r="F520" t="inlineStr">
        <is>
          <t>KALMAR LÄN</t>
        </is>
      </c>
      <c r="G520" t="inlineStr">
        <is>
          <t>EMMABODA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46290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46290</v>
      </c>
      <c r="F522" t="inlineStr">
        <is>
          <t>KALMAR LÄN</t>
        </is>
      </c>
      <c r="G522" t="inlineStr">
        <is>
          <t>EMMABODA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5345-2023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44959</v>
      </c>
      <c r="E523" s="1" t="n">
        <v>46290</v>
      </c>
      <c r="F523" t="inlineStr">
        <is>
          <t>KALMAR LÄN</t>
        </is>
      </c>
      <c r="G523" t="inlineStr">
        <is>
          <t>EMMABODA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21844-2023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45068</v>
      </c>
      <c r="E524" s="1" t="n">
        <v>46290</v>
      </c>
      <c r="F524" t="inlineStr">
        <is>
          <t>KALMAR LÄN</t>
        </is>
      </c>
      <c r="G524" t="inlineStr">
        <is>
          <t>EMMABODA</t>
        </is>
      </c>
      <c r="H524" t="inlineStr">
        <is>
          <t>Kommuner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46290</v>
      </c>
      <c r="F525" t="inlineStr">
        <is>
          <t>KALMAR LÄN</t>
        </is>
      </c>
      <c r="G525" t="inlineStr">
        <is>
          <t>EMMABODA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8112-2025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45707</v>
      </c>
      <c r="E526" s="1" t="n">
        <v>46290</v>
      </c>
      <c r="F526" t="inlineStr">
        <is>
          <t>KALMAR LÄN</t>
        </is>
      </c>
      <c r="G526" t="inlineStr">
        <is>
          <t>EMMABODA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46728-2022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44851</v>
      </c>
      <c r="E527" s="1" t="n">
        <v>46290</v>
      </c>
      <c r="F527" t="inlineStr">
        <is>
          <t>KALMAR LÄN</t>
        </is>
      </c>
      <c r="G527" t="inlineStr">
        <is>
          <t>EMMABODA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7760-2022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44608</v>
      </c>
      <c r="E528" s="1" t="n">
        <v>46290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27028-2023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45095</v>
      </c>
      <c r="E529" s="1" t="n">
        <v>46290</v>
      </c>
      <c r="F529" t="inlineStr">
        <is>
          <t>KALMAR LÄN</t>
        </is>
      </c>
      <c r="G529" t="inlineStr">
        <is>
          <t>EMMABODA</t>
        </is>
      </c>
      <c r="I529" t="n">
        <v>11.3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44580</v>
      </c>
      <c r="E530" s="1" t="n">
        <v>46290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46290</v>
      </c>
      <c r="F531" t="inlineStr">
        <is>
          <t>KALMAR LÄN</t>
        </is>
      </c>
      <c r="G531" t="inlineStr">
        <is>
          <t>EMMABODA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46211</v>
      </c>
      <c r="E532" s="1" t="n">
        <v>46290</v>
      </c>
      <c r="F532" t="inlineStr">
        <is>
          <t>KALMAR LÄN</t>
        </is>
      </c>
      <c r="G532" t="inlineStr">
        <is>
          <t>EMMABODA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11636-2024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45373</v>
      </c>
      <c r="E533" s="1" t="n">
        <v>46290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46290</v>
      </c>
      <c r="F534" t="inlineStr">
        <is>
          <t>KALMAR LÄN</t>
        </is>
      </c>
      <c r="G534" t="inlineStr">
        <is>
          <t>EMMABODA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45161</v>
      </c>
      <c r="E535" s="1" t="n">
        <v>46290</v>
      </c>
      <c r="F535" t="inlineStr">
        <is>
          <t>KALMAR LÄN</t>
        </is>
      </c>
      <c r="G535" t="inlineStr">
        <is>
          <t>EMMABODA</t>
        </is>
      </c>
      <c r="H535" t="inlineStr">
        <is>
          <t>Kommuner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9755-2023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44984</v>
      </c>
      <c r="E536" s="1" t="n">
        <v>46290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58839-2023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45252</v>
      </c>
      <c r="E537" s="1" t="n">
        <v>46290</v>
      </c>
      <c r="F537" t="inlineStr">
        <is>
          <t>KALMAR LÄN</t>
        </is>
      </c>
      <c r="G537" t="inlineStr">
        <is>
          <t>EMMABODA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30460-2022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44761</v>
      </c>
      <c r="E538" s="1" t="n">
        <v>46290</v>
      </c>
      <c r="F538" t="inlineStr">
        <is>
          <t>KALMAR LÄN</t>
        </is>
      </c>
      <c r="G538" t="inlineStr">
        <is>
          <t>EMMABODA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36043-2022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44802</v>
      </c>
      <c r="E539" s="1" t="n">
        <v>46290</v>
      </c>
      <c r="F539" t="inlineStr">
        <is>
          <t>KALMAR LÄN</t>
        </is>
      </c>
      <c r="G539" t="inlineStr">
        <is>
          <t>EMMABODA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18310-2024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45422</v>
      </c>
      <c r="E540" s="1" t="n">
        <v>46290</v>
      </c>
      <c r="F540" t="inlineStr">
        <is>
          <t>KALMAR LÄN</t>
        </is>
      </c>
      <c r="G540" t="inlineStr">
        <is>
          <t>EMMABODA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37296-2022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44808</v>
      </c>
      <c r="E541" s="1" t="n">
        <v>46290</v>
      </c>
      <c r="F541" t="inlineStr">
        <is>
          <t>KALMAR LÄN</t>
        </is>
      </c>
      <c r="G541" t="inlineStr">
        <is>
          <t>EMMABODA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46290</v>
      </c>
      <c r="F542" t="inlineStr">
        <is>
          <t>KALMAR LÄN</t>
        </is>
      </c>
      <c r="G542" t="inlineStr">
        <is>
          <t>EMMABODA</t>
        </is>
      </c>
      <c r="H542" t="inlineStr">
        <is>
          <t>Kyrkan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31780-2026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46230</v>
      </c>
      <c r="E543" s="1" t="n">
        <v>46290</v>
      </c>
      <c r="F543" t="inlineStr">
        <is>
          <t>KALMAR LÄN</t>
        </is>
      </c>
      <c r="G543" t="inlineStr">
        <is>
          <t>EMMABODA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46290</v>
      </c>
      <c r="F544" t="inlineStr">
        <is>
          <t>KALMAR LÄN</t>
        </is>
      </c>
      <c r="G544" t="inlineStr">
        <is>
          <t>EMMABODA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46290</v>
      </c>
      <c r="F545" t="inlineStr">
        <is>
          <t>KALMAR LÄN</t>
        </is>
      </c>
      <c r="G545" t="inlineStr">
        <is>
          <t>EMMABODA</t>
        </is>
      </c>
      <c r="H545" t="inlineStr">
        <is>
          <t>Kyrkan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46290</v>
      </c>
      <c r="F546" t="inlineStr">
        <is>
          <t>KALMAR LÄN</t>
        </is>
      </c>
      <c r="G546" t="inlineStr">
        <is>
          <t>EMMABODA</t>
        </is>
      </c>
      <c r="H546" t="inlineStr">
        <is>
          <t>Kyrkan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34926-2026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46259</v>
      </c>
      <c r="E547" s="1" t="n">
        <v>46290</v>
      </c>
      <c r="F547" t="inlineStr">
        <is>
          <t>KALMAR LÄN</t>
        </is>
      </c>
      <c r="G547" t="inlineStr">
        <is>
          <t>EMMABODA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46290</v>
      </c>
      <c r="F548" t="inlineStr">
        <is>
          <t>KALMAR LÄN</t>
        </is>
      </c>
      <c r="G548" t="inlineStr">
        <is>
          <t>EMMABODA</t>
        </is>
      </c>
      <c r="H548" t="inlineStr">
        <is>
          <t>Kyrkan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45189</v>
      </c>
      <c r="E549" s="1" t="n">
        <v>46290</v>
      </c>
      <c r="F549" t="inlineStr">
        <is>
          <t>KALMAR LÄN</t>
        </is>
      </c>
      <c r="G549" t="inlineStr">
        <is>
          <t>EMMABODA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20052-2025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45772</v>
      </c>
      <c r="E550" s="1" t="n">
        <v>46290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46290</v>
      </c>
      <c r="F551" t="inlineStr">
        <is>
          <t>KALMAR LÄN</t>
        </is>
      </c>
      <c r="G551" t="inlineStr">
        <is>
          <t>EMMABODA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19359-2023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45049</v>
      </c>
      <c r="E552" s="1" t="n">
        <v>46290</v>
      </c>
      <c r="F552" t="inlineStr">
        <is>
          <t>KALMAR LÄN</t>
        </is>
      </c>
      <c r="G552" t="inlineStr">
        <is>
          <t>EMMABODA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69464-2021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44531</v>
      </c>
      <c r="E553" s="1" t="n">
        <v>46290</v>
      </c>
      <c r="F553" t="inlineStr">
        <is>
          <t>KALMAR LÄN</t>
        </is>
      </c>
      <c r="G553" t="inlineStr">
        <is>
          <t>EMMABODA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46290</v>
      </c>
      <c r="F554" t="inlineStr">
        <is>
          <t>KALMAR LÄN</t>
        </is>
      </c>
      <c r="G554" t="inlineStr">
        <is>
          <t>EMMABODA</t>
        </is>
      </c>
      <c r="H554" t="inlineStr">
        <is>
          <t>Kyrkan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46290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46290</v>
      </c>
      <c r="F556" t="inlineStr">
        <is>
          <t>KALMAR LÄN</t>
        </is>
      </c>
      <c r="G556" t="inlineStr">
        <is>
          <t>EMMABODA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45126</v>
      </c>
      <c r="E557" s="1" t="n">
        <v>46290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33081-2023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45126</v>
      </c>
      <c r="E558" s="1" t="n">
        <v>46290</v>
      </c>
      <c r="F558" t="inlineStr">
        <is>
          <t>KALMAR LÄN</t>
        </is>
      </c>
      <c r="G558" t="inlineStr">
        <is>
          <t>EMMABODA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46290</v>
      </c>
      <c r="F559" t="inlineStr">
        <is>
          <t>KALMAR LÄN</t>
        </is>
      </c>
      <c r="G559" t="inlineStr">
        <is>
          <t>EMMABODA</t>
        </is>
      </c>
      <c r="H559" t="inlineStr">
        <is>
          <t>Kyrkan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4031-2024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45323</v>
      </c>
      <c r="E560" s="1" t="n">
        <v>46290</v>
      </c>
      <c r="F560" t="inlineStr">
        <is>
          <t>KALMAR LÄN</t>
        </is>
      </c>
      <c r="G560" t="inlineStr">
        <is>
          <t>EMMABODA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16703-2022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44673</v>
      </c>
      <c r="E561" s="1" t="n">
        <v>46290</v>
      </c>
      <c r="F561" t="inlineStr">
        <is>
          <t>KALMAR LÄN</t>
        </is>
      </c>
      <c r="G561" t="inlineStr">
        <is>
          <t>EMMABODA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46290</v>
      </c>
      <c r="F562" t="inlineStr">
        <is>
          <t>KALMAR LÄN</t>
        </is>
      </c>
      <c r="G562" t="inlineStr">
        <is>
          <t>EMMABODA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56606-2022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44893</v>
      </c>
      <c r="E563" s="1" t="n">
        <v>46290</v>
      </c>
      <c r="F563" t="inlineStr">
        <is>
          <t>KALMAR LÄN</t>
        </is>
      </c>
      <c r="G563" t="inlineStr">
        <is>
          <t>EMMABODA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45668</v>
      </c>
      <c r="E564" s="1" t="n">
        <v>46290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30262-2022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44759</v>
      </c>
      <c r="E565" s="1" t="n">
        <v>46290</v>
      </c>
      <c r="F565" t="inlineStr">
        <is>
          <t>KALMAR LÄN</t>
        </is>
      </c>
      <c r="G565" t="inlineStr">
        <is>
          <t>EMMABODA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34907-2026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46290</v>
      </c>
      <c r="F566" t="inlineStr">
        <is>
          <t>KALMAR LÄN</t>
        </is>
      </c>
      <c r="G566" t="inlineStr">
        <is>
          <t>EMMABODA</t>
        </is>
      </c>
      <c r="H566" t="inlineStr">
        <is>
          <t>Kyrkan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44594</v>
      </c>
      <c r="E567" s="1" t="n">
        <v>46290</v>
      </c>
      <c r="F567" t="inlineStr">
        <is>
          <t>KALMAR LÄN</t>
        </is>
      </c>
      <c r="G567" t="inlineStr">
        <is>
          <t>EMMABODA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4024-2024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45323</v>
      </c>
      <c r="E568" s="1" t="n">
        <v>46290</v>
      </c>
      <c r="F568" t="inlineStr">
        <is>
          <t>KALMAR LÄN</t>
        </is>
      </c>
      <c r="G568" t="inlineStr">
        <is>
          <t>EMMABODA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47149-2022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44852</v>
      </c>
      <c r="E569" s="1" t="n">
        <v>46290</v>
      </c>
      <c r="F569" t="inlineStr">
        <is>
          <t>KALMAR LÄN</t>
        </is>
      </c>
      <c r="G569" t="inlineStr">
        <is>
          <t>EMMABODA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45149</v>
      </c>
      <c r="E570" s="1" t="n">
        <v>46290</v>
      </c>
      <c r="F570" t="inlineStr">
        <is>
          <t>KALMAR LÄN</t>
        </is>
      </c>
      <c r="G570" t="inlineStr">
        <is>
          <t>EMMABODA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45111</v>
      </c>
      <c r="E571" s="1" t="n">
        <v>46290</v>
      </c>
      <c r="F571" t="inlineStr">
        <is>
          <t>KALMAR LÄN</t>
        </is>
      </c>
      <c r="G571" t="inlineStr">
        <is>
          <t>EMMABODA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45310</v>
      </c>
      <c r="E572" s="1" t="n">
        <v>46290</v>
      </c>
      <c r="F572" t="inlineStr">
        <is>
          <t>KALMAR LÄN</t>
        </is>
      </c>
      <c r="G572" t="inlineStr">
        <is>
          <t>EMMABODA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48926-2023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45204</v>
      </c>
      <c r="E573" s="1" t="n">
        <v>46290</v>
      </c>
      <c r="F573" t="inlineStr">
        <is>
          <t>KALMAR LÄN</t>
        </is>
      </c>
      <c r="G573" t="inlineStr">
        <is>
          <t>EMMABODA</t>
        </is>
      </c>
      <c r="H573" t="inlineStr">
        <is>
          <t>Övriga Aktiebolag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45062</v>
      </c>
      <c r="E574" s="1" t="n">
        <v>46290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42194-2024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46290</v>
      </c>
      <c r="F575" t="inlineStr">
        <is>
          <t>KALMAR LÄN</t>
        </is>
      </c>
      <c r="G575" t="inlineStr">
        <is>
          <t>EMMABODA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28681-2023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45103</v>
      </c>
      <c r="E576" s="1" t="n">
        <v>46290</v>
      </c>
      <c r="F576" t="inlineStr">
        <is>
          <t>KALMAR LÄN</t>
        </is>
      </c>
      <c r="G576" t="inlineStr">
        <is>
          <t>EMMABODA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45688</v>
      </c>
      <c r="E577" s="1" t="n">
        <v>46290</v>
      </c>
      <c r="F577" t="inlineStr">
        <is>
          <t>KALMAR LÄN</t>
        </is>
      </c>
      <c r="G577" t="inlineStr">
        <is>
          <t>EMMABODA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36314-2026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46268</v>
      </c>
      <c r="E578" s="1" t="n">
        <v>46290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4387-2022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44589</v>
      </c>
      <c r="E579" s="1" t="n">
        <v>46290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44726</v>
      </c>
      <c r="E580" s="1" t="n">
        <v>46290</v>
      </c>
      <c r="F580" t="inlineStr">
        <is>
          <t>KALMAR LÄN</t>
        </is>
      </c>
      <c r="G580" t="inlineStr">
        <is>
          <t>EMMABODA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45742</v>
      </c>
      <c r="E581" s="1" t="n">
        <v>46290</v>
      </c>
      <c r="F581" t="inlineStr">
        <is>
          <t>KALMAR LÄN</t>
        </is>
      </c>
      <c r="G581" t="inlineStr">
        <is>
          <t>EMMABODA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67538-2021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44524</v>
      </c>
      <c r="E582" s="1" t="n">
        <v>46290</v>
      </c>
      <c r="F582" t="inlineStr">
        <is>
          <t>KALMAR LÄN</t>
        </is>
      </c>
      <c r="G582" t="inlineStr">
        <is>
          <t>EMMABODA</t>
        </is>
      </c>
      <c r="I582" t="n">
        <v>11.6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24983-2022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44728</v>
      </c>
      <c r="E583" s="1" t="n">
        <v>46290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45182</v>
      </c>
      <c r="E584" s="1" t="n">
        <v>46290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44816</v>
      </c>
      <c r="E585" s="1" t="n">
        <v>46290</v>
      </c>
      <c r="F585" t="inlineStr">
        <is>
          <t>KALMAR LÄN</t>
        </is>
      </c>
      <c r="G585" t="inlineStr">
        <is>
          <t>EMMABODA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46271</v>
      </c>
      <c r="E586" s="1" t="n">
        <v>46290</v>
      </c>
      <c r="F586" t="inlineStr">
        <is>
          <t>KALMAR LÄN</t>
        </is>
      </c>
      <c r="G586" t="inlineStr">
        <is>
          <t>EMMABODA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36875-2026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46290</v>
      </c>
      <c r="F587" t="inlineStr">
        <is>
          <t>KALMAR LÄN</t>
        </is>
      </c>
      <c r="G587" t="inlineStr">
        <is>
          <t>EMMABODA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46290</v>
      </c>
      <c r="F588" t="inlineStr">
        <is>
          <t>KALMAR LÄN</t>
        </is>
      </c>
      <c r="G588" t="inlineStr">
        <is>
          <t>EMMABODA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44924-2022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44840</v>
      </c>
      <c r="E589" s="1" t="n">
        <v>46290</v>
      </c>
      <c r="F589" t="inlineStr">
        <is>
          <t>KALMAR LÄN</t>
        </is>
      </c>
      <c r="G589" t="inlineStr">
        <is>
          <t>EMMABODA</t>
        </is>
      </c>
      <c r="H589" t="inlineStr">
        <is>
          <t>Övriga Aktiebolag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46290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57794-2022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46290</v>
      </c>
      <c r="F591" t="inlineStr">
        <is>
          <t>KALMAR LÄN</t>
        </is>
      </c>
      <c r="G591" t="inlineStr">
        <is>
          <t>EMMABODA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46290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45349</v>
      </c>
      <c r="E593" s="1" t="n">
        <v>46290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44827</v>
      </c>
      <c r="E594" s="1" t="n">
        <v>46290</v>
      </c>
      <c r="F594" t="inlineStr">
        <is>
          <t>KALMAR LÄN</t>
        </is>
      </c>
      <c r="G594" t="inlineStr">
        <is>
          <t>EMMABODA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45092</v>
      </c>
      <c r="E595" s="1" t="n">
        <v>46290</v>
      </c>
      <c r="F595" t="inlineStr">
        <is>
          <t>KALMAR LÄN</t>
        </is>
      </c>
      <c r="G595" t="inlineStr">
        <is>
          <t>EMMABODA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27155-2026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46188</v>
      </c>
      <c r="E596" s="1" t="n">
        <v>46290</v>
      </c>
      <c r="F596" t="inlineStr">
        <is>
          <t>KALMAR LÄN</t>
        </is>
      </c>
      <c r="G596" t="inlineStr">
        <is>
          <t>EMMABODA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46275</v>
      </c>
      <c r="E597" s="1" t="n">
        <v>46290</v>
      </c>
      <c r="F597" t="inlineStr">
        <is>
          <t>KALMAR LÄN</t>
        </is>
      </c>
      <c r="G597" t="inlineStr">
        <is>
          <t>EMMABODA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73058-2021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44550</v>
      </c>
      <c r="E598" s="1" t="n">
        <v>46290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23437-2023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45076</v>
      </c>
      <c r="E599" s="1" t="n">
        <v>46290</v>
      </c>
      <c r="F599" t="inlineStr">
        <is>
          <t>KALMAR LÄN</t>
        </is>
      </c>
      <c r="G599" t="inlineStr">
        <is>
          <t>EMMABODA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46290</v>
      </c>
      <c r="F600" t="inlineStr">
        <is>
          <t>KALMAR LÄN</t>
        </is>
      </c>
      <c r="G600" t="inlineStr">
        <is>
          <t>EMMABODA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45515</v>
      </c>
      <c r="E601" s="1" t="n">
        <v>46290</v>
      </c>
      <c r="F601" t="inlineStr">
        <is>
          <t>KALMAR LÄN</t>
        </is>
      </c>
      <c r="G601" t="inlineStr">
        <is>
          <t>EMMABODA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46290</v>
      </c>
      <c r="F602" t="inlineStr">
        <is>
          <t>KALMAR LÄN</t>
        </is>
      </c>
      <c r="G602" t="inlineStr">
        <is>
          <t>EMMABODA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46290</v>
      </c>
      <c r="F603" t="inlineStr">
        <is>
          <t>KALMAR LÄN</t>
        </is>
      </c>
      <c r="G603" t="inlineStr">
        <is>
          <t>EMMABODA</t>
        </is>
      </c>
      <c r="H603" t="inlineStr">
        <is>
          <t>Sveaskog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1702-2024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45307</v>
      </c>
      <c r="E604" s="1" t="n">
        <v>46290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45317</v>
      </c>
      <c r="E605" s="1" t="n">
        <v>46290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46279</v>
      </c>
      <c r="E606" s="1" t="n">
        <v>46290</v>
      </c>
      <c r="F606" t="inlineStr">
        <is>
          <t>KALMAR LÄN</t>
        </is>
      </c>
      <c r="G606" t="inlineStr">
        <is>
          <t>EMMABODA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43719-2023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45187</v>
      </c>
      <c r="E607" s="1" t="n">
        <v>46290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28600-2022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44748</v>
      </c>
      <c r="E608" s="1" t="n">
        <v>46290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46290</v>
      </c>
      <c r="F609" t="inlineStr">
        <is>
          <t>KALMAR LÄN</t>
        </is>
      </c>
      <c r="G609" t="inlineStr">
        <is>
          <t>EMMABODA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46290</v>
      </c>
      <c r="F610" t="inlineStr">
        <is>
          <t>KALMAR LÄN</t>
        </is>
      </c>
      <c r="G610" t="inlineStr">
        <is>
          <t>EMMABODA</t>
        </is>
      </c>
      <c r="H610" t="inlineStr">
        <is>
          <t>Sveaskog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46279</v>
      </c>
      <c r="E611" s="1" t="n">
        <v>46290</v>
      </c>
      <c r="F611" t="inlineStr">
        <is>
          <t>KALMAR LÄN</t>
        </is>
      </c>
      <c r="G611" t="inlineStr">
        <is>
          <t>EMMABODA</t>
        </is>
      </c>
      <c r="H611" t="inlineStr">
        <is>
          <t>Sveaskog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46290</v>
      </c>
      <c r="F612" t="inlineStr">
        <is>
          <t>KALMAR LÄN</t>
        </is>
      </c>
      <c r="G612" t="inlineStr">
        <is>
          <t>EMMABODA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37739-2026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46279</v>
      </c>
      <c r="E613" s="1" t="n">
        <v>46290</v>
      </c>
      <c r="F613" t="inlineStr">
        <is>
          <t>KALMAR LÄN</t>
        </is>
      </c>
      <c r="G613" t="inlineStr">
        <is>
          <t>EMMABODA</t>
        </is>
      </c>
      <c r="H613" t="inlineStr">
        <is>
          <t>Sveaskog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19551-2026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46134</v>
      </c>
      <c r="E614" s="1" t="n">
        <v>46290</v>
      </c>
      <c r="F614" t="inlineStr">
        <is>
          <t>KALMAR LÄN</t>
        </is>
      </c>
      <c r="G614" t="inlineStr">
        <is>
          <t>EMMABODA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46290</v>
      </c>
      <c r="F615" t="inlineStr">
        <is>
          <t>KALMAR LÄN</t>
        </is>
      </c>
      <c r="G615" t="inlineStr">
        <is>
          <t>EMMABODA</t>
        </is>
      </c>
      <c r="H615" t="inlineStr">
        <is>
          <t>Sveaskog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20505-2022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44699</v>
      </c>
      <c r="E616" s="1" t="n">
        <v>46290</v>
      </c>
      <c r="F616" t="inlineStr">
        <is>
          <t>KALMAR LÄN</t>
        </is>
      </c>
      <c r="G616" t="inlineStr">
        <is>
          <t>EMMABODA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37717-2026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46279</v>
      </c>
      <c r="E617" s="1" t="n">
        <v>46290</v>
      </c>
      <c r="F617" t="inlineStr">
        <is>
          <t>KALMAR LÄN</t>
        </is>
      </c>
      <c r="G617" t="inlineStr">
        <is>
          <t>EMMABODA</t>
        </is>
      </c>
      <c r="H617" t="inlineStr">
        <is>
          <t>Sveaskog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37737-2026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46290</v>
      </c>
      <c r="F618" t="inlineStr">
        <is>
          <t>KALMAR LÄN</t>
        </is>
      </c>
      <c r="G618" t="inlineStr">
        <is>
          <t>EMMABODA</t>
        </is>
      </c>
      <c r="H618" t="inlineStr">
        <is>
          <t>Sveaskog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15362-2024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45400</v>
      </c>
      <c r="E619" s="1" t="n">
        <v>46290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53373-2023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45229</v>
      </c>
      <c r="E620" s="1" t="n">
        <v>46290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45293-2023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45188</v>
      </c>
      <c r="E621" s="1" t="n">
        <v>46290</v>
      </c>
      <c r="F621" t="inlineStr">
        <is>
          <t>KALMAR LÄN</t>
        </is>
      </c>
      <c r="G621" t="inlineStr">
        <is>
          <t>EMMABODA</t>
        </is>
      </c>
      <c r="H621" t="inlineStr">
        <is>
          <t>Kyrkan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45769</v>
      </c>
      <c r="E622" s="1" t="n">
        <v>46290</v>
      </c>
      <c r="F622" t="inlineStr">
        <is>
          <t>KALMAR LÄN</t>
        </is>
      </c>
      <c r="G622" t="inlineStr">
        <is>
          <t>EMMABODA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31070-2022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44769</v>
      </c>
      <c r="E623" s="1" t="n">
        <v>46290</v>
      </c>
      <c r="F623" t="inlineStr">
        <is>
          <t>KALMAR LÄN</t>
        </is>
      </c>
      <c r="G623" t="inlineStr">
        <is>
          <t>EMMABODA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58592-2021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44488</v>
      </c>
      <c r="E624" s="1" t="n">
        <v>46290</v>
      </c>
      <c r="F624" t="inlineStr">
        <is>
          <t>KALMAR LÄN</t>
        </is>
      </c>
      <c r="G624" t="inlineStr">
        <is>
          <t>EMMABODA</t>
        </is>
      </c>
      <c r="H624" t="inlineStr">
        <is>
          <t>Kommuner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19151-2025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45769</v>
      </c>
      <c r="E625" s="1" t="n">
        <v>46290</v>
      </c>
      <c r="F625" t="inlineStr">
        <is>
          <t>KALMAR LÄN</t>
        </is>
      </c>
      <c r="G625" t="inlineStr">
        <is>
          <t>EMMABODA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46290</v>
      </c>
      <c r="F626" t="inlineStr">
        <is>
          <t>KALMAR LÄN</t>
        </is>
      </c>
      <c r="G626" t="inlineStr">
        <is>
          <t>EMMABODA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14467-2024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45394</v>
      </c>
      <c r="E627" s="1" t="n">
        <v>46290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44955</v>
      </c>
      <c r="E628" s="1" t="n">
        <v>46290</v>
      </c>
      <c r="F628" t="inlineStr">
        <is>
          <t>KALMAR LÄN</t>
        </is>
      </c>
      <c r="G628" t="inlineStr">
        <is>
          <t>EMMABODA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19098-2023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45048</v>
      </c>
      <c r="E629" s="1" t="n">
        <v>46290</v>
      </c>
      <c r="F629" t="inlineStr">
        <is>
          <t>KALMAR LÄN</t>
        </is>
      </c>
      <c r="G629" t="inlineStr">
        <is>
          <t>EMMABODA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8151-2024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45351</v>
      </c>
      <c r="E630" s="1" t="n">
        <v>46290</v>
      </c>
      <c r="F630" t="inlineStr">
        <is>
          <t>KALMAR LÄN</t>
        </is>
      </c>
      <c r="G630" t="inlineStr">
        <is>
          <t>EMMABODA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46290</v>
      </c>
      <c r="F631" t="inlineStr">
        <is>
          <t>KALMAR LÄN</t>
        </is>
      </c>
      <c r="G631" t="inlineStr">
        <is>
          <t>EMMABODA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49953-2023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45215</v>
      </c>
      <c r="E632" s="1" t="n">
        <v>46290</v>
      </c>
      <c r="F632" t="inlineStr">
        <is>
          <t>KALMAR LÄN</t>
        </is>
      </c>
      <c r="G632" t="inlineStr">
        <is>
          <t>EMMABODA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39521-2024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45551</v>
      </c>
      <c r="E633" s="1" t="n">
        <v>46290</v>
      </c>
      <c r="F633" t="inlineStr">
        <is>
          <t>KALMAR LÄN</t>
        </is>
      </c>
      <c r="G633" t="inlineStr">
        <is>
          <t>EMMABODA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33980-2024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45523</v>
      </c>
      <c r="E634" s="1" t="n">
        <v>46290</v>
      </c>
      <c r="F634" t="inlineStr">
        <is>
          <t>KALMAR LÄN</t>
        </is>
      </c>
      <c r="G634" t="inlineStr">
        <is>
          <t>EMMABODA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3321-2023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44949</v>
      </c>
      <c r="E635" s="1" t="n">
        <v>46290</v>
      </c>
      <c r="F635" t="inlineStr">
        <is>
          <t>KALMAR LÄN</t>
        </is>
      </c>
      <c r="G635" t="inlineStr">
        <is>
          <t>EMMABODA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45684</v>
      </c>
      <c r="E636" s="1" t="n">
        <v>46290</v>
      </c>
      <c r="F636" t="inlineStr">
        <is>
          <t>KALMAR LÄN</t>
        </is>
      </c>
      <c r="G636" t="inlineStr">
        <is>
          <t>EMMABODA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56254-2024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45624</v>
      </c>
      <c r="E637" s="1" t="n">
        <v>46290</v>
      </c>
      <c r="F637" t="inlineStr">
        <is>
          <t>KALMAR LÄN</t>
        </is>
      </c>
      <c r="G637" t="inlineStr">
        <is>
          <t>EMMABODA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45484</v>
      </c>
      <c r="E638" s="1" t="n">
        <v>46290</v>
      </c>
      <c r="F638" t="inlineStr">
        <is>
          <t>KALMAR LÄN</t>
        </is>
      </c>
      <c r="G638" t="inlineStr">
        <is>
          <t>EMMABODA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46290</v>
      </c>
      <c r="F639" t="inlineStr">
        <is>
          <t>KALMAR LÄN</t>
        </is>
      </c>
      <c r="G639" t="inlineStr">
        <is>
          <t>EMMABODA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46286</v>
      </c>
      <c r="E640" s="1" t="n">
        <v>46290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46290</v>
      </c>
      <c r="F641" t="inlineStr">
        <is>
          <t>KALMAR LÄN</t>
        </is>
      </c>
      <c r="G641" t="inlineStr">
        <is>
          <t>EMMABODA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22145-2024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45445</v>
      </c>
      <c r="E642" s="1" t="n">
        <v>46290</v>
      </c>
      <c r="F642" t="inlineStr">
        <is>
          <t>KALMAR LÄN</t>
        </is>
      </c>
      <c r="G642" t="inlineStr">
        <is>
          <t>EMMABODA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45317</v>
      </c>
      <c r="E643" s="1" t="n">
        <v>46290</v>
      </c>
      <c r="F643" t="inlineStr">
        <is>
          <t>KALMAR LÄN</t>
        </is>
      </c>
      <c r="G643" t="inlineStr">
        <is>
          <t>EMMABODA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45548</v>
      </c>
      <c r="E644" s="1" t="n">
        <v>46290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17527-2024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45415</v>
      </c>
      <c r="E645" s="1" t="n">
        <v>46290</v>
      </c>
      <c r="F645" t="inlineStr">
        <is>
          <t>KALMAR LÄN</t>
        </is>
      </c>
      <c r="G645" t="inlineStr">
        <is>
          <t>EMMABODA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59413-2024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45638</v>
      </c>
      <c r="E646" s="1" t="n">
        <v>46290</v>
      </c>
      <c r="F646" t="inlineStr">
        <is>
          <t>KALMAR LÄN</t>
        </is>
      </c>
      <c r="G646" t="inlineStr">
        <is>
          <t>EMMABODA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46290</v>
      </c>
      <c r="F647" t="inlineStr">
        <is>
          <t>KALMAR LÄN</t>
        </is>
      </c>
      <c r="G647" t="inlineStr">
        <is>
          <t>EMMABODA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11616-2025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45727</v>
      </c>
      <c r="E648" s="1" t="n">
        <v>46290</v>
      </c>
      <c r="F648" t="inlineStr">
        <is>
          <t>KALMAR LÄN</t>
        </is>
      </c>
      <c r="G648" t="inlineStr">
        <is>
          <t>EMMABODA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42448-2024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46290</v>
      </c>
      <c r="F649" t="inlineStr">
        <is>
          <t>KALMAR LÄN</t>
        </is>
      </c>
      <c r="G649" t="inlineStr">
        <is>
          <t>EMMABODA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13148-2024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45386</v>
      </c>
      <c r="E650" s="1" t="n">
        <v>46290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7719-2025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45706</v>
      </c>
      <c r="E651" s="1" t="n">
        <v>46290</v>
      </c>
      <c r="F651" t="inlineStr">
        <is>
          <t>KALMAR LÄN</t>
        </is>
      </c>
      <c r="G651" t="inlineStr">
        <is>
          <t>EMMABODA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20506-2025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45775</v>
      </c>
      <c r="E652" s="1" t="n">
        <v>46290</v>
      </c>
      <c r="F652" t="inlineStr">
        <is>
          <t>KALMAR LÄN</t>
        </is>
      </c>
      <c r="G652" t="inlineStr">
        <is>
          <t>EMMABODA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29085-2024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46290</v>
      </c>
      <c r="F653" t="inlineStr">
        <is>
          <t>KALMAR LÄN</t>
        </is>
      </c>
      <c r="G653" t="inlineStr">
        <is>
          <t>EMMABODA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42847-2024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45566</v>
      </c>
      <c r="E654" s="1" t="n">
        <v>46290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46429-2024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46290</v>
      </c>
      <c r="F655" t="inlineStr">
        <is>
          <t>KALMAR LÄN</t>
        </is>
      </c>
      <c r="G655" t="inlineStr">
        <is>
          <t>EMMABODA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46290</v>
      </c>
      <c r="F656" t="inlineStr">
        <is>
          <t>KALMAR LÄN</t>
        </is>
      </c>
      <c r="G656" t="inlineStr">
        <is>
          <t>EMMABODA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45484</v>
      </c>
      <c r="E657" s="1" t="n">
        <v>46290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45688</v>
      </c>
      <c r="E658" s="1" t="n">
        <v>46290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52913-2024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45610</v>
      </c>
      <c r="E659" s="1" t="n">
        <v>46290</v>
      </c>
      <c r="F659" t="inlineStr">
        <is>
          <t>KALMAR LÄN</t>
        </is>
      </c>
      <c r="G659" t="inlineStr">
        <is>
          <t>EMMABODA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15281-2024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45400</v>
      </c>
      <c r="E660" s="1" t="n">
        <v>46290</v>
      </c>
      <c r="F660" t="inlineStr">
        <is>
          <t>KALMAR LÄN</t>
        </is>
      </c>
      <c r="G660" t="inlineStr">
        <is>
          <t>EMMABODA</t>
        </is>
      </c>
      <c r="I660" t="n">
        <v>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46527-2025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45926</v>
      </c>
      <c r="E661" s="1" t="n">
        <v>46290</v>
      </c>
      <c r="F661" t="inlineStr">
        <is>
          <t>KALMAR LÄN</t>
        </is>
      </c>
      <c r="G661" t="inlineStr">
        <is>
          <t>EMMABODA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23776-2024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45455</v>
      </c>
      <c r="E662" s="1" t="n">
        <v>46290</v>
      </c>
      <c r="F662" t="inlineStr">
        <is>
          <t>KALMAR LÄN</t>
        </is>
      </c>
      <c r="G662" t="inlineStr">
        <is>
          <t>EMMABODA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46288</v>
      </c>
      <c r="E663" s="1" t="n">
        <v>46290</v>
      </c>
      <c r="F663" t="inlineStr">
        <is>
          <t>KALMAR LÄN</t>
        </is>
      </c>
      <c r="G663" t="inlineStr">
        <is>
          <t>EMMABODA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33160-2026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46245</v>
      </c>
      <c r="E664" s="1" t="n">
        <v>46290</v>
      </c>
      <c r="F664" t="inlineStr">
        <is>
          <t>KALMAR LÄN</t>
        </is>
      </c>
      <c r="G664" t="inlineStr">
        <is>
          <t>EMMABODA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45665</v>
      </c>
      <c r="E665" s="1" t="n">
        <v>46290</v>
      </c>
      <c r="F665" t="inlineStr">
        <is>
          <t>KALMAR LÄN</t>
        </is>
      </c>
      <c r="G665" t="inlineStr">
        <is>
          <t>EMMABODA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8397-2023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44977</v>
      </c>
      <c r="E666" s="1" t="n">
        <v>46290</v>
      </c>
      <c r="F666" t="inlineStr">
        <is>
          <t>KALMAR LÄN</t>
        </is>
      </c>
      <c r="G666" t="inlineStr">
        <is>
          <t>EMMABODA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45537</v>
      </c>
      <c r="E667" s="1" t="n">
        <v>46290</v>
      </c>
      <c r="F667" t="inlineStr">
        <is>
          <t>KALMAR LÄN</t>
        </is>
      </c>
      <c r="G667" t="inlineStr">
        <is>
          <t>EMMABODA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39249-2026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46288</v>
      </c>
      <c r="E668" s="1" t="n">
        <v>46290</v>
      </c>
      <c r="F668" t="inlineStr">
        <is>
          <t>KALMAR LÄN</t>
        </is>
      </c>
      <c r="G668" t="inlineStr">
        <is>
          <t>EMMABODA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4947-2023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44958</v>
      </c>
      <c r="E669" s="1" t="n">
        <v>46290</v>
      </c>
      <c r="F669" t="inlineStr">
        <is>
          <t>KALMAR LÄN</t>
        </is>
      </c>
      <c r="G669" t="inlineStr">
        <is>
          <t>EMMABODA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25316-2025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46290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45804</v>
      </c>
      <c r="E671" s="1" t="n">
        <v>46290</v>
      </c>
      <c r="F671" t="inlineStr">
        <is>
          <t>KALMAR LÄN</t>
        </is>
      </c>
      <c r="G671" t="inlineStr">
        <is>
          <t>EMMABODA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27533-2025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45813</v>
      </c>
      <c r="E672" s="1" t="n">
        <v>46290</v>
      </c>
      <c r="F672" t="inlineStr">
        <is>
          <t>KALMAR LÄN</t>
        </is>
      </c>
      <c r="G672" t="inlineStr">
        <is>
          <t>EMMABODA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29807-2025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46290</v>
      </c>
      <c r="F673" t="inlineStr">
        <is>
          <t>KALMAR LÄN</t>
        </is>
      </c>
      <c r="G673" t="inlineStr">
        <is>
          <t>EMMABODA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46290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29886-2025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45826</v>
      </c>
      <c r="E675" s="1" t="n">
        <v>46290</v>
      </c>
      <c r="F675" t="inlineStr">
        <is>
          <t>KALMAR LÄN</t>
        </is>
      </c>
      <c r="G675" t="inlineStr">
        <is>
          <t>EMMABODA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30118-2025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45826</v>
      </c>
      <c r="E676" s="1" t="n">
        <v>46290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29875-2025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45826</v>
      </c>
      <c r="E677" s="1" t="n">
        <v>46290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29874-2025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46290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29879-2025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46290</v>
      </c>
      <c r="F679" t="inlineStr">
        <is>
          <t>KALMAR LÄN</t>
        </is>
      </c>
      <c r="G679" t="inlineStr">
        <is>
          <t>EMMABODA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46290</v>
      </c>
      <c r="F680" t="inlineStr">
        <is>
          <t>KALMAR LÄN</t>
        </is>
      </c>
      <c r="G680" t="inlineStr">
        <is>
          <t>EMMABODA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45835</v>
      </c>
      <c r="E681" s="1" t="n">
        <v>46290</v>
      </c>
      <c r="F681" t="inlineStr">
        <is>
          <t>KALMAR LÄN</t>
        </is>
      </c>
      <c r="G681" t="inlineStr">
        <is>
          <t>EMMABODA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26111-2025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46290</v>
      </c>
      <c r="F682" t="inlineStr">
        <is>
          <t>KALMAR LÄN</t>
        </is>
      </c>
      <c r="G682" t="inlineStr">
        <is>
          <t>EMMABODA</t>
        </is>
      </c>
      <c r="I682" t="n">
        <v>12.5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34055-2025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45845</v>
      </c>
      <c r="E683" s="1" t="n">
        <v>46290</v>
      </c>
      <c r="F683" t="inlineStr">
        <is>
          <t>KALMAR LÄN</t>
        </is>
      </c>
      <c r="G683" t="inlineStr">
        <is>
          <t>EMMABODA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55604-2024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45621</v>
      </c>
      <c r="E684" s="1" t="n">
        <v>46290</v>
      </c>
      <c r="F684" t="inlineStr">
        <is>
          <t>KALMAR LÄN</t>
        </is>
      </c>
      <c r="G684" t="inlineStr">
        <is>
          <t>EMMABODA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46290</v>
      </c>
      <c r="F685" t="inlineStr">
        <is>
          <t>KALMAR LÄN</t>
        </is>
      </c>
      <c r="G685" t="inlineStr">
        <is>
          <t>EMMABODA</t>
        </is>
      </c>
      <c r="I685" t="n">
        <v>9.300000000000001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45849</v>
      </c>
      <c r="E686" s="1" t="n">
        <v>46290</v>
      </c>
      <c r="F686" t="inlineStr">
        <is>
          <t>KALMAR LÄN</t>
        </is>
      </c>
      <c r="G686" t="inlineStr">
        <is>
          <t>EMMABODA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20511-2025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45775</v>
      </c>
      <c r="E687" s="1" t="n">
        <v>46290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9715-2025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45716</v>
      </c>
      <c r="E688" s="1" t="n">
        <v>46290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35020-2025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45851</v>
      </c>
      <c r="E689" s="1" t="n">
        <v>46290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35021-2025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45851</v>
      </c>
      <c r="E690" s="1" t="n">
        <v>46290</v>
      </c>
      <c r="F690" t="inlineStr">
        <is>
          <t>KALMAR LÄN</t>
        </is>
      </c>
      <c r="G690" t="inlineStr">
        <is>
          <t>EMMABODA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20053-2025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45772</v>
      </c>
      <c r="E691" s="1" t="n">
        <v>46290</v>
      </c>
      <c r="F691" t="inlineStr">
        <is>
          <t>KALMAR LÄN</t>
        </is>
      </c>
      <c r="G691" t="inlineStr">
        <is>
          <t>EMMABODA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35592-2025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45857</v>
      </c>
      <c r="E692" s="1" t="n">
        <v>46290</v>
      </c>
      <c r="F692" t="inlineStr">
        <is>
          <t>KALMAR LÄN</t>
        </is>
      </c>
      <c r="G692" t="inlineStr">
        <is>
          <t>EMMABODA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45863</v>
      </c>
      <c r="E693" s="1" t="n">
        <v>46290</v>
      </c>
      <c r="F693" t="inlineStr">
        <is>
          <t>KALMAR LÄN</t>
        </is>
      </c>
      <c r="G693" t="inlineStr">
        <is>
          <t>EMMABODA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45750</v>
      </c>
      <c r="E694" s="1" t="n">
        <v>46290</v>
      </c>
      <c r="F694" t="inlineStr">
        <is>
          <t>KALMAR LÄN</t>
        </is>
      </c>
      <c r="G694" t="inlineStr">
        <is>
          <t>EMMABODA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7596-2021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44476</v>
      </c>
      <c r="E695" s="1" t="n">
        <v>46290</v>
      </c>
      <c r="F695" t="inlineStr">
        <is>
          <t>KALMAR LÄN</t>
        </is>
      </c>
      <c r="G695" t="inlineStr">
        <is>
          <t>EMMABODA</t>
        </is>
      </c>
      <c r="I695" t="n">
        <v>35.3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3248-2023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46290</v>
      </c>
      <c r="F696" t="inlineStr">
        <is>
          <t>KALMAR LÄN</t>
        </is>
      </c>
      <c r="G696" t="inlineStr">
        <is>
          <t>EMMABODA</t>
        </is>
      </c>
      <c r="I696" t="n">
        <v>30.4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393-2023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44959</v>
      </c>
      <c r="E697" s="1" t="n">
        <v>46290</v>
      </c>
      <c r="F697" t="inlineStr">
        <is>
          <t>KALMAR LÄN</t>
        </is>
      </c>
      <c r="G697" t="inlineStr">
        <is>
          <t>EMMABODA</t>
        </is>
      </c>
      <c r="I697" t="n">
        <v>14.2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3275-2023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45194</v>
      </c>
      <c r="E698" s="1" t="n">
        <v>46290</v>
      </c>
      <c r="F698" t="inlineStr">
        <is>
          <t>KALMAR LÄN</t>
        </is>
      </c>
      <c r="G698" t="inlineStr">
        <is>
          <t>EMMABODA</t>
        </is>
      </c>
      <c r="I698" t="n">
        <v>18.8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916-2024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45377</v>
      </c>
      <c r="E699" s="1" t="n">
        <v>46290</v>
      </c>
      <c r="F699" t="inlineStr">
        <is>
          <t>KALMAR LÄN</t>
        </is>
      </c>
      <c r="G699" t="inlineStr">
        <is>
          <t>EMMABODA</t>
        </is>
      </c>
      <c r="I699" t="n">
        <v>34.2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1064-2024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45387</v>
      </c>
      <c r="E700" s="1" t="n">
        <v>46290</v>
      </c>
      <c r="F700" t="inlineStr">
        <is>
          <t>KALMAR LÄN</t>
        </is>
      </c>
      <c r="G700" t="inlineStr">
        <is>
          <t>EMMABODA</t>
        </is>
      </c>
      <c r="I700" t="n">
        <v>14.4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7020-2022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44903</v>
      </c>
      <c r="E701" s="1" t="n">
        <v>46290</v>
      </c>
      <c r="F701" t="inlineStr">
        <is>
          <t>KALMAR LÄN</t>
        </is>
      </c>
      <c r="G701" t="inlineStr">
        <is>
          <t>EMMABODA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6951-2022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44900</v>
      </c>
      <c r="E702" s="1" t="n">
        <v>46290</v>
      </c>
      <c r="F702" t="inlineStr">
        <is>
          <t>KALMAR LÄN</t>
        </is>
      </c>
      <c r="G702" t="inlineStr">
        <is>
          <t>EMMABODA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5811-2022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44852</v>
      </c>
      <c r="E703" s="1" t="n">
        <v>46290</v>
      </c>
      <c r="F703" t="inlineStr">
        <is>
          <t>KALMAR LÄN</t>
        </is>
      </c>
      <c r="G703" t="inlineStr">
        <is>
          <t>EMMABODA</t>
        </is>
      </c>
      <c r="I703" t="n">
        <v>20.2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3326-2023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45200</v>
      </c>
      <c r="E704" s="1" t="n">
        <v>46290</v>
      </c>
      <c r="F704" t="inlineStr">
        <is>
          <t>KALMAR LÄN</t>
        </is>
      </c>
      <c r="G704" t="inlineStr">
        <is>
          <t>EMMABODA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3397-2024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45534</v>
      </c>
      <c r="E705" s="1" t="n">
        <v>46290</v>
      </c>
      <c r="F705" t="inlineStr">
        <is>
          <t>KALMAR LÄN</t>
        </is>
      </c>
      <c r="G705" t="inlineStr">
        <is>
          <t>EMMABODA</t>
        </is>
      </c>
      <c r="I705" t="n">
        <v>49.9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3244-2023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45191</v>
      </c>
      <c r="E706" s="1" t="n">
        <v>46290</v>
      </c>
      <c r="F706" t="inlineStr">
        <is>
          <t>KALMAR LÄN</t>
        </is>
      </c>
      <c r="G706" t="inlineStr">
        <is>
          <t>EMMABODA</t>
        </is>
      </c>
      <c r="I706" t="n">
        <v>86.2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46290</v>
      </c>
      <c r="F707" t="inlineStr">
        <is>
          <t>KALMAR LÄN</t>
        </is>
      </c>
      <c r="G707" t="inlineStr">
        <is>
          <t>EMMABODA</t>
        </is>
      </c>
      <c r="I707" t="n">
        <v>25.2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4594-2023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45287</v>
      </c>
      <c r="E708" s="1" t="n">
        <v>46290</v>
      </c>
      <c r="F708" t="inlineStr">
        <is>
          <t>KALMAR LÄN</t>
        </is>
      </c>
      <c r="G708" t="inlineStr">
        <is>
          <t>EMMABODA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1017-2024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46290</v>
      </c>
      <c r="F709" t="inlineStr">
        <is>
          <t>KALMAR LÄN</t>
        </is>
      </c>
      <c r="G709" t="inlineStr">
        <is>
          <t>EMMABODA</t>
        </is>
      </c>
      <c r="I709" t="n">
        <v>70.90000000000001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1014-2024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46290</v>
      </c>
      <c r="F710" t="inlineStr">
        <is>
          <t>KALMAR LÄN</t>
        </is>
      </c>
      <c r="G710" t="inlineStr">
        <is>
          <t>EMMABODA</t>
        </is>
      </c>
      <c r="I710" t="n">
        <v>21.8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46290</v>
      </c>
      <c r="F711" t="inlineStr">
        <is>
          <t>KALMAR LÄN</t>
        </is>
      </c>
      <c r="G711" t="inlineStr">
        <is>
          <t>EMMABODA</t>
        </is>
      </c>
      <c r="I711" t="n">
        <v>17.9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46290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46290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46290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46290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46290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46290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46290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46290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46290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46290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46290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46290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46290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46290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46290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46290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46290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46290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46290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46290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46290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46290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46290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46290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46290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46290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46290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46290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46290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46290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46290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2395-2026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46276</v>
      </c>
      <c r="E743" s="1" t="n">
        <v>46290</v>
      </c>
      <c r="F743" t="inlineStr">
        <is>
          <t>KALMAR LÄN</t>
        </is>
      </c>
      <c r="G743" t="inlineStr">
        <is>
          <t>EMMABODA</t>
        </is>
      </c>
      <c r="H743" t="inlineStr">
        <is>
          <t>Kyrkan</t>
        </is>
      </c>
      <c r="I743" t="n">
        <v>113.3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2471-2026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46283</v>
      </c>
      <c r="E744" s="1" t="n">
        <v>46290</v>
      </c>
      <c r="F744" t="inlineStr">
        <is>
          <t>KALMAR LÄN</t>
        </is>
      </c>
      <c r="G744" t="inlineStr">
        <is>
          <t>EMMABODA</t>
        </is>
      </c>
      <c r="I744" t="n">
        <v>70.90000000000001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2480-2026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46286</v>
      </c>
      <c r="E745" s="1" t="n">
        <v>46290</v>
      </c>
      <c r="F745" t="inlineStr">
        <is>
          <t>KALMAR LÄN</t>
        </is>
      </c>
      <c r="G745" t="inlineStr">
        <is>
          <t>EMMABODA</t>
        </is>
      </c>
      <c r="I745" t="n">
        <v>23.1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2026-09-25T02:01:43Z</dcterms:created>
  <dcterms:modified xmlns:dcterms="http://purl.org/dc/terms/" xmlns:xsi="http://www.w3.org/2001/XMLSchema-instance" xsi:type="dcterms:W3CDTF">2026-09-25T02:01:44Z</dcterms:modified>
</cp:coreProperties>
</file>