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46271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46271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46271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46271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46271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46271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46271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46271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46271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46271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46271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46271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46271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46271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46271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46271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46271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6612-2023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44966</v>
      </c>
      <c r="E24" s="1" t="n">
        <v>46271</v>
      </c>
      <c r="F24" t="inlineStr">
        <is>
          <t>KALMAR LÄN</t>
        </is>
      </c>
      <c r="G24" t="inlineStr">
        <is>
          <t>EMMABODA</t>
        </is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HYPERLINK("https://klasma.github.io/Logging_0862/artfynd/A 6612-2023 artfynd.xlsx", "A 6612-2023")</f>
        <v/>
      </c>
      <c r="X24">
        <f>HYPERLINK("https://klasma.github.io/Logging_0862/kartor/A 6612-2023 karta.png", "A 6612-2023")</f>
        <v/>
      </c>
      <c r="Y24">
        <f>HYPERLINK("https://klasma.github.io/Logging_0862/kartor_geotiff/A 6612-2023 georefererad karta.tif", "A 6612-2023")</f>
        <v/>
      </c>
      <c r="AA24">
        <f>HYPERLINK("https://klasma.github.io/Logging_0862/klagomål/A 6612-2023 FSC-klagomål.docx", "A 6612-2023")</f>
        <v/>
      </c>
      <c r="AB24">
        <f>HYPERLINK("https://klasma.github.io/Logging_0862/klagomålsmail/A 6612-2023 FSC-klagomål mail.docx", "A 6612-2023")</f>
        <v/>
      </c>
      <c r="AC24">
        <f>HYPERLINK("https://klasma.github.io/Logging_0862/tillsyn/A 6612-2023 tillsynsbegäran.docx", "A 6612-2023")</f>
        <v/>
      </c>
      <c r="AD24">
        <f>HYPERLINK("https://klasma.github.io/Logging_0862/tillsynsmail/A 6612-2023 tillsynsbegäran mail.docx", "A 6612-2023")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46271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46271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46271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46271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46271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6247-2026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46271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HYPERLINK("https://klasma.github.io/Logging_0862/artfynd/A 6247-2026 artfynd.xlsx", "A 6247-2026")</f>
        <v/>
      </c>
      <c r="X30">
        <f>HYPERLINK("https://klasma.github.io/Logging_0862/kartor/A 6247-2026 karta.png", "A 6247-2026")</f>
        <v/>
      </c>
      <c r="Y30">
        <f>HYPERLINK("https://klasma.github.io/Logging_0862/kartor_geotiff/A 6247-2026 georefererad karta.tif", "A 6247-2026")</f>
        <v/>
      </c>
      <c r="AA30">
        <f>HYPERLINK("https://klasma.github.io/Logging_0862/klagomål/A 6247-2026 FSC-klagomål.docx", "A 6247-2026")</f>
        <v/>
      </c>
      <c r="AB30">
        <f>HYPERLINK("https://klasma.github.io/Logging_0862/klagomålsmail/A 6247-2026 FSC-klagomål mail.docx", "A 6247-2026")</f>
        <v/>
      </c>
      <c r="AC30">
        <f>HYPERLINK("https://klasma.github.io/Logging_0862/tillsyn/A 6247-2026 tillsynsbegäran.docx", "A 6247-2026")</f>
        <v/>
      </c>
      <c r="AD30">
        <f>HYPERLINK("https://klasma.github.io/Logging_0862/tillsynsmail/A 6247-2026 tillsynsbegäran mail.docx", "A 6247-2026")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46271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46271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46271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46271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46271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46271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46271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31226-2022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44771</v>
      </c>
      <c r="E38" s="1" t="n">
        <v>46271</v>
      </c>
      <c r="F38" t="inlineStr">
        <is>
          <t>KALMAR LÄN</t>
        </is>
      </c>
      <c r="G38" t="inlineStr">
        <is>
          <t>EMMABODA</t>
        </is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Lappuggla</t>
        </is>
      </c>
      <c r="W38">
        <f>HYPERLINK("https://klasma.github.io/Logging_0862/artfynd/A 31226-2022 artfynd.xlsx", "A 31226-2022")</f>
        <v/>
      </c>
      <c r="X38">
        <f>HYPERLINK("https://klasma.github.io/Logging_0862/kartor/A 31226-2022 karta.png", "A 31226-2022")</f>
        <v/>
      </c>
      <c r="Y38">
        <f>HYPERLINK("https://klasma.github.io/Logging_0862/kartor_geotiff/A 31226-2022 georefererad karta.tif", "A 31226-2022")</f>
        <v/>
      </c>
      <c r="AA38">
        <f>HYPERLINK("https://klasma.github.io/Logging_0862/klagomål/A 31226-2022 FSC-klagomål.docx", "A 31226-2022")</f>
        <v/>
      </c>
      <c r="AB38">
        <f>HYPERLINK("https://klasma.github.io/Logging_0862/klagomålsmail/A 31226-2022 FSC-klagomål mail.docx", "A 31226-2022")</f>
        <v/>
      </c>
      <c r="AC38">
        <f>HYPERLINK("https://klasma.github.io/Logging_0862/tillsyn/A 31226-2022 tillsynsbegäran.docx", "A 31226-2022")</f>
        <v/>
      </c>
      <c r="AD38">
        <f>HYPERLINK("https://klasma.github.io/Logging_0862/tillsynsmail/A 31226-2022 tillsynsbegäran mail.docx", "A 31226-2022")</f>
        <v/>
      </c>
      <c r="AE38">
        <f>HYPERLINK("https://klasma.github.io/Logging_0862/fåglar/A 31226-2022 prioriterade fågelarter.docx", "A 31226-2022")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46271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29859-2023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46271</v>
      </c>
      <c r="F40" t="inlineStr">
        <is>
          <t>KALMAR LÄN</t>
        </is>
      </c>
      <c r="G40" t="inlineStr">
        <is>
          <t>EMMABODA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HYPERLINK("https://klasma.github.io/Logging_0862/artfynd/A 29859-2023 artfynd.xlsx", "A 29859-2023")</f>
        <v/>
      </c>
      <c r="X40">
        <f>HYPERLINK("https://klasma.github.io/Logging_0862/kartor/A 29859-2023 karta.png", "A 29859-2023")</f>
        <v/>
      </c>
      <c r="Y40">
        <f>HYPERLINK("https://klasma.github.io/Logging_0862/kartor_geotiff/A 29859-2023 georefererad karta.tif", "A 29859-2023")</f>
        <v/>
      </c>
      <c r="AA40">
        <f>HYPERLINK("https://klasma.github.io/Logging_0862/klagomål/A 29859-2023 FSC-klagomål.docx", "A 29859-2023")</f>
        <v/>
      </c>
      <c r="AB40">
        <f>HYPERLINK("https://klasma.github.io/Logging_0862/klagomålsmail/A 29859-2023 FSC-klagomål mail.docx", "A 29859-2023")</f>
        <v/>
      </c>
      <c r="AC40">
        <f>HYPERLINK("https://klasma.github.io/Logging_0862/tillsyn/A 29859-2023 tillsynsbegäran.docx", "A 29859-2023")</f>
        <v/>
      </c>
      <c r="AD40">
        <f>HYPERLINK("https://klasma.github.io/Logging_0862/tillsynsmail/A 29859-2023 tillsynsbegäran mail.docx", "A 29859-2023")</f>
        <v/>
      </c>
      <c r="AE40">
        <f>HYPERLINK("https://klasma.github.io/Logging_0862/fåglar/A 29859-2023 prioriterade fågelarter.docx", "A 29859-2023")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46271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46271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46271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58297-2021 artfynd.xlsx", "A 58297-2021")</f>
        <v/>
      </c>
      <c r="X43">
        <f>HYPERLINK("https://klasma.github.io/Logging_0862/kartor/A 58297-2021 karta.png", "A 58297-2021")</f>
        <v/>
      </c>
      <c r="Y43">
        <f>HYPERLINK("https://klasma.github.io/Logging_0862/kartor_geotiff/A 58297-2021 georefererad karta.tif", "A 58297-2021")</f>
        <v/>
      </c>
      <c r="AA43">
        <f>HYPERLINK("https://klasma.github.io/Logging_0862/klagomål/A 58297-2021 FSC-klagomål.docx", "A 58297-2021")</f>
        <v/>
      </c>
      <c r="AB43">
        <f>HYPERLINK("https://klasma.github.io/Logging_0862/klagomålsmail/A 58297-2021 FSC-klagomål mail.docx", "A 58297-2021")</f>
        <v/>
      </c>
      <c r="AC43">
        <f>HYPERLINK("https://klasma.github.io/Logging_0862/tillsyn/A 58297-2021 tillsynsbegäran.docx", "A 58297-2021")</f>
        <v/>
      </c>
      <c r="AD43">
        <f>HYPERLINK("https://klasma.github.io/Logging_0862/tillsynsmail/A 58297-2021 tillsynsbegäran mail.docx", "A 58297-2021")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46271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46271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46271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30949-2026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46271</v>
      </c>
      <c r="F47" t="inlineStr">
        <is>
          <t>KALMAR LÄN</t>
        </is>
      </c>
      <c r="G47" t="inlineStr">
        <is>
          <t>EMMABODA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dunört</t>
        </is>
      </c>
      <c r="W47">
        <f>HYPERLINK("https://klasma.github.io/Logging_0862/artfynd/A 30949-2026 artfynd.xlsx", "A 30949-2026")</f>
        <v/>
      </c>
      <c r="X47">
        <f>HYPERLINK("https://klasma.github.io/Logging_0862/kartor/A 30949-2026 karta.png", "A 30949-2026")</f>
        <v/>
      </c>
      <c r="Y47">
        <f>HYPERLINK("https://klasma.github.io/Logging_0862/kartor_geotiff/A 30949-2026 georefererad karta.tif", "A 30949-2026")</f>
        <v/>
      </c>
      <c r="AA47">
        <f>HYPERLINK("https://klasma.github.io/Logging_0862/klagomål/A 30949-2026 FSC-klagomål.docx", "A 30949-2026")</f>
        <v/>
      </c>
      <c r="AB47">
        <f>HYPERLINK("https://klasma.github.io/Logging_0862/klagomålsmail/A 30949-2026 FSC-klagomål mail.docx", "A 30949-2026")</f>
        <v/>
      </c>
      <c r="AC47">
        <f>HYPERLINK("https://klasma.github.io/Logging_0862/tillsyn/A 30949-2026 tillsynsbegäran.docx", "A 30949-2026")</f>
        <v/>
      </c>
      <c r="AD47">
        <f>HYPERLINK("https://klasma.github.io/Logging_0862/tillsynsmail/A 30949-2026 tillsynsbegäran mail.docx", "A 30949-2026")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46271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46271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46271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46271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46271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46271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46271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46271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46271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46271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46271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46271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46271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46271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46271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46271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46271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46271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46271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46271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46271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46271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46271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46271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46271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46271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46271</v>
      </c>
      <c r="F74" t="inlineStr">
        <is>
          <t>KALMAR LÄN</t>
        </is>
      </c>
      <c r="G74" t="inlineStr">
        <is>
          <t>EMMABODA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46271</v>
      </c>
      <c r="F75" t="inlineStr">
        <is>
          <t>KALMAR LÄN</t>
        </is>
      </c>
      <c r="G75" t="inlineStr">
        <is>
          <t>EMMABODA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46271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46271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44691</v>
      </c>
      <c r="E78" s="1" t="n">
        <v>46271</v>
      </c>
      <c r="F78" t="inlineStr">
        <is>
          <t>KALMAR LÄN</t>
        </is>
      </c>
      <c r="G78" t="inlineStr">
        <is>
          <t>EMMABODA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46271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46271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46271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46271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46271</v>
      </c>
      <c r="F83" t="inlineStr">
        <is>
          <t>KALMAR LÄN</t>
        </is>
      </c>
      <c r="G83" t="inlineStr">
        <is>
          <t>EMMABODA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46271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46271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46271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46271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44788</v>
      </c>
      <c r="E88" s="1" t="n">
        <v>46271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46271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46271</v>
      </c>
      <c r="F90" t="inlineStr">
        <is>
          <t>KALMAR LÄN</t>
        </is>
      </c>
      <c r="G90" t="inlineStr">
        <is>
          <t>EMMABODA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46271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46271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46271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68368-2021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46271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44813</v>
      </c>
      <c r="E95" s="1" t="n">
        <v>46271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46271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46271</v>
      </c>
      <c r="F97" t="inlineStr">
        <is>
          <t>KALMAR LÄN</t>
        </is>
      </c>
      <c r="G97" t="inlineStr">
        <is>
          <t>EMMABODA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46271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46271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46271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46271</v>
      </c>
      <c r="F101" t="inlineStr">
        <is>
          <t>KALMAR LÄN</t>
        </is>
      </c>
      <c r="G101" t="inlineStr">
        <is>
          <t>EMMABODA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44507</v>
      </c>
      <c r="E102" s="1" t="n">
        <v>46271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46271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14374-2022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46271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46271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46271</v>
      </c>
      <c r="F106" t="inlineStr">
        <is>
          <t>KALMAR LÄN</t>
        </is>
      </c>
      <c r="G106" t="inlineStr">
        <is>
          <t>EMMABODA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46271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44600</v>
      </c>
      <c r="E108" s="1" t="n">
        <v>46271</v>
      </c>
      <c r="F108" t="inlineStr">
        <is>
          <t>KALMAR LÄN</t>
        </is>
      </c>
      <c r="G108" t="inlineStr">
        <is>
          <t>EMMABODA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46271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44839</v>
      </c>
      <c r="E110" s="1" t="n">
        <v>46271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46271</v>
      </c>
      <c r="F111" t="inlineStr">
        <is>
          <t>KALMAR LÄN</t>
        </is>
      </c>
      <c r="G111" t="inlineStr">
        <is>
          <t>EMMABODA</t>
        </is>
      </c>
      <c r="H111" t="inlineStr">
        <is>
          <t>Kommuner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44622</v>
      </c>
      <c r="E112" s="1" t="n">
        <v>46271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46271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67653-2021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46271</v>
      </c>
      <c r="F114" t="inlineStr">
        <is>
          <t>KALMAR LÄN</t>
        </is>
      </c>
      <c r="G114" t="inlineStr">
        <is>
          <t>EMMABODA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46271</v>
      </c>
      <c r="F115" t="inlineStr">
        <is>
          <t>KALMAR LÄN</t>
        </is>
      </c>
      <c r="G115" t="inlineStr">
        <is>
          <t>EMMABODA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46271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69857-2021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44532</v>
      </c>
      <c r="E117" s="1" t="n">
        <v>46271</v>
      </c>
      <c r="F117" t="inlineStr">
        <is>
          <t>KALMAR LÄN</t>
        </is>
      </c>
      <c r="G117" t="inlineStr">
        <is>
          <t>EMMABODA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46271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44470</v>
      </c>
      <c r="E119" s="1" t="n">
        <v>46271</v>
      </c>
      <c r="F119" t="inlineStr">
        <is>
          <t>KALMAR LÄN</t>
        </is>
      </c>
      <c r="G119" t="inlineStr">
        <is>
          <t>EMMABODA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46271</v>
      </c>
      <c r="F120" t="inlineStr">
        <is>
          <t>KALMAR LÄN</t>
        </is>
      </c>
      <c r="G120" t="inlineStr">
        <is>
          <t>EMMABODA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44699</v>
      </c>
      <c r="E121" s="1" t="n">
        <v>46271</v>
      </c>
      <c r="F121" t="inlineStr">
        <is>
          <t>KALMAR LÄN</t>
        </is>
      </c>
      <c r="G121" t="inlineStr">
        <is>
          <t>EMMABODA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46271</v>
      </c>
      <c r="F122" t="inlineStr">
        <is>
          <t>KALMAR LÄN</t>
        </is>
      </c>
      <c r="G122" t="inlineStr">
        <is>
          <t>EMMABODA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46271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46271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46271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46271</v>
      </c>
      <c r="F126" t="inlineStr">
        <is>
          <t>KALMAR LÄN</t>
        </is>
      </c>
      <c r="G126" t="inlineStr">
        <is>
          <t>EMMABODA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44589</v>
      </c>
      <c r="E127" s="1" t="n">
        <v>46271</v>
      </c>
      <c r="F127" t="inlineStr">
        <is>
          <t>KALMAR LÄN</t>
        </is>
      </c>
      <c r="G127" t="inlineStr">
        <is>
          <t>EMMABODA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73552-2021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46271</v>
      </c>
      <c r="F128" t="inlineStr">
        <is>
          <t>KALMAR LÄN</t>
        </is>
      </c>
      <c r="G128" t="inlineStr">
        <is>
          <t>EMMABODA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46271</v>
      </c>
      <c r="F129" t="inlineStr">
        <is>
          <t>KALMAR LÄN</t>
        </is>
      </c>
      <c r="G129" t="inlineStr">
        <is>
          <t>EMMABODA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44725</v>
      </c>
      <c r="E130" s="1" t="n">
        <v>46271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46271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46271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44454</v>
      </c>
      <c r="E133" s="1" t="n">
        <v>46271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68952-2021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44530</v>
      </c>
      <c r="E134" s="1" t="n">
        <v>46271</v>
      </c>
      <c r="F134" t="inlineStr">
        <is>
          <t>KALMAR LÄN</t>
        </is>
      </c>
      <c r="G134" t="inlineStr">
        <is>
          <t>EMMABODA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44980</v>
      </c>
      <c r="E135" s="1" t="n">
        <v>46271</v>
      </c>
      <c r="F135" t="inlineStr">
        <is>
          <t>KALMAR LÄN</t>
        </is>
      </c>
      <c r="G135" t="inlineStr">
        <is>
          <t>EMMABODA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46271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45397</v>
      </c>
      <c r="E137" s="1" t="n">
        <v>46271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58156-2021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46271</v>
      </c>
      <c r="F138" t="inlineStr">
        <is>
          <t>KALMAR LÄN</t>
        </is>
      </c>
      <c r="G138" t="inlineStr">
        <is>
          <t>EMMABODA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46271</v>
      </c>
      <c r="F139" t="inlineStr">
        <is>
          <t>KALMAR LÄN</t>
        </is>
      </c>
      <c r="G139" t="inlineStr">
        <is>
          <t>EMMABODA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46271</v>
      </c>
      <c r="F140" t="inlineStr">
        <is>
          <t>KALMAR LÄN</t>
        </is>
      </c>
      <c r="G140" t="inlineStr">
        <is>
          <t>EMMABODA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46271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46271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45445</v>
      </c>
      <c r="E143" s="1" t="n">
        <v>46271</v>
      </c>
      <c r="F143" t="inlineStr">
        <is>
          <t>KALMAR LÄN</t>
        </is>
      </c>
      <c r="G143" t="inlineStr">
        <is>
          <t>EMMABODA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46271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46271</v>
      </c>
      <c r="F145" t="inlineStr">
        <is>
          <t>KALMAR LÄN</t>
        </is>
      </c>
      <c r="G145" t="inlineStr">
        <is>
          <t>EMMABODA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46271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45606</v>
      </c>
      <c r="E147" s="1" t="n">
        <v>46271</v>
      </c>
      <c r="F147" t="inlineStr">
        <is>
          <t>KALMAR LÄN</t>
        </is>
      </c>
      <c r="G147" t="inlineStr">
        <is>
          <t>EMMABODA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46271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46271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46271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46271</v>
      </c>
      <c r="F151" t="inlineStr">
        <is>
          <t>KALMAR LÄN</t>
        </is>
      </c>
      <c r="G151" t="inlineStr">
        <is>
          <t>EMMABODA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46271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46271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46271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44652</v>
      </c>
      <c r="E155" s="1" t="n">
        <v>46271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46271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46271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46271</v>
      </c>
      <c r="F158" t="inlineStr">
        <is>
          <t>KALMAR LÄN</t>
        </is>
      </c>
      <c r="G158" t="inlineStr">
        <is>
          <t>EMMABODA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46271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46271</v>
      </c>
      <c r="F160" t="inlineStr">
        <is>
          <t>KALMAR LÄN</t>
        </is>
      </c>
      <c r="G160" t="inlineStr">
        <is>
          <t>EMMABODA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46271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46271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46271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46271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66658-2021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46271</v>
      </c>
      <c r="F165" t="inlineStr">
        <is>
          <t>KALMAR LÄN</t>
        </is>
      </c>
      <c r="G165" t="inlineStr">
        <is>
          <t>EMMABODA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46271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44572</v>
      </c>
      <c r="E167" s="1" t="n">
        <v>46271</v>
      </c>
      <c r="F167" t="inlineStr">
        <is>
          <t>KALMAR LÄN</t>
        </is>
      </c>
      <c r="G167" t="inlineStr">
        <is>
          <t>EMMABODA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46271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46271</v>
      </c>
      <c r="F169" t="inlineStr">
        <is>
          <t>KALMAR LÄN</t>
        </is>
      </c>
      <c r="G169" t="inlineStr">
        <is>
          <t>EMMABODA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46271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45559</v>
      </c>
      <c r="E171" s="1" t="n">
        <v>46271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46271</v>
      </c>
      <c r="F172" t="inlineStr">
        <is>
          <t>KALMAR LÄN</t>
        </is>
      </c>
      <c r="G172" t="inlineStr">
        <is>
          <t>EMMABODA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44683</v>
      </c>
      <c r="E173" s="1" t="n">
        <v>46271</v>
      </c>
      <c r="F173" t="inlineStr">
        <is>
          <t>KALMAR LÄN</t>
        </is>
      </c>
      <c r="G173" t="inlineStr">
        <is>
          <t>EMMABODA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46271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46271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45164</v>
      </c>
      <c r="E176" s="1" t="n">
        <v>46271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46271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46271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46271</v>
      </c>
      <c r="F179" t="inlineStr">
        <is>
          <t>KALMAR LÄN</t>
        </is>
      </c>
      <c r="G179" t="inlineStr">
        <is>
          <t>EMMABODA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46271</v>
      </c>
      <c r="F180" t="inlineStr">
        <is>
          <t>KALMAR LÄN</t>
        </is>
      </c>
      <c r="G180" t="inlineStr">
        <is>
          <t>EMMABODA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46271</v>
      </c>
      <c r="F181" t="inlineStr">
        <is>
          <t>KALMAR LÄN</t>
        </is>
      </c>
      <c r="G181" t="inlineStr">
        <is>
          <t>EMMABODA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46271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45665</v>
      </c>
      <c r="E183" s="1" t="n">
        <v>46271</v>
      </c>
      <c r="F183" t="inlineStr">
        <is>
          <t>KALMAR LÄN</t>
        </is>
      </c>
      <c r="G183" t="inlineStr">
        <is>
          <t>EMMABODA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46271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46271</v>
      </c>
      <c r="F185" t="inlineStr">
        <is>
          <t>KALMAR LÄN</t>
        </is>
      </c>
      <c r="G185" t="inlineStr">
        <is>
          <t>EMMABODA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45606</v>
      </c>
      <c r="E186" s="1" t="n">
        <v>46271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8397-2023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46271</v>
      </c>
      <c r="F187" t="inlineStr">
        <is>
          <t>KALMAR LÄN</t>
        </is>
      </c>
      <c r="G187" t="inlineStr">
        <is>
          <t>EMMABODA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46271</v>
      </c>
      <c r="F188" t="inlineStr">
        <is>
          <t>KALMAR LÄN</t>
        </is>
      </c>
      <c r="G188" t="inlineStr">
        <is>
          <t>EMMABODA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46271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46271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46271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46271</v>
      </c>
      <c r="F192" t="inlineStr">
        <is>
          <t>KALMAR LÄN</t>
        </is>
      </c>
      <c r="G192" t="inlineStr">
        <is>
          <t>EMMABODA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46271</v>
      </c>
      <c r="F193" t="inlineStr">
        <is>
          <t>KALMAR LÄN</t>
        </is>
      </c>
      <c r="G193" t="inlineStr">
        <is>
          <t>EMMABODA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46271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44982</v>
      </c>
      <c r="E195" s="1" t="n">
        <v>46271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46271</v>
      </c>
      <c r="F196" t="inlineStr">
        <is>
          <t>KALMAR LÄN</t>
        </is>
      </c>
      <c r="G196" t="inlineStr">
        <is>
          <t>EMMABODA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46271</v>
      </c>
      <c r="F197" t="inlineStr">
        <is>
          <t>KALMAR LÄN</t>
        </is>
      </c>
      <c r="G197" t="inlineStr">
        <is>
          <t>EMMABODA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44834</v>
      </c>
      <c r="E198" s="1" t="n">
        <v>46271</v>
      </c>
      <c r="F198" t="inlineStr">
        <is>
          <t>KALMAR LÄN</t>
        </is>
      </c>
      <c r="G198" t="inlineStr">
        <is>
          <t>EMMABODA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44447</v>
      </c>
      <c r="E199" s="1" t="n">
        <v>46271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46271</v>
      </c>
      <c r="F200" t="inlineStr">
        <is>
          <t>KALMAR LÄN</t>
        </is>
      </c>
      <c r="G200" t="inlineStr">
        <is>
          <t>EMMABODA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44791</v>
      </c>
      <c r="E201" s="1" t="n">
        <v>46271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46271</v>
      </c>
      <c r="F202" t="inlineStr">
        <is>
          <t>KALMAR LÄN</t>
        </is>
      </c>
      <c r="G202" t="inlineStr">
        <is>
          <t>EMMABODA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46271</v>
      </c>
      <c r="F203" t="inlineStr">
        <is>
          <t>KALMAR LÄN</t>
        </is>
      </c>
      <c r="G203" t="inlineStr">
        <is>
          <t>EMMABODA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46271</v>
      </c>
      <c r="F204" t="inlineStr">
        <is>
          <t>KALMAR LÄN</t>
        </is>
      </c>
      <c r="G204" t="inlineStr">
        <is>
          <t>EMMABODA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46271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45349</v>
      </c>
      <c r="E206" s="1" t="n">
        <v>46271</v>
      </c>
      <c r="F206" t="inlineStr">
        <is>
          <t>KALMAR LÄN</t>
        </is>
      </c>
      <c r="G206" t="inlineStr">
        <is>
          <t>EMMABODA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44487</v>
      </c>
      <c r="E207" s="1" t="n">
        <v>46271</v>
      </c>
      <c r="F207" t="inlineStr">
        <is>
          <t>KALMAR LÄN</t>
        </is>
      </c>
      <c r="G207" t="inlineStr">
        <is>
          <t>EMMABODA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46271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46271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46271</v>
      </c>
      <c r="F210" t="inlineStr">
        <is>
          <t>KALMAR LÄN</t>
        </is>
      </c>
      <c r="G210" t="inlineStr">
        <is>
          <t>EMMABODA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46271</v>
      </c>
      <c r="F211" t="inlineStr">
        <is>
          <t>KALMAR LÄN</t>
        </is>
      </c>
      <c r="G211" t="inlineStr">
        <is>
          <t>EMMABODA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46271</v>
      </c>
      <c r="F212" t="inlineStr">
        <is>
          <t>KALMAR LÄN</t>
        </is>
      </c>
      <c r="G212" t="inlineStr">
        <is>
          <t>EMMABODA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46271</v>
      </c>
      <c r="F213" t="inlineStr">
        <is>
          <t>KALMAR LÄN</t>
        </is>
      </c>
      <c r="G213" t="inlineStr">
        <is>
          <t>EMMABODA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46271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45323</v>
      </c>
      <c r="E215" s="1" t="n">
        <v>46271</v>
      </c>
      <c r="F215" t="inlineStr">
        <is>
          <t>KALMAR LÄN</t>
        </is>
      </c>
      <c r="G215" t="inlineStr">
        <is>
          <t>EMMABODA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46271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46271</v>
      </c>
      <c r="F217" t="inlineStr">
        <is>
          <t>KALMAR LÄN</t>
        </is>
      </c>
      <c r="G217" t="inlineStr">
        <is>
          <t>EMMABODA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46271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46271</v>
      </c>
      <c r="F219" t="inlineStr">
        <is>
          <t>KALMAR LÄN</t>
        </is>
      </c>
      <c r="G219" t="inlineStr">
        <is>
          <t>EMMABODA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46271</v>
      </c>
      <c r="F220" t="inlineStr">
        <is>
          <t>KALMAR LÄN</t>
        </is>
      </c>
      <c r="G220" t="inlineStr">
        <is>
          <t>EMMABODA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46271</v>
      </c>
      <c r="F221" t="inlineStr">
        <is>
          <t>KALMAR LÄN</t>
        </is>
      </c>
      <c r="G221" t="inlineStr">
        <is>
          <t>EMMABODA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46271</v>
      </c>
      <c r="F222" t="inlineStr">
        <is>
          <t>KALMAR LÄN</t>
        </is>
      </c>
      <c r="G222" t="inlineStr">
        <is>
          <t>EMMABODA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46271</v>
      </c>
      <c r="F223" t="inlineStr">
        <is>
          <t>KALMAR LÄN</t>
        </is>
      </c>
      <c r="G223" t="inlineStr">
        <is>
          <t>EMMABODA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44690</v>
      </c>
      <c r="E224" s="1" t="n">
        <v>46271</v>
      </c>
      <c r="F224" t="inlineStr">
        <is>
          <t>KALMAR LÄN</t>
        </is>
      </c>
      <c r="G224" t="inlineStr">
        <is>
          <t>EMMABODA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46271</v>
      </c>
      <c r="F225" t="inlineStr">
        <is>
          <t>KALMAR LÄN</t>
        </is>
      </c>
      <c r="G225" t="inlineStr">
        <is>
          <t>EMMABODA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46271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45641</v>
      </c>
      <c r="E227" s="1" t="n">
        <v>46271</v>
      </c>
      <c r="F227" t="inlineStr">
        <is>
          <t>KALMAR LÄN</t>
        </is>
      </c>
      <c r="G227" t="inlineStr">
        <is>
          <t>EMMABODA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46271</v>
      </c>
      <c r="F228" t="inlineStr">
        <is>
          <t>KALMAR LÄN</t>
        </is>
      </c>
      <c r="G228" t="inlineStr">
        <is>
          <t>EMMABODA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46271</v>
      </c>
      <c r="F229" t="inlineStr">
        <is>
          <t>KALMAR LÄN</t>
        </is>
      </c>
      <c r="G229" t="inlineStr">
        <is>
          <t>EMMABODA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46271</v>
      </c>
      <c r="F230" t="inlineStr">
        <is>
          <t>KALMAR LÄN</t>
        </is>
      </c>
      <c r="G230" t="inlineStr">
        <is>
          <t>EMMABODA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46271</v>
      </c>
      <c r="F231" t="inlineStr">
        <is>
          <t>KALMAR LÄN</t>
        </is>
      </c>
      <c r="G231" t="inlineStr">
        <is>
          <t>EMMABODA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62733-2021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44504</v>
      </c>
      <c r="E232" s="1" t="n">
        <v>46271</v>
      </c>
      <c r="F232" t="inlineStr">
        <is>
          <t>KALMAR LÄN</t>
        </is>
      </c>
      <c r="G232" t="inlineStr">
        <is>
          <t>EMMABODA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46271</v>
      </c>
      <c r="F233" t="inlineStr">
        <is>
          <t>KALMAR LÄN</t>
        </is>
      </c>
      <c r="G233" t="inlineStr">
        <is>
          <t>EMMABODA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46271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46271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46271</v>
      </c>
      <c r="F236" t="inlineStr">
        <is>
          <t>KALMAR LÄN</t>
        </is>
      </c>
      <c r="G236" t="inlineStr">
        <is>
          <t>EMMABODA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46271</v>
      </c>
      <c r="F237" t="inlineStr">
        <is>
          <t>KALMAR LÄN</t>
        </is>
      </c>
      <c r="G237" t="inlineStr">
        <is>
          <t>EMMABODA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44799</v>
      </c>
      <c r="E238" s="1" t="n">
        <v>46271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37060-2023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45155</v>
      </c>
      <c r="E239" s="1" t="n">
        <v>46271</v>
      </c>
      <c r="F239" t="inlineStr">
        <is>
          <t>KALMAR LÄN</t>
        </is>
      </c>
      <c r="G239" t="inlineStr">
        <is>
          <t>EMMABODA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46271</v>
      </c>
      <c r="F240" t="inlineStr">
        <is>
          <t>KALMAR LÄN</t>
        </is>
      </c>
      <c r="G240" t="inlineStr">
        <is>
          <t>EMMABODA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46271</v>
      </c>
      <c r="F241" t="inlineStr">
        <is>
          <t>KALMAR LÄN</t>
        </is>
      </c>
      <c r="G241" t="inlineStr">
        <is>
          <t>EMMABODA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46271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46271</v>
      </c>
      <c r="F243" t="inlineStr">
        <is>
          <t>KALMAR LÄN</t>
        </is>
      </c>
      <c r="G243" t="inlineStr">
        <is>
          <t>EMMABODA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46271</v>
      </c>
      <c r="F244" t="inlineStr">
        <is>
          <t>KALMAR LÄN</t>
        </is>
      </c>
      <c r="G244" t="inlineStr">
        <is>
          <t>EMMABODA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46271</v>
      </c>
      <c r="F245" t="inlineStr">
        <is>
          <t>KALMAR LÄN</t>
        </is>
      </c>
      <c r="G245" t="inlineStr">
        <is>
          <t>EMMABODA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46271</v>
      </c>
      <c r="F246" t="inlineStr">
        <is>
          <t>KALMAR LÄN</t>
        </is>
      </c>
      <c r="G246" t="inlineStr">
        <is>
          <t>EMMABODA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44852</v>
      </c>
      <c r="E247" s="1" t="n">
        <v>46271</v>
      </c>
      <c r="F247" t="inlineStr">
        <is>
          <t>KALMAR LÄN</t>
        </is>
      </c>
      <c r="G247" t="inlineStr">
        <is>
          <t>EMMABODA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46271</v>
      </c>
      <c r="F248" t="inlineStr">
        <is>
          <t>KALMAR LÄN</t>
        </is>
      </c>
      <c r="G248" t="inlineStr">
        <is>
          <t>EMMABODA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45433</v>
      </c>
      <c r="E249" s="1" t="n">
        <v>46271</v>
      </c>
      <c r="F249" t="inlineStr">
        <is>
          <t>KALMAR LÄN</t>
        </is>
      </c>
      <c r="G249" t="inlineStr">
        <is>
          <t>EMMABODA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46271</v>
      </c>
      <c r="F250" t="inlineStr">
        <is>
          <t>KALMAR LÄN</t>
        </is>
      </c>
      <c r="G250" t="inlineStr">
        <is>
          <t>EMMABODA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44953</v>
      </c>
      <c r="E251" s="1" t="n">
        <v>46271</v>
      </c>
      <c r="F251" t="inlineStr">
        <is>
          <t>KALMAR LÄN</t>
        </is>
      </c>
      <c r="G251" t="inlineStr">
        <is>
          <t>EMMABODA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46271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46271</v>
      </c>
      <c r="F253" t="inlineStr">
        <is>
          <t>KALMAR LÄN</t>
        </is>
      </c>
      <c r="G253" t="inlineStr">
        <is>
          <t>EMMABODA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46271</v>
      </c>
      <c r="F254" t="inlineStr">
        <is>
          <t>KALMAR LÄN</t>
        </is>
      </c>
      <c r="G254" t="inlineStr">
        <is>
          <t>EMMABODA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45921</v>
      </c>
      <c r="E255" s="1" t="n">
        <v>46271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34055-2025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45845</v>
      </c>
      <c r="E256" s="1" t="n">
        <v>46271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46271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45621</v>
      </c>
      <c r="E258" s="1" t="n">
        <v>46271</v>
      </c>
      <c r="F258" t="inlineStr">
        <is>
          <t>KALMAR LÄN</t>
        </is>
      </c>
      <c r="G258" t="inlineStr">
        <is>
          <t>EMMABODA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46271</v>
      </c>
      <c r="F259" t="inlineStr">
        <is>
          <t>KALMAR LÄN</t>
        </is>
      </c>
      <c r="G259" t="inlineStr">
        <is>
          <t>EMMABODA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63180-2021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44507</v>
      </c>
      <c r="E260" s="1" t="n">
        <v>46271</v>
      </c>
      <c r="F260" t="inlineStr">
        <is>
          <t>KALMAR LÄN</t>
        </is>
      </c>
      <c r="G260" t="inlineStr">
        <is>
          <t>EMMABODA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54482-2021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46271</v>
      </c>
      <c r="F261" t="inlineStr">
        <is>
          <t>KALMAR LÄN</t>
        </is>
      </c>
      <c r="G261" t="inlineStr">
        <is>
          <t>EMMABODA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44432-2023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46271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46271</v>
      </c>
      <c r="F263" t="inlineStr">
        <is>
          <t>KALMAR LÄN</t>
        </is>
      </c>
      <c r="G263" t="inlineStr">
        <is>
          <t>EMMABODA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46271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46271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46271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46271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35020-2025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45851</v>
      </c>
      <c r="E268" s="1" t="n">
        <v>46271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45851</v>
      </c>
      <c r="E269" s="1" t="n">
        <v>46271</v>
      </c>
      <c r="F269" t="inlineStr">
        <is>
          <t>KALMAR LÄN</t>
        </is>
      </c>
      <c r="G269" t="inlineStr">
        <is>
          <t>EMMABODA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46271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45772</v>
      </c>
      <c r="E271" s="1" t="n">
        <v>46271</v>
      </c>
      <c r="F271" t="inlineStr">
        <is>
          <t>KALMAR LÄN</t>
        </is>
      </c>
      <c r="G271" t="inlineStr">
        <is>
          <t>EMMABODA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44619</v>
      </c>
      <c r="E272" s="1" t="n">
        <v>46271</v>
      </c>
      <c r="F272" t="inlineStr">
        <is>
          <t>KALMAR LÄN</t>
        </is>
      </c>
      <c r="G272" t="inlineStr">
        <is>
          <t>EMMABODA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45434</v>
      </c>
      <c r="E273" s="1" t="n">
        <v>46271</v>
      </c>
      <c r="F273" t="inlineStr">
        <is>
          <t>KALMAR LÄN</t>
        </is>
      </c>
      <c r="G273" t="inlineStr">
        <is>
          <t>EMMABODA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35592-2025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45857</v>
      </c>
      <c r="E274" s="1" t="n">
        <v>46271</v>
      </c>
      <c r="F274" t="inlineStr">
        <is>
          <t>KALMAR LÄN</t>
        </is>
      </c>
      <c r="G274" t="inlineStr">
        <is>
          <t>EMMABODA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46271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59468-2022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46271</v>
      </c>
      <c r="F276" t="inlineStr">
        <is>
          <t>KALMAR LÄN</t>
        </is>
      </c>
      <c r="G276" t="inlineStr">
        <is>
          <t>EMMABODA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46271</v>
      </c>
      <c r="F277" t="inlineStr">
        <is>
          <t>KALMAR LÄN</t>
        </is>
      </c>
      <c r="G277" t="inlineStr">
        <is>
          <t>EMMABODA</t>
        </is>
      </c>
      <c r="H277" t="inlineStr">
        <is>
          <t>Kommuner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46271</v>
      </c>
      <c r="F278" t="inlineStr">
        <is>
          <t>KALMAR LÄN</t>
        </is>
      </c>
      <c r="G278" t="inlineStr">
        <is>
          <t>EMMABODA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45863</v>
      </c>
      <c r="E279" s="1" t="n">
        <v>46271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46271</v>
      </c>
      <c r="F280" t="inlineStr">
        <is>
          <t>KALMAR LÄN</t>
        </is>
      </c>
      <c r="G280" t="inlineStr">
        <is>
          <t>EMMABODA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46271</v>
      </c>
      <c r="F281" t="inlineStr">
        <is>
          <t>KALMAR LÄN</t>
        </is>
      </c>
      <c r="G281" t="inlineStr">
        <is>
          <t>EMMABODA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46271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46271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45132</v>
      </c>
      <c r="E284" s="1" t="n">
        <v>46271</v>
      </c>
      <c r="F284" t="inlineStr">
        <is>
          <t>KALMAR LÄN</t>
        </is>
      </c>
      <c r="G284" t="inlineStr">
        <is>
          <t>EMMABODA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46271</v>
      </c>
      <c r="F285" t="inlineStr">
        <is>
          <t>KALMAR LÄN</t>
        </is>
      </c>
      <c r="G285" t="inlineStr">
        <is>
          <t>EMMABODA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46271</v>
      </c>
      <c r="F286" t="inlineStr">
        <is>
          <t>KALMAR LÄN</t>
        </is>
      </c>
      <c r="G286" t="inlineStr">
        <is>
          <t>EMMABODA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46271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46271</v>
      </c>
      <c r="F288" t="inlineStr">
        <is>
          <t>KALMAR LÄN</t>
        </is>
      </c>
      <c r="G288" t="inlineStr">
        <is>
          <t>EMMABODA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46271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66662-2021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44519</v>
      </c>
      <c r="E290" s="1" t="n">
        <v>46271</v>
      </c>
      <c r="F290" t="inlineStr">
        <is>
          <t>KALMAR LÄN</t>
        </is>
      </c>
      <c r="G290" t="inlineStr">
        <is>
          <t>EMMABODA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46271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45102</v>
      </c>
      <c r="E292" s="1" t="n">
        <v>46271</v>
      </c>
      <c r="F292" t="inlineStr">
        <is>
          <t>KALMAR LÄN</t>
        </is>
      </c>
      <c r="G292" t="inlineStr">
        <is>
          <t>EMMABODA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44839</v>
      </c>
      <c r="E293" s="1" t="n">
        <v>46271</v>
      </c>
      <c r="F293" t="inlineStr">
        <is>
          <t>KALMAR LÄN</t>
        </is>
      </c>
      <c r="G293" t="inlineStr">
        <is>
          <t>EMMABODA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46271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46271</v>
      </c>
      <c r="F295" t="inlineStr">
        <is>
          <t>KALMAR LÄN</t>
        </is>
      </c>
      <c r="G295" t="inlineStr">
        <is>
          <t>EMMABODA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46271</v>
      </c>
      <c r="F296" t="inlineStr">
        <is>
          <t>KALMAR LÄN</t>
        </is>
      </c>
      <c r="G296" t="inlineStr">
        <is>
          <t>EMMABODA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46271</v>
      </c>
      <c r="F297" t="inlineStr">
        <is>
          <t>KALMAR LÄN</t>
        </is>
      </c>
      <c r="G297" t="inlineStr">
        <is>
          <t>EMMABODA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46271</v>
      </c>
      <c r="F298" t="inlineStr">
        <is>
          <t>KALMAR LÄN</t>
        </is>
      </c>
      <c r="G298" t="inlineStr">
        <is>
          <t>EMMABODA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44979</v>
      </c>
      <c r="E299" s="1" t="n">
        <v>46271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46271</v>
      </c>
      <c r="F300" t="inlineStr">
        <is>
          <t>KALMAR LÄN</t>
        </is>
      </c>
      <c r="G300" t="inlineStr">
        <is>
          <t>EMMABODA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46271</v>
      </c>
      <c r="F301" t="inlineStr">
        <is>
          <t>KALMAR LÄN</t>
        </is>
      </c>
      <c r="G301" t="inlineStr">
        <is>
          <t>EMMABODA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46271</v>
      </c>
      <c r="F302" t="inlineStr">
        <is>
          <t>KALMAR LÄN</t>
        </is>
      </c>
      <c r="G302" t="inlineStr">
        <is>
          <t>EMMABODA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46271</v>
      </c>
      <c r="F303" t="inlineStr">
        <is>
          <t>KALMAR LÄN</t>
        </is>
      </c>
      <c r="G303" t="inlineStr">
        <is>
          <t>EMMABODA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46271</v>
      </c>
      <c r="F304" t="inlineStr">
        <is>
          <t>KALMAR LÄN</t>
        </is>
      </c>
      <c r="G304" t="inlineStr">
        <is>
          <t>EMMABODA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46271</v>
      </c>
      <c r="F305" t="inlineStr">
        <is>
          <t>KALMAR LÄN</t>
        </is>
      </c>
      <c r="G305" t="inlineStr">
        <is>
          <t>EMMABODA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46271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45121</v>
      </c>
      <c r="E307" s="1" t="n">
        <v>46271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46271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44979</v>
      </c>
      <c r="E309" s="1" t="n">
        <v>46271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46271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46271</v>
      </c>
      <c r="F311" t="inlineStr">
        <is>
          <t>KALMAR LÄN</t>
        </is>
      </c>
      <c r="G311" t="inlineStr">
        <is>
          <t>EMMABODA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46271</v>
      </c>
      <c r="F312" t="inlineStr">
        <is>
          <t>KALMAR LÄN</t>
        </is>
      </c>
      <c r="G312" t="inlineStr">
        <is>
          <t>EMMABODA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46271</v>
      </c>
      <c r="F313" t="inlineStr">
        <is>
          <t>KALMAR LÄN</t>
        </is>
      </c>
      <c r="G313" t="inlineStr">
        <is>
          <t>EMMABODA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45964</v>
      </c>
      <c r="E314" s="1" t="n">
        <v>46271</v>
      </c>
      <c r="F314" t="inlineStr">
        <is>
          <t>KALMAR LÄN</t>
        </is>
      </c>
      <c r="G314" t="inlineStr">
        <is>
          <t>EMMABODA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46271</v>
      </c>
      <c r="F315" t="inlineStr">
        <is>
          <t>KALMAR LÄN</t>
        </is>
      </c>
      <c r="G315" t="inlineStr">
        <is>
          <t>EMMABODA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46271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45069</v>
      </c>
      <c r="E317" s="1" t="n">
        <v>46271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45069</v>
      </c>
      <c r="E318" s="1" t="n">
        <v>46271</v>
      </c>
      <c r="F318" t="inlineStr">
        <is>
          <t>KALMAR LÄN</t>
        </is>
      </c>
      <c r="G318" t="inlineStr">
        <is>
          <t>EMMABODA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46271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46271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45348</v>
      </c>
      <c r="E321" s="1" t="n">
        <v>46271</v>
      </c>
      <c r="F321" t="inlineStr">
        <is>
          <t>KALMAR LÄN</t>
        </is>
      </c>
      <c r="G321" t="inlineStr">
        <is>
          <t>EMMABODA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46271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45967</v>
      </c>
      <c r="E323" s="1" t="n">
        <v>46271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46271</v>
      </c>
      <c r="F324" t="inlineStr">
        <is>
          <t>KALMAR LÄN</t>
        </is>
      </c>
      <c r="G324" t="inlineStr">
        <is>
          <t>EMMABODA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46271</v>
      </c>
      <c r="F325" t="inlineStr">
        <is>
          <t>KALMAR LÄN</t>
        </is>
      </c>
      <c r="G325" t="inlineStr">
        <is>
          <t>EMMABODA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46271</v>
      </c>
      <c r="F326" t="inlineStr">
        <is>
          <t>KALMAR LÄN</t>
        </is>
      </c>
      <c r="G326" t="inlineStr">
        <is>
          <t>EMMABODA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46271</v>
      </c>
      <c r="F327" t="inlineStr">
        <is>
          <t>KALMAR LÄN</t>
        </is>
      </c>
      <c r="G327" t="inlineStr">
        <is>
          <t>EMMABODA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46271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44683</v>
      </c>
      <c r="E329" s="1" t="n">
        <v>46271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46271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46271</v>
      </c>
      <c r="F331" t="inlineStr">
        <is>
          <t>KALMAR LÄN</t>
        </is>
      </c>
      <c r="G331" t="inlineStr">
        <is>
          <t>EMMABODA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46271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46271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46271</v>
      </c>
      <c r="F334" t="inlineStr">
        <is>
          <t>KALMAR LÄN</t>
        </is>
      </c>
      <c r="G334" t="inlineStr">
        <is>
          <t>EMMABODA</t>
        </is>
      </c>
      <c r="H334" t="inlineStr">
        <is>
          <t>Kyrkan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46271</v>
      </c>
      <c r="F335" t="inlineStr">
        <is>
          <t>KALMAR LÄN</t>
        </is>
      </c>
      <c r="G335" t="inlineStr">
        <is>
          <t>EMMABODA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46271</v>
      </c>
      <c r="F336" t="inlineStr">
        <is>
          <t>KALMAR LÄN</t>
        </is>
      </c>
      <c r="G336" t="inlineStr">
        <is>
          <t>EMMABODA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67543-2021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44524</v>
      </c>
      <c r="E337" s="1" t="n">
        <v>46271</v>
      </c>
      <c r="F337" t="inlineStr">
        <is>
          <t>KALMAR LÄN</t>
        </is>
      </c>
      <c r="G337" t="inlineStr">
        <is>
          <t>EMMABODA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46271</v>
      </c>
      <c r="F338" t="inlineStr">
        <is>
          <t>KALMAR LÄN</t>
        </is>
      </c>
      <c r="G338" t="inlineStr">
        <is>
          <t>EMMABODA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46271</v>
      </c>
      <c r="F339" t="inlineStr">
        <is>
          <t>KALMAR LÄN</t>
        </is>
      </c>
      <c r="G339" t="inlineStr">
        <is>
          <t>EMMABODA</t>
        </is>
      </c>
      <c r="H339" t="inlineStr">
        <is>
          <t>Kyrkan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46271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46271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46271</v>
      </c>
      <c r="F342" t="inlineStr">
        <is>
          <t>KALMAR LÄN</t>
        </is>
      </c>
      <c r="G342" t="inlineStr">
        <is>
          <t>EMMABODA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46271</v>
      </c>
      <c r="F343" t="inlineStr">
        <is>
          <t>KALMAR LÄN</t>
        </is>
      </c>
      <c r="G343" t="inlineStr">
        <is>
          <t>EMMABODA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46271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46271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46271</v>
      </c>
      <c r="F346" t="inlineStr">
        <is>
          <t>KALMAR LÄN</t>
        </is>
      </c>
      <c r="G346" t="inlineStr">
        <is>
          <t>EMMABODA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45335</v>
      </c>
      <c r="E347" s="1" t="n">
        <v>46271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45335</v>
      </c>
      <c r="E348" s="1" t="n">
        <v>46271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45200</v>
      </c>
      <c r="E349" s="1" t="n">
        <v>46271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46271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45070</v>
      </c>
      <c r="E351" s="1" t="n">
        <v>46271</v>
      </c>
      <c r="F351" t="inlineStr">
        <is>
          <t>KALMAR LÄN</t>
        </is>
      </c>
      <c r="G351" t="inlineStr">
        <is>
          <t>EMMABODA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46271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46271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46271</v>
      </c>
      <c r="F354" t="inlineStr">
        <is>
          <t>KALMAR LÄN</t>
        </is>
      </c>
      <c r="G354" t="inlineStr">
        <is>
          <t>EMMABODA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46271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46271</v>
      </c>
      <c r="F356" t="inlineStr">
        <is>
          <t>KALMAR LÄN</t>
        </is>
      </c>
      <c r="G356" t="inlineStr">
        <is>
          <t>EMMABODA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46271</v>
      </c>
      <c r="F357" t="inlineStr">
        <is>
          <t>KALMAR LÄN</t>
        </is>
      </c>
      <c r="G357" t="inlineStr">
        <is>
          <t>EMMABODA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46271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46271</v>
      </c>
      <c r="F359" t="inlineStr">
        <is>
          <t>KALMAR LÄN</t>
        </is>
      </c>
      <c r="G359" t="inlineStr">
        <is>
          <t>EMMABODA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46271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46271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46271</v>
      </c>
      <c r="F362" t="inlineStr">
        <is>
          <t>KALMAR LÄN</t>
        </is>
      </c>
      <c r="G362" t="inlineStr">
        <is>
          <t>EMMABODA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44922</v>
      </c>
      <c r="E363" s="1" t="n">
        <v>46271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44781</v>
      </c>
      <c r="E364" s="1" t="n">
        <v>46271</v>
      </c>
      <c r="F364" t="inlineStr">
        <is>
          <t>KALMAR LÄN</t>
        </is>
      </c>
      <c r="G364" t="inlineStr">
        <is>
          <t>EMMABODA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45466</v>
      </c>
      <c r="E365" s="1" t="n">
        <v>46271</v>
      </c>
      <c r="F365" t="inlineStr">
        <is>
          <t>KALMAR LÄN</t>
        </is>
      </c>
      <c r="G365" t="inlineStr">
        <is>
          <t>EMMABODA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46271</v>
      </c>
      <c r="F366" t="inlineStr">
        <is>
          <t>KALMAR LÄN</t>
        </is>
      </c>
      <c r="G366" t="inlineStr">
        <is>
          <t>EMMABODA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46271</v>
      </c>
      <c r="F367" t="inlineStr">
        <is>
          <t>KALMAR LÄN</t>
        </is>
      </c>
      <c r="G367" t="inlineStr">
        <is>
          <t>EMMABODA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45716</v>
      </c>
      <c r="E368" s="1" t="n">
        <v>46271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46271</v>
      </c>
      <c r="F369" t="inlineStr">
        <is>
          <t>KALMAR LÄN</t>
        </is>
      </c>
      <c r="G369" t="inlineStr">
        <is>
          <t>EMMABODA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46271</v>
      </c>
      <c r="F370" t="inlineStr">
        <is>
          <t>KALMAR LÄN</t>
        </is>
      </c>
      <c r="G370" t="inlineStr">
        <is>
          <t>EMMABODA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46271</v>
      </c>
      <c r="F371" t="inlineStr">
        <is>
          <t>KALMAR LÄN</t>
        </is>
      </c>
      <c r="G371" t="inlineStr">
        <is>
          <t>EMMABODA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46271</v>
      </c>
      <c r="F372" t="inlineStr">
        <is>
          <t>KALMAR LÄN</t>
        </is>
      </c>
      <c r="G372" t="inlineStr">
        <is>
          <t>EMMABODA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44951</v>
      </c>
      <c r="E373" s="1" t="n">
        <v>46271</v>
      </c>
      <c r="F373" t="inlineStr">
        <is>
          <t>KALMAR LÄN</t>
        </is>
      </c>
      <c r="G373" t="inlineStr">
        <is>
          <t>EMMABODA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46271</v>
      </c>
      <c r="F374" t="inlineStr">
        <is>
          <t>KALMAR LÄN</t>
        </is>
      </c>
      <c r="G374" t="inlineStr">
        <is>
          <t>EMMABODA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46271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46271</v>
      </c>
      <c r="F376" t="inlineStr">
        <is>
          <t>KALMAR LÄN</t>
        </is>
      </c>
      <c r="G376" t="inlineStr">
        <is>
          <t>EMMABODA</t>
        </is>
      </c>
      <c r="H376" t="inlineStr">
        <is>
          <t>Övriga Aktiebolag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46271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46271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46271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46271</v>
      </c>
      <c r="F380" t="inlineStr">
        <is>
          <t>KALMAR LÄN</t>
        </is>
      </c>
      <c r="G380" t="inlineStr">
        <is>
          <t>EMMABODA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45310</v>
      </c>
      <c r="E381" s="1" t="n">
        <v>46271</v>
      </c>
      <c r="F381" t="inlineStr">
        <is>
          <t>KALMAR LÄN</t>
        </is>
      </c>
      <c r="G381" t="inlineStr">
        <is>
          <t>EMMABODA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46271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45573</v>
      </c>
      <c r="E383" s="1" t="n">
        <v>46271</v>
      </c>
      <c r="F383" t="inlineStr">
        <is>
          <t>KALMAR LÄN</t>
        </is>
      </c>
      <c r="G383" t="inlineStr">
        <is>
          <t>EMMABODA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46271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46271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46271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50309-2024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45600</v>
      </c>
      <c r="E387" s="1" t="n">
        <v>46271</v>
      </c>
      <c r="F387" t="inlineStr">
        <is>
          <t>KALMAR LÄN</t>
        </is>
      </c>
      <c r="G387" t="inlineStr">
        <is>
          <t>EMMABODA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46271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46271</v>
      </c>
      <c r="F389" t="inlineStr">
        <is>
          <t>KALMAR LÄN</t>
        </is>
      </c>
      <c r="G389" t="inlineStr">
        <is>
          <t>EMMABODA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46271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46271</v>
      </c>
      <c r="F391" t="inlineStr">
        <is>
          <t>KALMAR LÄN</t>
        </is>
      </c>
      <c r="G391" t="inlineStr">
        <is>
          <t>EMMABODA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46271</v>
      </c>
      <c r="F392" t="inlineStr">
        <is>
          <t>KALMAR LÄN</t>
        </is>
      </c>
      <c r="G392" t="inlineStr">
        <is>
          <t>EMMABODA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16236-2023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45028</v>
      </c>
      <c r="E393" s="1" t="n">
        <v>46271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46271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46271</v>
      </c>
      <c r="F395" t="inlineStr">
        <is>
          <t>KALMAR LÄN</t>
        </is>
      </c>
      <c r="G395" t="inlineStr">
        <is>
          <t>EMMABODA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46271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46271</v>
      </c>
      <c r="F397" t="inlineStr">
        <is>
          <t>KALMAR LÄN</t>
        </is>
      </c>
      <c r="G397" t="inlineStr">
        <is>
          <t>EMMABODA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46271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46271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46271</v>
      </c>
      <c r="F400" t="inlineStr">
        <is>
          <t>KALMAR LÄN</t>
        </is>
      </c>
      <c r="G400" t="inlineStr">
        <is>
          <t>EMMABODA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46271</v>
      </c>
      <c r="F401" t="inlineStr">
        <is>
          <t>KALMAR LÄN</t>
        </is>
      </c>
      <c r="G401" t="inlineStr">
        <is>
          <t>EMMABODA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46271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46271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46271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46271</v>
      </c>
      <c r="F405" t="inlineStr">
        <is>
          <t>KALMAR LÄN</t>
        </is>
      </c>
      <c r="G405" t="inlineStr">
        <is>
          <t>EMMABODA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45727</v>
      </c>
      <c r="E406" s="1" t="n">
        <v>46271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57717-2022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44897</v>
      </c>
      <c r="E407" s="1" t="n">
        <v>46271</v>
      </c>
      <c r="F407" t="inlineStr">
        <is>
          <t>KALMAR LÄN</t>
        </is>
      </c>
      <c r="G407" t="inlineStr">
        <is>
          <t>EMMABODA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46271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44455</v>
      </c>
      <c r="E409" s="1" t="n">
        <v>46271</v>
      </c>
      <c r="F409" t="inlineStr">
        <is>
          <t>KALMAR LÄN</t>
        </is>
      </c>
      <c r="G409" t="inlineStr">
        <is>
          <t>EMMABODA</t>
        </is>
      </c>
      <c r="H409" t="inlineStr">
        <is>
          <t>Övriga Aktiebolag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46271</v>
      </c>
      <c r="F410" t="inlineStr">
        <is>
          <t>KALMAR LÄN</t>
        </is>
      </c>
      <c r="G410" t="inlineStr">
        <is>
          <t>EMMABODA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18444-2026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46127</v>
      </c>
      <c r="E411" s="1" t="n">
        <v>46271</v>
      </c>
      <c r="F411" t="inlineStr">
        <is>
          <t>KALMAR LÄN</t>
        </is>
      </c>
      <c r="G411" t="inlineStr">
        <is>
          <t>EMMABODA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45230</v>
      </c>
      <c r="E412" s="1" t="n">
        <v>46271</v>
      </c>
      <c r="F412" t="inlineStr">
        <is>
          <t>KALMAR LÄN</t>
        </is>
      </c>
      <c r="G412" t="inlineStr">
        <is>
          <t>EMMABODA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18437-2026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46127</v>
      </c>
      <c r="E413" s="1" t="n">
        <v>46271</v>
      </c>
      <c r="F413" t="inlineStr">
        <is>
          <t>KALMAR LÄN</t>
        </is>
      </c>
      <c r="G413" t="inlineStr">
        <is>
          <t>EMMABODA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46271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46271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46271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46271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46271</v>
      </c>
      <c r="F418" t="inlineStr">
        <is>
          <t>KALMAR LÄN</t>
        </is>
      </c>
      <c r="G418" t="inlineStr">
        <is>
          <t>EMMABODA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55590-2024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46271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46271</v>
      </c>
      <c r="F420" t="inlineStr">
        <is>
          <t>KALMAR LÄN</t>
        </is>
      </c>
      <c r="G420" t="inlineStr">
        <is>
          <t>EMMABODA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46271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45392</v>
      </c>
      <c r="E422" s="1" t="n">
        <v>46271</v>
      </c>
      <c r="F422" t="inlineStr">
        <is>
          <t>KALMAR LÄN</t>
        </is>
      </c>
      <c r="G422" t="inlineStr">
        <is>
          <t>EMMABODA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46271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46271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46271</v>
      </c>
      <c r="F425" t="inlineStr">
        <is>
          <t>KALMAR LÄN</t>
        </is>
      </c>
      <c r="G425" t="inlineStr">
        <is>
          <t>EMMABODA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46271</v>
      </c>
      <c r="F426" t="inlineStr">
        <is>
          <t>KALMAR LÄN</t>
        </is>
      </c>
      <c r="G426" t="inlineStr">
        <is>
          <t>EMMABODA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44965</v>
      </c>
      <c r="E427" s="1" t="n">
        <v>46271</v>
      </c>
      <c r="F427" t="inlineStr">
        <is>
          <t>KALMAR LÄN</t>
        </is>
      </c>
      <c r="G427" t="inlineStr">
        <is>
          <t>EMMABODA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46271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44743</v>
      </c>
      <c r="E429" s="1" t="n">
        <v>46271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44749</v>
      </c>
      <c r="E430" s="1" t="n">
        <v>46271</v>
      </c>
      <c r="F430" t="inlineStr">
        <is>
          <t>KALMAR LÄN</t>
        </is>
      </c>
      <c r="G430" t="inlineStr">
        <is>
          <t>EMMABODA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45327</v>
      </c>
      <c r="E431" s="1" t="n">
        <v>46271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45327</v>
      </c>
      <c r="E432" s="1" t="n">
        <v>46271</v>
      </c>
      <c r="F432" t="inlineStr">
        <is>
          <t>KALMAR LÄN</t>
        </is>
      </c>
      <c r="G432" t="inlineStr">
        <is>
          <t>EMMABODA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45551</v>
      </c>
      <c r="E433" s="1" t="n">
        <v>46271</v>
      </c>
      <c r="F433" t="inlineStr">
        <is>
          <t>KALMAR LÄN</t>
        </is>
      </c>
      <c r="G433" t="inlineStr">
        <is>
          <t>EMMABODA</t>
        </is>
      </c>
      <c r="H433" t="inlineStr">
        <is>
          <t>Sveaskog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45401</v>
      </c>
      <c r="E434" s="1" t="n">
        <v>46271</v>
      </c>
      <c r="F434" t="inlineStr">
        <is>
          <t>KALMAR LÄN</t>
        </is>
      </c>
      <c r="G434" t="inlineStr">
        <is>
          <t>EMMABODA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46271</v>
      </c>
      <c r="F435" t="inlineStr">
        <is>
          <t>KALMAR LÄN</t>
        </is>
      </c>
      <c r="G435" t="inlineStr">
        <is>
          <t>EMMABODA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46271</v>
      </c>
      <c r="F436" t="inlineStr">
        <is>
          <t>KALMAR LÄN</t>
        </is>
      </c>
      <c r="G436" t="inlineStr">
        <is>
          <t>EMMABODA</t>
        </is>
      </c>
      <c r="H436" t="inlineStr">
        <is>
          <t>Övriga Aktiebolag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45632</v>
      </c>
      <c r="E437" s="1" t="n">
        <v>46271</v>
      </c>
      <c r="F437" t="inlineStr">
        <is>
          <t>KALMAR LÄN</t>
        </is>
      </c>
      <c r="G437" t="inlineStr">
        <is>
          <t>EMMABODA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46271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46271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19881-2024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45433</v>
      </c>
      <c r="E440" s="1" t="n">
        <v>46271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46271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45818</v>
      </c>
      <c r="E442" s="1" t="n">
        <v>46271</v>
      </c>
      <c r="F442" t="inlineStr">
        <is>
          <t>KALMAR LÄN</t>
        </is>
      </c>
      <c r="G442" t="inlineStr">
        <is>
          <t>EMMABODA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44145-2025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46271</v>
      </c>
      <c r="F443" t="inlineStr">
        <is>
          <t>KALMAR LÄN</t>
        </is>
      </c>
      <c r="G443" t="inlineStr">
        <is>
          <t>EMMABODA</t>
        </is>
      </c>
      <c r="H443" t="inlineStr">
        <is>
          <t>Övriga Aktiebolag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46271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45007</v>
      </c>
      <c r="E445" s="1" t="n">
        <v>46271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46271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46271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24784-2023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46271</v>
      </c>
      <c r="F448" t="inlineStr">
        <is>
          <t>KALMAR LÄN</t>
        </is>
      </c>
      <c r="G448" t="inlineStr">
        <is>
          <t>EMMABODA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45819</v>
      </c>
      <c r="E449" s="1" t="n">
        <v>46271</v>
      </c>
      <c r="F449" t="inlineStr">
        <is>
          <t>KALMAR LÄN</t>
        </is>
      </c>
      <c r="G449" t="inlineStr">
        <is>
          <t>EMMABODA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46271</v>
      </c>
      <c r="F450" t="inlineStr">
        <is>
          <t>KALMAR LÄN</t>
        </is>
      </c>
      <c r="G450" t="inlineStr">
        <is>
          <t>EMMABODA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45524</v>
      </c>
      <c r="E451" s="1" t="n">
        <v>46271</v>
      </c>
      <c r="F451" t="inlineStr">
        <is>
          <t>KALMAR LÄN</t>
        </is>
      </c>
      <c r="G451" t="inlineStr">
        <is>
          <t>EMMABODA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45818</v>
      </c>
      <c r="E452" s="1" t="n">
        <v>46271</v>
      </c>
      <c r="F452" t="inlineStr">
        <is>
          <t>KALMAR LÄN</t>
        </is>
      </c>
      <c r="G452" t="inlineStr">
        <is>
          <t>EMMABODA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64681-2023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45281</v>
      </c>
      <c r="E453" s="1" t="n">
        <v>46271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46271</v>
      </c>
      <c r="F454" t="inlineStr">
        <is>
          <t>KALMAR LÄN</t>
        </is>
      </c>
      <c r="G454" t="inlineStr">
        <is>
          <t>EMMABODA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46271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46271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45972</v>
      </c>
      <c r="E457" s="1" t="n">
        <v>46271</v>
      </c>
      <c r="F457" t="inlineStr">
        <is>
          <t>KALMAR LÄN</t>
        </is>
      </c>
      <c r="G457" t="inlineStr">
        <is>
          <t>EMMABODA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68940-2021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44530</v>
      </c>
      <c r="E458" s="1" t="n">
        <v>46271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46271</v>
      </c>
      <c r="F459" t="inlineStr">
        <is>
          <t>KALMAR LÄN</t>
        </is>
      </c>
      <c r="G459" t="inlineStr">
        <is>
          <t>EMMABODA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44938</v>
      </c>
      <c r="E460" s="1" t="n">
        <v>46271</v>
      </c>
      <c r="F460" t="inlineStr">
        <is>
          <t>KALMAR LÄN</t>
        </is>
      </c>
      <c r="G460" t="inlineStr">
        <is>
          <t>EMMABODA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44851</v>
      </c>
      <c r="E461" s="1" t="n">
        <v>46271</v>
      </c>
      <c r="F461" t="inlineStr">
        <is>
          <t>KALMAR LÄN</t>
        </is>
      </c>
      <c r="G461" t="inlineStr">
        <is>
          <t>EMMABODA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44960</v>
      </c>
      <c r="E462" s="1" t="n">
        <v>46271</v>
      </c>
      <c r="F462" t="inlineStr">
        <is>
          <t>KALMAR LÄN</t>
        </is>
      </c>
      <c r="G462" t="inlineStr">
        <is>
          <t>EMMABODA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46271</v>
      </c>
      <c r="F463" t="inlineStr">
        <is>
          <t>KALMAR LÄN</t>
        </is>
      </c>
      <c r="G463" t="inlineStr">
        <is>
          <t>EMMABODA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46271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59737-2021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44494</v>
      </c>
      <c r="E465" s="1" t="n">
        <v>46271</v>
      </c>
      <c r="F465" t="inlineStr">
        <is>
          <t>KALMAR LÄN</t>
        </is>
      </c>
      <c r="G465" t="inlineStr">
        <is>
          <t>EMMABODA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46271</v>
      </c>
      <c r="F466" t="inlineStr">
        <is>
          <t>KALMAR LÄN</t>
        </is>
      </c>
      <c r="G466" t="inlineStr">
        <is>
          <t>EMMABODA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45976</v>
      </c>
      <c r="E467" s="1" t="n">
        <v>46271</v>
      </c>
      <c r="F467" t="inlineStr">
        <is>
          <t>KALMAR LÄN</t>
        </is>
      </c>
      <c r="G467" t="inlineStr">
        <is>
          <t>EMMABODA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46271</v>
      </c>
      <c r="F468" t="inlineStr">
        <is>
          <t>KALMAR LÄN</t>
        </is>
      </c>
      <c r="G468" t="inlineStr">
        <is>
          <t>EMMABODA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46140</v>
      </c>
      <c r="E469" s="1" t="n">
        <v>46271</v>
      </c>
      <c r="F469" t="inlineStr">
        <is>
          <t>KALMAR LÄN</t>
        </is>
      </c>
      <c r="G469" t="inlineStr">
        <is>
          <t>EMMABODA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66333-2021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44518</v>
      </c>
      <c r="E470" s="1" t="n">
        <v>46271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46271</v>
      </c>
      <c r="F471" t="inlineStr">
        <is>
          <t>KALMAR LÄN</t>
        </is>
      </c>
      <c r="G471" t="inlineStr">
        <is>
          <t>EMMABODA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46271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45009</v>
      </c>
      <c r="E473" s="1" t="n">
        <v>46271</v>
      </c>
      <c r="F473" t="inlineStr">
        <is>
          <t>KALMAR LÄN</t>
        </is>
      </c>
      <c r="G473" t="inlineStr">
        <is>
          <t>EMMABODA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46271</v>
      </c>
      <c r="F474" t="inlineStr">
        <is>
          <t>KALMAR LÄN</t>
        </is>
      </c>
      <c r="G474" t="inlineStr">
        <is>
          <t>EMMABODA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46271</v>
      </c>
      <c r="F475" t="inlineStr">
        <is>
          <t>KALMAR LÄN</t>
        </is>
      </c>
      <c r="G475" t="inlineStr">
        <is>
          <t>EMMABODA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46271</v>
      </c>
      <c r="F476" t="inlineStr">
        <is>
          <t>KALMAR LÄN</t>
        </is>
      </c>
      <c r="G476" t="inlineStr">
        <is>
          <t>EMMABODA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45976</v>
      </c>
      <c r="E477" s="1" t="n">
        <v>46271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61791-2022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44911</v>
      </c>
      <c r="E478" s="1" t="n">
        <v>46271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45159</v>
      </c>
      <c r="E479" s="1" t="n">
        <v>46271</v>
      </c>
      <c r="F479" t="inlineStr">
        <is>
          <t>KALMAR LÄN</t>
        </is>
      </c>
      <c r="G479" t="inlineStr">
        <is>
          <t>EMMABODA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45514</v>
      </c>
      <c r="E480" s="1" t="n">
        <v>46271</v>
      </c>
      <c r="F480" t="inlineStr">
        <is>
          <t>KALMAR LÄN</t>
        </is>
      </c>
      <c r="G480" t="inlineStr">
        <is>
          <t>EMMABODA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45514</v>
      </c>
      <c r="E481" s="1" t="n">
        <v>46271</v>
      </c>
      <c r="F481" t="inlineStr">
        <is>
          <t>KALMAR LÄN</t>
        </is>
      </c>
      <c r="G481" t="inlineStr">
        <is>
          <t>EMMABODA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46271</v>
      </c>
      <c r="F482" t="inlineStr">
        <is>
          <t>KALMAR LÄN</t>
        </is>
      </c>
      <c r="G482" t="inlineStr">
        <is>
          <t>EMMABODA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45202</v>
      </c>
      <c r="E483" s="1" t="n">
        <v>46271</v>
      </c>
      <c r="F483" t="inlineStr">
        <is>
          <t>KALMAR LÄN</t>
        </is>
      </c>
      <c r="G483" t="inlineStr">
        <is>
          <t>EMMABODA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53350-2022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46271</v>
      </c>
      <c r="F484" t="inlineStr">
        <is>
          <t>KALMAR LÄN</t>
        </is>
      </c>
      <c r="G484" t="inlineStr">
        <is>
          <t>EMMABODA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33061-2023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45126</v>
      </c>
      <c r="E485" s="1" t="n">
        <v>46271</v>
      </c>
      <c r="F485" t="inlineStr">
        <is>
          <t>KALMAR LÄN</t>
        </is>
      </c>
      <c r="G485" t="inlineStr">
        <is>
          <t>EMMABODA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45126</v>
      </c>
      <c r="E486" s="1" t="n">
        <v>46271</v>
      </c>
      <c r="F486" t="inlineStr">
        <is>
          <t>KALMAR LÄN</t>
        </is>
      </c>
      <c r="G486" t="inlineStr">
        <is>
          <t>EMMABODA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46271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46271</v>
      </c>
      <c r="F488" t="inlineStr">
        <is>
          <t>KALMAR LÄN</t>
        </is>
      </c>
      <c r="G488" t="inlineStr">
        <is>
          <t>EMMABODA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46271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46271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9812-2024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46271</v>
      </c>
      <c r="F491" t="inlineStr">
        <is>
          <t>KALMAR LÄN</t>
        </is>
      </c>
      <c r="G491" t="inlineStr">
        <is>
          <t>EMMABODA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46271</v>
      </c>
      <c r="F492" t="inlineStr">
        <is>
          <t>KALMAR LÄN</t>
        </is>
      </c>
      <c r="G492" t="inlineStr">
        <is>
          <t>EMMABODA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46271</v>
      </c>
      <c r="F493" t="inlineStr">
        <is>
          <t>KALMAR LÄN</t>
        </is>
      </c>
      <c r="G493" t="inlineStr">
        <is>
          <t>EMMABODA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46271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46271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20648-2022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44700</v>
      </c>
      <c r="E496" s="1" t="n">
        <v>46271</v>
      </c>
      <c r="F496" t="inlineStr">
        <is>
          <t>KALMAR LÄN</t>
        </is>
      </c>
      <c r="G496" t="inlineStr">
        <is>
          <t>EMMABODA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45743</v>
      </c>
      <c r="E497" s="1" t="n">
        <v>46271</v>
      </c>
      <c r="F497" t="inlineStr">
        <is>
          <t>KALMAR LÄN</t>
        </is>
      </c>
      <c r="G497" t="inlineStr">
        <is>
          <t>EMMABODA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45296</v>
      </c>
      <c r="E498" s="1" t="n">
        <v>46271</v>
      </c>
      <c r="F498" t="inlineStr">
        <is>
          <t>KALMAR LÄN</t>
        </is>
      </c>
      <c r="G498" t="inlineStr">
        <is>
          <t>EMMABODA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46271</v>
      </c>
      <c r="F499" t="inlineStr">
        <is>
          <t>KALMAR LÄN</t>
        </is>
      </c>
      <c r="G499" t="inlineStr">
        <is>
          <t>EMMABODA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68947-2021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46271</v>
      </c>
      <c r="F500" t="inlineStr">
        <is>
          <t>KALMAR LÄN</t>
        </is>
      </c>
      <c r="G500" t="inlineStr">
        <is>
          <t>EMMABODA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46271</v>
      </c>
      <c r="F501" t="inlineStr">
        <is>
          <t>KALMAR LÄN</t>
        </is>
      </c>
      <c r="G501" t="inlineStr">
        <is>
          <t>EMMABODA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44777</v>
      </c>
      <c r="E502" s="1" t="n">
        <v>46271</v>
      </c>
      <c r="F502" t="inlineStr">
        <is>
          <t>KALMAR LÄN</t>
        </is>
      </c>
      <c r="G502" t="inlineStr">
        <is>
          <t>EMMABODA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46271</v>
      </c>
      <c r="F503" t="inlineStr">
        <is>
          <t>KALMAR LÄN</t>
        </is>
      </c>
      <c r="G503" t="inlineStr">
        <is>
          <t>EMMABODA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46160</v>
      </c>
      <c r="E504" s="1" t="n">
        <v>46271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46271</v>
      </c>
      <c r="F505" t="inlineStr">
        <is>
          <t>KALMAR LÄN</t>
        </is>
      </c>
      <c r="G505" t="inlineStr">
        <is>
          <t>EMMABODA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46271</v>
      </c>
      <c r="F506" t="inlineStr">
        <is>
          <t>KALMAR LÄN</t>
        </is>
      </c>
      <c r="G506" t="inlineStr">
        <is>
          <t>EMMABODA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46271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45902</v>
      </c>
      <c r="E508" s="1" t="n">
        <v>46271</v>
      </c>
      <c r="F508" t="inlineStr">
        <is>
          <t>KALMAR LÄN</t>
        </is>
      </c>
      <c r="G508" t="inlineStr">
        <is>
          <t>EMMABODA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45164</v>
      </c>
      <c r="E509" s="1" t="n">
        <v>46271</v>
      </c>
      <c r="F509" t="inlineStr">
        <is>
          <t>KALMAR LÄN</t>
        </is>
      </c>
      <c r="G509" t="inlineStr">
        <is>
          <t>EMMABODA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46271</v>
      </c>
      <c r="F510" t="inlineStr">
        <is>
          <t>KALMAR LÄN</t>
        </is>
      </c>
      <c r="G510" t="inlineStr">
        <is>
          <t>EMMABODA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46271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44993</v>
      </c>
      <c r="E512" s="1" t="n">
        <v>46271</v>
      </c>
      <c r="F512" t="inlineStr">
        <is>
          <t>KALMAR LÄN</t>
        </is>
      </c>
      <c r="G512" t="inlineStr">
        <is>
          <t>EMMABODA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46271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46271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46271</v>
      </c>
      <c r="F515" t="inlineStr">
        <is>
          <t>KALMAR LÄN</t>
        </is>
      </c>
      <c r="G515" t="inlineStr">
        <is>
          <t>EMMABODA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46271</v>
      </c>
      <c r="F516" t="inlineStr">
        <is>
          <t>KALMAR LÄN</t>
        </is>
      </c>
      <c r="G516" t="inlineStr">
        <is>
          <t>EMMABODA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46271</v>
      </c>
      <c r="F517" t="inlineStr">
        <is>
          <t>KALMAR LÄN</t>
        </is>
      </c>
      <c r="G517" t="inlineStr">
        <is>
          <t>EMMABODA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46271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50500-2022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44861</v>
      </c>
      <c r="E519" s="1" t="n">
        <v>46271</v>
      </c>
      <c r="F519" t="inlineStr">
        <is>
          <t>KALMAR LÄN</t>
        </is>
      </c>
      <c r="G519" t="inlineStr">
        <is>
          <t>EMMABODA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45772</v>
      </c>
      <c r="E520" s="1" t="n">
        <v>46271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48233-2023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45205</v>
      </c>
      <c r="E521" s="1" t="n">
        <v>46271</v>
      </c>
      <c r="F521" t="inlineStr">
        <is>
          <t>KALMAR LÄN</t>
        </is>
      </c>
      <c r="G521" t="inlineStr">
        <is>
          <t>EMMABODA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46271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45084</v>
      </c>
      <c r="E523" s="1" t="n">
        <v>46271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46271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44490-2024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45574</v>
      </c>
      <c r="E525" s="1" t="n">
        <v>46271</v>
      </c>
      <c r="F525" t="inlineStr">
        <is>
          <t>KALMAR LÄN</t>
        </is>
      </c>
      <c r="G525" t="inlineStr">
        <is>
          <t>EMMABODA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46271</v>
      </c>
      <c r="F526" t="inlineStr">
        <is>
          <t>KALMAR LÄN</t>
        </is>
      </c>
      <c r="G526" t="inlineStr">
        <is>
          <t>EMMABODA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46271</v>
      </c>
      <c r="F527" t="inlineStr">
        <is>
          <t>KALMAR LÄN</t>
        </is>
      </c>
      <c r="G527" t="inlineStr">
        <is>
          <t>EMMABODA</t>
        </is>
      </c>
      <c r="H527" t="inlineStr">
        <is>
          <t>Övriga Aktiebolag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45232</v>
      </c>
      <c r="E528" s="1" t="n">
        <v>46271</v>
      </c>
      <c r="F528" t="inlineStr">
        <is>
          <t>KALMAR LÄN</t>
        </is>
      </c>
      <c r="G528" t="inlineStr">
        <is>
          <t>EMMABODA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46271</v>
      </c>
      <c r="F529" t="inlineStr">
        <is>
          <t>KALMAR LÄN</t>
        </is>
      </c>
      <c r="G529" t="inlineStr">
        <is>
          <t>EMMABODA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14071-2024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45392</v>
      </c>
      <c r="E530" s="1" t="n">
        <v>46271</v>
      </c>
      <c r="F530" t="inlineStr">
        <is>
          <t>KALMAR LÄN</t>
        </is>
      </c>
      <c r="G530" t="inlineStr">
        <is>
          <t>EMMABODA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45740</v>
      </c>
      <c r="E531" s="1" t="n">
        <v>46271</v>
      </c>
      <c r="F531" t="inlineStr">
        <is>
          <t>KALMAR LÄN</t>
        </is>
      </c>
      <c r="G531" t="inlineStr">
        <is>
          <t>EMMABODA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45341</v>
      </c>
      <c r="E532" s="1" t="n">
        <v>46271</v>
      </c>
      <c r="F532" t="inlineStr">
        <is>
          <t>KALMAR LÄN</t>
        </is>
      </c>
      <c r="G532" t="inlineStr">
        <is>
          <t>EMMABODA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45923</v>
      </c>
      <c r="E533" s="1" t="n">
        <v>46271</v>
      </c>
      <c r="F533" t="inlineStr">
        <is>
          <t>KALMAR LÄN</t>
        </is>
      </c>
      <c r="G533" t="inlineStr">
        <is>
          <t>EMMABODA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46271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45003</v>
      </c>
      <c r="E535" s="1" t="n">
        <v>46271</v>
      </c>
      <c r="F535" t="inlineStr">
        <is>
          <t>KALMAR LÄN</t>
        </is>
      </c>
      <c r="G535" t="inlineStr">
        <is>
          <t>EMMABODA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46271</v>
      </c>
      <c r="F536" t="inlineStr">
        <is>
          <t>KALMAR LÄN</t>
        </is>
      </c>
      <c r="G536" t="inlineStr">
        <is>
          <t>EMMABODA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12014-2023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44995</v>
      </c>
      <c r="E537" s="1" t="n">
        <v>46271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46271</v>
      </c>
      <c r="F538" t="inlineStr">
        <is>
          <t>KALMAR LÄN</t>
        </is>
      </c>
      <c r="G538" t="inlineStr">
        <is>
          <t>EMMABODA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32663-2024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45514</v>
      </c>
      <c r="E539" s="1" t="n">
        <v>46271</v>
      </c>
      <c r="F539" t="inlineStr">
        <is>
          <t>KALMAR LÄN</t>
        </is>
      </c>
      <c r="G539" t="inlineStr">
        <is>
          <t>EMMABODA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45146</v>
      </c>
      <c r="E540" s="1" t="n">
        <v>46271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5345-2023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44959</v>
      </c>
      <c r="E541" s="1" t="n">
        <v>46271</v>
      </c>
      <c r="F541" t="inlineStr">
        <is>
          <t>KALMAR LÄN</t>
        </is>
      </c>
      <c r="G541" t="inlineStr">
        <is>
          <t>EMMABODA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45068</v>
      </c>
      <c r="E542" s="1" t="n">
        <v>46271</v>
      </c>
      <c r="F542" t="inlineStr">
        <is>
          <t>KALMAR LÄN</t>
        </is>
      </c>
      <c r="G542" t="inlineStr">
        <is>
          <t>EMMABODA</t>
        </is>
      </c>
      <c r="H542" t="inlineStr">
        <is>
          <t>Kommuner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8112-2025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46271</v>
      </c>
      <c r="F543" t="inlineStr">
        <is>
          <t>KALMAR LÄN</t>
        </is>
      </c>
      <c r="G543" t="inlineStr">
        <is>
          <t>EMMABODA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46271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46271</v>
      </c>
      <c r="F545" t="inlineStr">
        <is>
          <t>KALMAR LÄN</t>
        </is>
      </c>
      <c r="G545" t="inlineStr">
        <is>
          <t>EMMABODA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45095</v>
      </c>
      <c r="E546" s="1" t="n">
        <v>46271</v>
      </c>
      <c r="F546" t="inlineStr">
        <is>
          <t>KALMAR LÄN</t>
        </is>
      </c>
      <c r="G546" t="inlineStr">
        <is>
          <t>EMMABODA</t>
        </is>
      </c>
      <c r="I546" t="n">
        <v>11.3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44580</v>
      </c>
      <c r="E547" s="1" t="n">
        <v>46271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46271</v>
      </c>
      <c r="F548" t="inlineStr">
        <is>
          <t>KALMAR LÄN</t>
        </is>
      </c>
      <c r="G548" t="inlineStr">
        <is>
          <t>EMMABODA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46271</v>
      </c>
      <c r="F549" t="inlineStr">
        <is>
          <t>KALMAR LÄN</t>
        </is>
      </c>
      <c r="G549" t="inlineStr">
        <is>
          <t>EMMABODA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45161</v>
      </c>
      <c r="E550" s="1" t="n">
        <v>46271</v>
      </c>
      <c r="F550" t="inlineStr">
        <is>
          <t>KALMAR LÄN</t>
        </is>
      </c>
      <c r="G550" t="inlineStr">
        <is>
          <t>EMMABODA</t>
        </is>
      </c>
      <c r="H550" t="inlineStr">
        <is>
          <t>Kommuner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46271</v>
      </c>
      <c r="F551" t="inlineStr">
        <is>
          <t>KALMAR LÄN</t>
        </is>
      </c>
      <c r="G551" t="inlineStr">
        <is>
          <t>EMMABODA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44984</v>
      </c>
      <c r="E552" s="1" t="n">
        <v>46271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58839-2023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46271</v>
      </c>
      <c r="F553" t="inlineStr">
        <is>
          <t>KALMAR LÄN</t>
        </is>
      </c>
      <c r="G553" t="inlineStr">
        <is>
          <t>EMMABODA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44761</v>
      </c>
      <c r="E554" s="1" t="n">
        <v>46271</v>
      </c>
      <c r="F554" t="inlineStr">
        <is>
          <t>KALMAR LÄN</t>
        </is>
      </c>
      <c r="G554" t="inlineStr">
        <is>
          <t>EMMABODA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36043-2022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44802</v>
      </c>
      <c r="E555" s="1" t="n">
        <v>46271</v>
      </c>
      <c r="F555" t="inlineStr">
        <is>
          <t>KALMAR LÄN</t>
        </is>
      </c>
      <c r="G555" t="inlineStr">
        <is>
          <t>EMMABODA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18310-2024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45422</v>
      </c>
      <c r="E556" s="1" t="n">
        <v>46271</v>
      </c>
      <c r="F556" t="inlineStr">
        <is>
          <t>KALMAR LÄN</t>
        </is>
      </c>
      <c r="G556" t="inlineStr">
        <is>
          <t>EMMABODA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46271</v>
      </c>
      <c r="F557" t="inlineStr">
        <is>
          <t>KALMAR LÄN</t>
        </is>
      </c>
      <c r="G557" t="inlineStr">
        <is>
          <t>EMMABODA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37296-2022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44808</v>
      </c>
      <c r="E558" s="1" t="n">
        <v>46271</v>
      </c>
      <c r="F558" t="inlineStr">
        <is>
          <t>KALMAR LÄN</t>
        </is>
      </c>
      <c r="G558" t="inlineStr">
        <is>
          <t>EMMABODA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46271</v>
      </c>
      <c r="F559" t="inlineStr">
        <is>
          <t>KALMAR LÄN</t>
        </is>
      </c>
      <c r="G559" t="inlineStr">
        <is>
          <t>EMMABODA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46189</v>
      </c>
      <c r="E560" s="1" t="n">
        <v>46271</v>
      </c>
      <c r="F560" t="inlineStr">
        <is>
          <t>KALMAR LÄN</t>
        </is>
      </c>
      <c r="G560" t="inlineStr">
        <is>
          <t>EMMABODA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46271</v>
      </c>
      <c r="F561" t="inlineStr">
        <is>
          <t>KALMAR LÄN</t>
        </is>
      </c>
      <c r="G561" t="inlineStr">
        <is>
          <t>EMMABODA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46271</v>
      </c>
      <c r="F562" t="inlineStr">
        <is>
          <t>KALMAR LÄN</t>
        </is>
      </c>
      <c r="G562" t="inlineStr">
        <is>
          <t>EMMABODA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48113-2021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44449</v>
      </c>
      <c r="E563" s="1" t="n">
        <v>46271</v>
      </c>
      <c r="F563" t="inlineStr">
        <is>
          <t>KALMAR LÄN</t>
        </is>
      </c>
      <c r="G563" t="inlineStr">
        <is>
          <t>EMMABODA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46271</v>
      </c>
      <c r="F564" t="inlineStr">
        <is>
          <t>KALMAR LÄN</t>
        </is>
      </c>
      <c r="G564" t="inlineStr">
        <is>
          <t>EMMABODA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46271</v>
      </c>
      <c r="F565" t="inlineStr">
        <is>
          <t>KALMAR LÄN</t>
        </is>
      </c>
      <c r="G565" t="inlineStr">
        <is>
          <t>EMMABODA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45772</v>
      </c>
      <c r="E566" s="1" t="n">
        <v>46271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19359-2023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45049</v>
      </c>
      <c r="E567" s="1" t="n">
        <v>46271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46271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69464-2021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44531</v>
      </c>
      <c r="E569" s="1" t="n">
        <v>46271</v>
      </c>
      <c r="F569" t="inlineStr">
        <is>
          <t>KALMAR LÄN</t>
        </is>
      </c>
      <c r="G569" t="inlineStr">
        <is>
          <t>EMMABODA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46271</v>
      </c>
      <c r="F570" t="inlineStr">
        <is>
          <t>KALMAR LÄN</t>
        </is>
      </c>
      <c r="G570" t="inlineStr">
        <is>
          <t>EMMABODA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46271</v>
      </c>
      <c r="F571" t="inlineStr">
        <is>
          <t>KALMAR LÄN</t>
        </is>
      </c>
      <c r="G571" t="inlineStr">
        <is>
          <t>EMMABODA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46271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19695-2023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45051</v>
      </c>
      <c r="E573" s="1" t="n">
        <v>46271</v>
      </c>
      <c r="F573" t="inlineStr">
        <is>
          <t>KALMAR LÄN</t>
        </is>
      </c>
      <c r="G573" t="inlineStr">
        <is>
          <t>EMMABODA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33067-2023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45126</v>
      </c>
      <c r="E574" s="1" t="n">
        <v>46271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45126</v>
      </c>
      <c r="E575" s="1" t="n">
        <v>46271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46271</v>
      </c>
      <c r="F576" t="inlineStr">
        <is>
          <t>KALMAR LÄN</t>
        </is>
      </c>
      <c r="G576" t="inlineStr">
        <is>
          <t>EMMABODA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44673</v>
      </c>
      <c r="E577" s="1" t="n">
        <v>46271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45596</v>
      </c>
      <c r="E578" s="1" t="n">
        <v>46271</v>
      </c>
      <c r="F578" t="inlineStr">
        <is>
          <t>KALMAR LÄN</t>
        </is>
      </c>
      <c r="G578" t="inlineStr">
        <is>
          <t>EMMABODA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44893</v>
      </c>
      <c r="E579" s="1" t="n">
        <v>46271</v>
      </c>
      <c r="F579" t="inlineStr">
        <is>
          <t>KALMAR LÄN</t>
        </is>
      </c>
      <c r="G579" t="inlineStr">
        <is>
          <t>EMMABODA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46271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46271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44759</v>
      </c>
      <c r="E582" s="1" t="n">
        <v>46271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5182-2022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44594</v>
      </c>
      <c r="E583" s="1" t="n">
        <v>46271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46271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46271</v>
      </c>
      <c r="F585" t="inlineStr">
        <is>
          <t>KALMAR LÄN</t>
        </is>
      </c>
      <c r="G585" t="inlineStr">
        <is>
          <t>EMMABODA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46271</v>
      </c>
      <c r="F586" t="inlineStr">
        <is>
          <t>KALMAR LÄN</t>
        </is>
      </c>
      <c r="G586" t="inlineStr">
        <is>
          <t>EMMABODA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47149-2022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44852</v>
      </c>
      <c r="E587" s="1" t="n">
        <v>46271</v>
      </c>
      <c r="F587" t="inlineStr">
        <is>
          <t>KALMAR LÄN</t>
        </is>
      </c>
      <c r="G587" t="inlineStr">
        <is>
          <t>EMMABODA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36009-2023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45149</v>
      </c>
      <c r="E588" s="1" t="n">
        <v>46271</v>
      </c>
      <c r="F588" t="inlineStr">
        <is>
          <t>KALMAR LÄN</t>
        </is>
      </c>
      <c r="G588" t="inlineStr">
        <is>
          <t>EMMABODA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30515-2023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45111</v>
      </c>
      <c r="E589" s="1" t="n">
        <v>46271</v>
      </c>
      <c r="F589" t="inlineStr">
        <is>
          <t>KALMAR LÄN</t>
        </is>
      </c>
      <c r="G589" t="inlineStr">
        <is>
          <t>EMMABODA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45310</v>
      </c>
      <c r="E590" s="1" t="n">
        <v>46271</v>
      </c>
      <c r="F590" t="inlineStr">
        <is>
          <t>KALMAR LÄN</t>
        </is>
      </c>
      <c r="G590" t="inlineStr">
        <is>
          <t>EMMABODA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46271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28996-2026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46271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48926-2023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45204</v>
      </c>
      <c r="E593" s="1" t="n">
        <v>46271</v>
      </c>
      <c r="F593" t="inlineStr">
        <is>
          <t>KALMAR LÄN</t>
        </is>
      </c>
      <c r="G593" t="inlineStr">
        <is>
          <t>EMMABODA</t>
        </is>
      </c>
      <c r="H593" t="inlineStr">
        <is>
          <t>Övriga Aktiebolag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46271</v>
      </c>
      <c r="F594" t="inlineStr">
        <is>
          <t>KALMAR LÄN</t>
        </is>
      </c>
      <c r="G594" t="inlineStr">
        <is>
          <t>EMMABODA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21291-2023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46271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63254-2025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46271</v>
      </c>
      <c r="F596" t="inlineStr">
        <is>
          <t>KALMAR LÄN</t>
        </is>
      </c>
      <c r="G596" t="inlineStr">
        <is>
          <t>EMMABODA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28677-2026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46271</v>
      </c>
      <c r="F597" t="inlineStr">
        <is>
          <t>KALMAR LÄN</t>
        </is>
      </c>
      <c r="G597" t="inlineStr">
        <is>
          <t>EMMABODA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42194-2024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46271</v>
      </c>
      <c r="F598" t="inlineStr">
        <is>
          <t>KALMAR LÄN</t>
        </is>
      </c>
      <c r="G598" t="inlineStr">
        <is>
          <t>EMMABODA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46271</v>
      </c>
      <c r="F599" t="inlineStr">
        <is>
          <t>KALMAR LÄN</t>
        </is>
      </c>
      <c r="G599" t="inlineStr">
        <is>
          <t>EMMABODA</t>
        </is>
      </c>
      <c r="H599" t="inlineStr">
        <is>
          <t>Sveaskog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46271</v>
      </c>
      <c r="F600" t="inlineStr">
        <is>
          <t>KALMAR LÄN</t>
        </is>
      </c>
      <c r="G600" t="inlineStr">
        <is>
          <t>EMMABODA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5192-2025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46271</v>
      </c>
      <c r="F601" t="inlineStr">
        <is>
          <t>KALMAR LÄN</t>
        </is>
      </c>
      <c r="G601" t="inlineStr">
        <is>
          <t>EMMABODA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46197</v>
      </c>
      <c r="E602" s="1" t="n">
        <v>46271</v>
      </c>
      <c r="F602" t="inlineStr">
        <is>
          <t>KALMAR LÄN</t>
        </is>
      </c>
      <c r="G602" t="inlineStr">
        <is>
          <t>EMMABODA</t>
        </is>
      </c>
      <c r="H602" t="inlineStr">
        <is>
          <t>Sveaskog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46197</v>
      </c>
      <c r="E603" s="1" t="n">
        <v>46271</v>
      </c>
      <c r="F603" t="inlineStr">
        <is>
          <t>KALMAR LÄN</t>
        </is>
      </c>
      <c r="G603" t="inlineStr">
        <is>
          <t>EMMABODA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44589</v>
      </c>
      <c r="E604" s="1" t="n">
        <v>46271</v>
      </c>
      <c r="F604" t="inlineStr">
        <is>
          <t>KALMAR LÄN</t>
        </is>
      </c>
      <c r="G604" t="inlineStr">
        <is>
          <t>EMMABODA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44726</v>
      </c>
      <c r="E605" s="1" t="n">
        <v>46271</v>
      </c>
      <c r="F605" t="inlineStr">
        <is>
          <t>KALMAR LÄN</t>
        </is>
      </c>
      <c r="G605" t="inlineStr">
        <is>
          <t>EMMABODA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32853-2026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46271</v>
      </c>
      <c r="F606" t="inlineStr">
        <is>
          <t>KALMAR LÄN</t>
        </is>
      </c>
      <c r="G606" t="inlineStr">
        <is>
          <t>EMMABODA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45742</v>
      </c>
      <c r="E607" s="1" t="n">
        <v>46271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67538-2021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44524</v>
      </c>
      <c r="E608" s="1" t="n">
        <v>46271</v>
      </c>
      <c r="F608" t="inlineStr">
        <is>
          <t>KALMAR LÄN</t>
        </is>
      </c>
      <c r="G608" t="inlineStr">
        <is>
          <t>EMMABODA</t>
        </is>
      </c>
      <c r="I608" t="n">
        <v>11.6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24983-2022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44728</v>
      </c>
      <c r="E609" s="1" t="n">
        <v>46271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46271</v>
      </c>
      <c r="F610" t="inlineStr">
        <is>
          <t>KALMAR LÄN</t>
        </is>
      </c>
      <c r="G610" t="inlineStr">
        <is>
          <t>EMMABODA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38924-2022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44816</v>
      </c>
      <c r="E611" s="1" t="n">
        <v>46271</v>
      </c>
      <c r="F611" t="inlineStr">
        <is>
          <t>KALMAR LÄN</t>
        </is>
      </c>
      <c r="G611" t="inlineStr">
        <is>
          <t>EMMABODA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44924-2022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46271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46202</v>
      </c>
      <c r="E613" s="1" t="n">
        <v>46271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45595</v>
      </c>
      <c r="E614" s="1" t="n">
        <v>46271</v>
      </c>
      <c r="F614" t="inlineStr">
        <is>
          <t>KALMAR LÄN</t>
        </is>
      </c>
      <c r="G614" t="inlineStr">
        <is>
          <t>EMMABODA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57794-2022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46271</v>
      </c>
      <c r="F615" t="inlineStr">
        <is>
          <t>KALMAR LÄN</t>
        </is>
      </c>
      <c r="G615" t="inlineStr">
        <is>
          <t>EMMABODA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63215-2023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45273</v>
      </c>
      <c r="E616" s="1" t="n">
        <v>46271</v>
      </c>
      <c r="F616" t="inlineStr">
        <is>
          <t>KALMAR LÄN</t>
        </is>
      </c>
      <c r="G616" t="inlineStr">
        <is>
          <t>EMMABODA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45349</v>
      </c>
      <c r="E617" s="1" t="n">
        <v>46271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41545-2022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44827</v>
      </c>
      <c r="E618" s="1" t="n">
        <v>46271</v>
      </c>
      <c r="F618" t="inlineStr">
        <is>
          <t>KALMAR LÄN</t>
        </is>
      </c>
      <c r="G618" t="inlineStr">
        <is>
          <t>EMMABODA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46271</v>
      </c>
      <c r="F619" t="inlineStr">
        <is>
          <t>KALMAR LÄN</t>
        </is>
      </c>
      <c r="G619" t="inlineStr">
        <is>
          <t>EMMABODA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73058-2021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44550</v>
      </c>
      <c r="E620" s="1" t="n">
        <v>46271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46271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45385</v>
      </c>
      <c r="E622" s="1" t="n">
        <v>46271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45515</v>
      </c>
      <c r="E623" s="1" t="n">
        <v>46271</v>
      </c>
      <c r="F623" t="inlineStr">
        <is>
          <t>KALMAR LÄN</t>
        </is>
      </c>
      <c r="G623" t="inlineStr">
        <is>
          <t>EMMABODA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1702-2024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45307</v>
      </c>
      <c r="E624" s="1" t="n">
        <v>46271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46205</v>
      </c>
      <c r="E625" s="1" t="n">
        <v>46271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46271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43719-2023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45187</v>
      </c>
      <c r="E627" s="1" t="n">
        <v>46271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28600-2022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44748</v>
      </c>
      <c r="E628" s="1" t="n">
        <v>46271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46271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20505-2022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44699</v>
      </c>
      <c r="E630" s="1" t="n">
        <v>46271</v>
      </c>
      <c r="F630" t="inlineStr">
        <is>
          <t>KALMAR LÄN</t>
        </is>
      </c>
      <c r="G630" t="inlineStr">
        <is>
          <t>EMMABODA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15362-2024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45400</v>
      </c>
      <c r="E631" s="1" t="n">
        <v>46271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45229</v>
      </c>
      <c r="E632" s="1" t="n">
        <v>46271</v>
      </c>
      <c r="F632" t="inlineStr">
        <is>
          <t>KALMAR LÄN</t>
        </is>
      </c>
      <c r="G632" t="inlineStr">
        <is>
          <t>EMMABODA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46271</v>
      </c>
      <c r="F633" t="inlineStr">
        <is>
          <t>KALMAR LÄN</t>
        </is>
      </c>
      <c r="G633" t="inlineStr">
        <is>
          <t>EMMABODA</t>
        </is>
      </c>
      <c r="H633" t="inlineStr">
        <is>
          <t>Kyrkan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34146-2026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46253</v>
      </c>
      <c r="E634" s="1" t="n">
        <v>46271</v>
      </c>
      <c r="F634" t="inlineStr">
        <is>
          <t>KALMAR LÄN</t>
        </is>
      </c>
      <c r="G634" t="inlineStr">
        <is>
          <t>EMMABODA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46271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44769</v>
      </c>
      <c r="E636" s="1" t="n">
        <v>46271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18424-2026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46127</v>
      </c>
      <c r="E637" s="1" t="n">
        <v>46271</v>
      </c>
      <c r="F637" t="inlineStr">
        <is>
          <t>KALMAR LÄN</t>
        </is>
      </c>
      <c r="G637" t="inlineStr">
        <is>
          <t>EMMABODA</t>
        </is>
      </c>
      <c r="H637" t="inlineStr">
        <is>
          <t>Sveaskog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46271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46271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34191-2026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46253</v>
      </c>
      <c r="E640" s="1" t="n">
        <v>46271</v>
      </c>
      <c r="F640" t="inlineStr">
        <is>
          <t>KALMAR LÄN</t>
        </is>
      </c>
      <c r="G640" t="inlineStr">
        <is>
          <t>EMMABODA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45394</v>
      </c>
      <c r="E641" s="1" t="n">
        <v>46271</v>
      </c>
      <c r="F641" t="inlineStr">
        <is>
          <t>KALMAR LÄN</t>
        </is>
      </c>
      <c r="G641" t="inlineStr">
        <is>
          <t>EMMABODA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44955</v>
      </c>
      <c r="E642" s="1" t="n">
        <v>46271</v>
      </c>
      <c r="F642" t="inlineStr">
        <is>
          <t>KALMAR LÄN</t>
        </is>
      </c>
      <c r="G642" t="inlineStr">
        <is>
          <t>EMMABODA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45048</v>
      </c>
      <c r="E643" s="1" t="n">
        <v>46271</v>
      </c>
      <c r="F643" t="inlineStr">
        <is>
          <t>KALMAR LÄN</t>
        </is>
      </c>
      <c r="G643" t="inlineStr">
        <is>
          <t>EMMABODA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46271</v>
      </c>
      <c r="F644" t="inlineStr">
        <is>
          <t>KALMAR LÄN</t>
        </is>
      </c>
      <c r="G644" t="inlineStr">
        <is>
          <t>EMMABODA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46271</v>
      </c>
      <c r="F645" t="inlineStr">
        <is>
          <t>KALMAR LÄN</t>
        </is>
      </c>
      <c r="G645" t="inlineStr">
        <is>
          <t>EMMABODA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8151-2024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45351</v>
      </c>
      <c r="E646" s="1" t="n">
        <v>46271</v>
      </c>
      <c r="F646" t="inlineStr">
        <is>
          <t>KALMAR LÄN</t>
        </is>
      </c>
      <c r="G646" t="inlineStr">
        <is>
          <t>EMMABODA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36367-2024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45534</v>
      </c>
      <c r="E647" s="1" t="n">
        <v>46271</v>
      </c>
      <c r="F647" t="inlineStr">
        <is>
          <t>KALMAR LÄN</t>
        </is>
      </c>
      <c r="G647" t="inlineStr">
        <is>
          <t>EMMABODA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46271</v>
      </c>
      <c r="F648" t="inlineStr">
        <is>
          <t>KALMAR LÄN</t>
        </is>
      </c>
      <c r="G648" t="inlineStr">
        <is>
          <t>EMMABODA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45551</v>
      </c>
      <c r="E649" s="1" t="n">
        <v>46271</v>
      </c>
      <c r="F649" t="inlineStr">
        <is>
          <t>KALMAR LÄN</t>
        </is>
      </c>
      <c r="G649" t="inlineStr">
        <is>
          <t>EMMABODA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46212</v>
      </c>
      <c r="E650" s="1" t="n">
        <v>46271</v>
      </c>
      <c r="F650" t="inlineStr">
        <is>
          <t>KALMAR LÄN</t>
        </is>
      </c>
      <c r="G650" t="inlineStr">
        <is>
          <t>EMMABODA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33980-2024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46271</v>
      </c>
      <c r="F651" t="inlineStr">
        <is>
          <t>KALMAR LÄN</t>
        </is>
      </c>
      <c r="G651" t="inlineStr">
        <is>
          <t>EMMABODA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46271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46271</v>
      </c>
      <c r="F653" t="inlineStr">
        <is>
          <t>KALMAR LÄN</t>
        </is>
      </c>
      <c r="G653" t="inlineStr">
        <is>
          <t>EMMABODA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46271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46271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34913-2026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46271</v>
      </c>
      <c r="F656" t="inlineStr">
        <is>
          <t>KALMAR LÄN</t>
        </is>
      </c>
      <c r="G656" t="inlineStr">
        <is>
          <t>EMMABODA</t>
        </is>
      </c>
      <c r="H656" t="inlineStr">
        <is>
          <t>Kyrkan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46230</v>
      </c>
      <c r="E657" s="1" t="n">
        <v>46271</v>
      </c>
      <c r="F657" t="inlineStr">
        <is>
          <t>KALMAR LÄN</t>
        </is>
      </c>
      <c r="G657" t="inlineStr">
        <is>
          <t>EMMABODA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46271</v>
      </c>
      <c r="F658" t="inlineStr">
        <is>
          <t>KALMAR LÄN</t>
        </is>
      </c>
      <c r="G658" t="inlineStr">
        <is>
          <t>EMMABODA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46271</v>
      </c>
      <c r="F659" t="inlineStr">
        <is>
          <t>KALMAR LÄN</t>
        </is>
      </c>
      <c r="G659" t="inlineStr">
        <is>
          <t>EMMABODA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46271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46271</v>
      </c>
      <c r="F661" t="inlineStr">
        <is>
          <t>KALMAR LÄN</t>
        </is>
      </c>
      <c r="G661" t="inlineStr">
        <is>
          <t>EMMABODA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34896-2026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46271</v>
      </c>
      <c r="F662" t="inlineStr">
        <is>
          <t>KALMAR LÄN</t>
        </is>
      </c>
      <c r="G662" t="inlineStr">
        <is>
          <t>EMMABODA</t>
        </is>
      </c>
      <c r="H662" t="inlineStr">
        <is>
          <t>Kyrkan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39169-2024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46271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45415</v>
      </c>
      <c r="E664" s="1" t="n">
        <v>46271</v>
      </c>
      <c r="F664" t="inlineStr">
        <is>
          <t>KALMAR LÄN</t>
        </is>
      </c>
      <c r="G664" t="inlineStr">
        <is>
          <t>EMMABODA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59413-2024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45638</v>
      </c>
      <c r="E665" s="1" t="n">
        <v>46271</v>
      </c>
      <c r="F665" t="inlineStr">
        <is>
          <t>KALMAR LÄN</t>
        </is>
      </c>
      <c r="G665" t="inlineStr">
        <is>
          <t>EMMABODA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34891-2026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46271</v>
      </c>
      <c r="F666" t="inlineStr">
        <is>
          <t>KALMAR LÄN</t>
        </is>
      </c>
      <c r="G666" t="inlineStr">
        <is>
          <t>EMMABODA</t>
        </is>
      </c>
      <c r="H666" t="inlineStr">
        <is>
          <t>Kyrkan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46271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42448-2024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46271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46271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46271</v>
      </c>
      <c r="F670" t="inlineStr">
        <is>
          <t>KALMAR LÄN</t>
        </is>
      </c>
      <c r="G670" t="inlineStr">
        <is>
          <t>EMMABODA</t>
        </is>
      </c>
      <c r="H670" t="inlineStr">
        <is>
          <t>Kyrkan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46271</v>
      </c>
      <c r="F671" t="inlineStr">
        <is>
          <t>KALMAR LÄN</t>
        </is>
      </c>
      <c r="G671" t="inlineStr">
        <is>
          <t>EMMABODA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46271</v>
      </c>
      <c r="F672" t="inlineStr">
        <is>
          <t>KALMAR LÄN</t>
        </is>
      </c>
      <c r="G672" t="inlineStr">
        <is>
          <t>EMMABODA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49066-2021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44453</v>
      </c>
      <c r="E673" s="1" t="n">
        <v>46271</v>
      </c>
      <c r="F673" t="inlineStr">
        <is>
          <t>KALMAR LÄN</t>
        </is>
      </c>
      <c r="G673" t="inlineStr">
        <is>
          <t>EMMABODA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45481</v>
      </c>
      <c r="E674" s="1" t="n">
        <v>46271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45566</v>
      </c>
      <c r="E675" s="1" t="n">
        <v>46271</v>
      </c>
      <c r="F675" t="inlineStr">
        <is>
          <t>KALMAR LÄN</t>
        </is>
      </c>
      <c r="G675" t="inlineStr">
        <is>
          <t>EMMABODA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46429-2024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45582</v>
      </c>
      <c r="E676" s="1" t="n">
        <v>46271</v>
      </c>
      <c r="F676" t="inlineStr">
        <is>
          <t>KALMAR LÄN</t>
        </is>
      </c>
      <c r="G676" t="inlineStr">
        <is>
          <t>EMMABODA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46271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46271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45484</v>
      </c>
      <c r="E679" s="1" t="n">
        <v>46271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45688</v>
      </c>
      <c r="E680" s="1" t="n">
        <v>46271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45610</v>
      </c>
      <c r="E681" s="1" t="n">
        <v>46271</v>
      </c>
      <c r="F681" t="inlineStr">
        <is>
          <t>KALMAR LÄN</t>
        </is>
      </c>
      <c r="G681" t="inlineStr">
        <is>
          <t>EMMABODA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45400</v>
      </c>
      <c r="E682" s="1" t="n">
        <v>46271</v>
      </c>
      <c r="F682" t="inlineStr">
        <is>
          <t>KALMAR LÄN</t>
        </is>
      </c>
      <c r="G682" t="inlineStr">
        <is>
          <t>EMMABODA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46271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23776-2024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46271</v>
      </c>
      <c r="F684" t="inlineStr">
        <is>
          <t>KALMAR LÄN</t>
        </is>
      </c>
      <c r="G684" t="inlineStr">
        <is>
          <t>EMMABODA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34907-2026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46271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19551-2026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46134</v>
      </c>
      <c r="E686" s="1" t="n">
        <v>46271</v>
      </c>
      <c r="F686" t="inlineStr">
        <is>
          <t>KALMAR LÄN</t>
        </is>
      </c>
      <c r="G686" t="inlineStr">
        <is>
          <t>EMMABODA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27155-2026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46188</v>
      </c>
      <c r="E687" s="1" t="n">
        <v>46271</v>
      </c>
      <c r="F687" t="inlineStr">
        <is>
          <t>KALMAR LÄN</t>
        </is>
      </c>
      <c r="G687" t="inlineStr">
        <is>
          <t>EMMABODA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33160-2026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46245</v>
      </c>
      <c r="E688" s="1" t="n">
        <v>46271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36314-2026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46268</v>
      </c>
      <c r="E689" s="1" t="n">
        <v>46271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46271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46271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46271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46271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46271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46271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46271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46271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46271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46271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46271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46271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46271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46271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46271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46271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46271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46271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46271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46271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46271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46271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46271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46271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46271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46271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46271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46271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46271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46271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46271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46271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46271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46271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46271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46271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46271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46271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46271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46271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46271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46271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46271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46271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46271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46271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46271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46271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46271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46271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2026-09-06T02:04:13Z</dcterms:created>
  <dcterms:modified xmlns:dcterms="http://purl.org/dc/terms/" xmlns:xsi="http://www.w3.org/2001/XMLSchema-instance" xsi:type="dcterms:W3CDTF">2026-09-06T02:04:14Z</dcterms:modified>
</cp:coreProperties>
</file>