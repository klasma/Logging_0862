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46222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46222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46222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46222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46222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46222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46222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46222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46222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46222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46222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46222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46222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46222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46222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46222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46222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Lappuggla</t>
        </is>
      </c>
      <c r="V23">
        <f>HYPERLINK("https://klasma.github.io/Logging_0862/artfynd/A 31226-2022 artfynd.xlsx", "A 31226-2022")</f>
        <v/>
      </c>
      <c r="W23">
        <f>HYPERLINK("https://klasma.github.io/Logging_0862/kartor/A 31226-2022 karta.png", "A 31226-2022")</f>
        <v/>
      </c>
      <c r="Y23">
        <f>HYPERLINK("https://klasma.github.io/Logging_0862/klagomål/A 31226-2022 FSC-klagomål.docx", "A 31226-2022")</f>
        <v/>
      </c>
      <c r="Z23">
        <f>HYPERLINK("https://klasma.github.io/Logging_0862/klagomålsmail/A 31226-2022 FSC-klagomål mail.docx", "A 31226-2022")</f>
        <v/>
      </c>
      <c r="AA23">
        <f>HYPERLINK("https://klasma.github.io/Logging_0862/tillsyn/A 31226-2022 tillsynsbegäran.docx", "A 31226-2022")</f>
        <v/>
      </c>
      <c r="AB23">
        <f>HYPERLINK("https://klasma.github.io/Logging_0862/tillsynsmail/A 31226-2022 tillsynsbegäran mail.docx", "A 31226-2022")</f>
        <v/>
      </c>
      <c r="AC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46222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Åkerkulla</t>
        </is>
      </c>
      <c r="V24">
        <f>HYPERLINK("https://klasma.github.io/Logging_0862/artfynd/A 46550-2021 artfynd.xlsx", "A 46550-2021")</f>
        <v/>
      </c>
      <c r="W24">
        <f>HYPERLINK("https://klasma.github.io/Logging_0862/kartor/A 46550-2021 karta.png", "A 46550-2021")</f>
        <v/>
      </c>
      <c r="Y24">
        <f>HYPERLINK("https://klasma.github.io/Logging_0862/klagomål/A 46550-2021 FSC-klagomål.docx", "A 46550-2021")</f>
        <v/>
      </c>
      <c r="Z24">
        <f>HYPERLINK("https://klasma.github.io/Logging_0862/klagomålsmail/A 46550-2021 FSC-klagomål mail.docx", "A 46550-2021")</f>
        <v/>
      </c>
      <c r="AA24">
        <f>HYPERLINK("https://klasma.github.io/Logging_0862/tillsyn/A 46550-2021 tillsynsbegäran.docx", "A 46550-2021")</f>
        <v/>
      </c>
      <c r="AB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46222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Åkerkål</t>
        </is>
      </c>
      <c r="V25">
        <f>HYPERLINK("https://klasma.github.io/Logging_0862/artfynd/A 38119-2023 artfynd.xlsx", "A 38119-2023")</f>
        <v/>
      </c>
      <c r="W25">
        <f>HYPERLINK("https://klasma.github.io/Logging_0862/kartor/A 38119-2023 karta.png", "A 38119-2023")</f>
        <v/>
      </c>
      <c r="Y25">
        <f>HYPERLINK("https://klasma.github.io/Logging_0862/klagomål/A 38119-2023 FSC-klagomål.docx", "A 38119-2023")</f>
        <v/>
      </c>
      <c r="Z25">
        <f>HYPERLINK("https://klasma.github.io/Logging_0862/klagomålsmail/A 38119-2023 FSC-klagomål mail.docx", "A 38119-2023")</f>
        <v/>
      </c>
      <c r="AA25">
        <f>HYPERLINK("https://klasma.github.io/Logging_0862/tillsyn/A 38119-2023 tillsynsbegäran.docx", "A 38119-2023")</f>
        <v/>
      </c>
      <c r="AB25">
        <f>HYPERLINK("https://klasma.github.io/Logging_0862/tillsynsmail/A 38119-2023 tillsynsbegäran mail.docx", "A 38119-2023")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46222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HYPERLINK("https://klasma.github.io/Logging_0862/artfynd/A 39217-2023 artfynd.xlsx", "A 39217-2023")</f>
        <v/>
      </c>
      <c r="W26">
        <f>HYPERLINK("https://klasma.github.io/Logging_0862/kartor/A 39217-2023 karta.png", "A 39217-2023")</f>
        <v/>
      </c>
      <c r="Y26">
        <f>HYPERLINK("https://klasma.github.io/Logging_0862/klagomål/A 39217-2023 FSC-klagomål.docx", "A 39217-2023")</f>
        <v/>
      </c>
      <c r="Z26">
        <f>HYPERLINK("https://klasma.github.io/Logging_0862/klagomålsmail/A 39217-2023 FSC-klagomål mail.docx", "A 39217-2023")</f>
        <v/>
      </c>
      <c r="AA26">
        <f>HYPERLINK("https://klasma.github.io/Logging_0862/tillsyn/A 39217-2023 tillsynsbegäran.docx", "A 39217-2023")</f>
        <v/>
      </c>
      <c r="AB26">
        <f>HYPERLINK("https://klasma.github.io/Logging_0862/tillsynsmail/A 39217-2023 tillsynsbegäran mail.docx", "A 39217-2023")</f>
        <v/>
      </c>
    </row>
    <row r="27" ht="15" customHeight="1">
      <c r="A27" t="inlineStr">
        <is>
          <t>A 30597-2022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44762</v>
      </c>
      <c r="E27" s="1" t="n">
        <v>46222</v>
      </c>
      <c r="F27" t="inlineStr">
        <is>
          <t>KALMAR LÄN</t>
        </is>
      </c>
      <c r="G27" t="inlineStr">
        <is>
          <t>EMMABODA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HYPERLINK("https://klasma.github.io/Logging_0862/artfynd/A 30597-2022 artfynd.xlsx", "A 30597-2022")</f>
        <v/>
      </c>
      <c r="W27">
        <f>HYPERLINK("https://klasma.github.io/Logging_0862/kartor/A 30597-2022 karta.png", "A 30597-2022")</f>
        <v/>
      </c>
      <c r="Y27">
        <f>HYPERLINK("https://klasma.github.io/Logging_0862/klagomål/A 30597-2022 FSC-klagomål.docx", "A 30597-2022")</f>
        <v/>
      </c>
      <c r="Z27">
        <f>HYPERLINK("https://klasma.github.io/Logging_0862/klagomålsmail/A 30597-2022 FSC-klagomål mail.docx", "A 30597-2022")</f>
        <v/>
      </c>
      <c r="AA27">
        <f>HYPERLINK("https://klasma.github.io/Logging_0862/tillsyn/A 30597-2022 tillsynsbegäran.docx", "A 30597-2022")</f>
        <v/>
      </c>
      <c r="AB27">
        <f>HYPERLINK("https://klasma.github.io/Logging_0862/tillsynsmail/A 30597-2022 tillsynsbegäran mail.docx", "A 30597-2022")</f>
        <v/>
      </c>
    </row>
    <row r="28" ht="15" customHeight="1">
      <c r="A28" t="inlineStr">
        <is>
          <t>A 6247-2026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46222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HYPERLINK("https://klasma.github.io/Logging_0862/artfynd/A 6247-2026 artfynd.xlsx", "A 6247-2026")</f>
        <v/>
      </c>
      <c r="W28">
        <f>HYPERLINK("https://klasma.github.io/Logging_0862/kartor/A 6247-2026 karta.png", "A 6247-2026")</f>
        <v/>
      </c>
      <c r="Y28">
        <f>HYPERLINK("https://klasma.github.io/Logging_0862/klagomål/A 6247-2026 FSC-klagomål.docx", "A 6247-2026")</f>
        <v/>
      </c>
      <c r="Z28">
        <f>HYPERLINK("https://klasma.github.io/Logging_0862/klagomålsmail/A 6247-2026 FSC-klagomål mail.docx", "A 6247-2026")</f>
        <v/>
      </c>
      <c r="AA28">
        <f>HYPERLINK("https://klasma.github.io/Logging_0862/tillsyn/A 6247-2026 tillsynsbegäran.docx", "A 6247-2026")</f>
        <v/>
      </c>
      <c r="AB28">
        <f>HYPERLINK("https://klasma.github.io/Logging_0862/tillsynsmail/A 6247-2026 tillsynsbegäran mail.docx", "A 6247-2026")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46222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HYPERLINK("https://klasma.github.io/Logging_0862/artfynd/A 24282-2025 artfynd.xlsx", "A 24282-2025")</f>
        <v/>
      </c>
      <c r="W29">
        <f>HYPERLINK("https://klasma.github.io/Logging_0862/kartor/A 24282-2025 karta.png", "A 24282-2025")</f>
        <v/>
      </c>
      <c r="Y29">
        <f>HYPERLINK("https://klasma.github.io/Logging_0862/klagomål/A 24282-2025 FSC-klagomål.docx", "A 24282-2025")</f>
        <v/>
      </c>
      <c r="Z29">
        <f>HYPERLINK("https://klasma.github.io/Logging_0862/klagomålsmail/A 24282-2025 FSC-klagomål mail.docx", "A 24282-2025")</f>
        <v/>
      </c>
      <c r="AA29">
        <f>HYPERLINK("https://klasma.github.io/Logging_0862/tillsyn/A 24282-2025 tillsynsbegäran.docx", "A 24282-2025")</f>
        <v/>
      </c>
      <c r="AB29">
        <f>HYPERLINK("https://klasma.github.io/Logging_0862/tillsynsmail/A 24282-2025 tillsynsbegäran mail.docx", "A 24282-2025")</f>
        <v/>
      </c>
      <c r="AC29">
        <f>HYPERLINK("https://klasma.github.io/Logging_0862/fåglar/A 24282-2025 prioriterade fågelarter.docx", "A 24282-2025")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46222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Gröngöling</t>
        </is>
      </c>
      <c r="V30">
        <f>HYPERLINK("https://klasma.github.io/Logging_0862/artfynd/A 27416-2023 artfynd.xlsx", "A 27416-2023")</f>
        <v/>
      </c>
      <c r="W30">
        <f>HYPERLINK("https://klasma.github.io/Logging_0862/kartor/A 27416-2023 karta.png", "A 27416-2023")</f>
        <v/>
      </c>
      <c r="Y30">
        <f>HYPERLINK("https://klasma.github.io/Logging_0862/klagomål/A 27416-2023 FSC-klagomål.docx", "A 27416-2023")</f>
        <v/>
      </c>
      <c r="Z30">
        <f>HYPERLINK("https://klasma.github.io/Logging_0862/klagomålsmail/A 27416-2023 FSC-klagomål mail.docx", "A 27416-2023")</f>
        <v/>
      </c>
      <c r="AA30">
        <f>HYPERLINK("https://klasma.github.io/Logging_0862/tillsyn/A 27416-2023 tillsynsbegäran.docx", "A 27416-2023")</f>
        <v/>
      </c>
      <c r="AB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46222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HYPERLINK("https://klasma.github.io/Logging_0862/artfynd/A 60257-2021 artfynd.xlsx", "A 60257-2021")</f>
        <v/>
      </c>
      <c r="W31">
        <f>HYPERLINK("https://klasma.github.io/Logging_0862/kartor/A 60257-2021 karta.png", "A 60257-2021")</f>
        <v/>
      </c>
      <c r="X31">
        <f>HYPERLINK("https://klasma.github.io/Logging_0862/knärot/A 60257-2021 karta knärot.png", "A 60257-2021")</f>
        <v/>
      </c>
      <c r="Y31">
        <f>HYPERLINK("https://klasma.github.io/Logging_0862/klagomål/A 60257-2021 FSC-klagomål.docx", "A 60257-2021")</f>
        <v/>
      </c>
      <c r="Z31">
        <f>HYPERLINK("https://klasma.github.io/Logging_0862/klagomålsmail/A 60257-2021 FSC-klagomål mail.docx", "A 60257-2021")</f>
        <v/>
      </c>
      <c r="AA31">
        <f>HYPERLINK("https://klasma.github.io/Logging_0862/tillsyn/A 60257-2021 tillsynsbegäran.docx", "A 60257-2021")</f>
        <v/>
      </c>
      <c r="AB31">
        <f>HYPERLINK("https://klasma.github.io/Logging_0862/tillsynsmail/A 60257-2021 tillsynsbegäran mail.docx", "A 60257-2021")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46222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Göktyta</t>
        </is>
      </c>
      <c r="V32">
        <f>HYPERLINK("https://klasma.github.io/Logging_0862/artfynd/A 52182-2025 artfynd.xlsx", "A 52182-2025")</f>
        <v/>
      </c>
      <c r="W32">
        <f>HYPERLINK("https://klasma.github.io/Logging_0862/kartor/A 52182-2025 karta.png", "A 52182-2025")</f>
        <v/>
      </c>
      <c r="Y32">
        <f>HYPERLINK("https://klasma.github.io/Logging_0862/klagomål/A 52182-2025 FSC-klagomål.docx", "A 52182-2025")</f>
        <v/>
      </c>
      <c r="Z32">
        <f>HYPERLINK("https://klasma.github.io/Logging_0862/klagomålsmail/A 52182-2025 FSC-klagomål mail.docx", "A 52182-2025")</f>
        <v/>
      </c>
      <c r="AA32">
        <f>HYPERLINK("https://klasma.github.io/Logging_0862/tillsyn/A 52182-2025 tillsynsbegäran.docx", "A 52182-2025")</f>
        <v/>
      </c>
      <c r="AB32">
        <f>HYPERLINK("https://klasma.github.io/Logging_0862/tillsynsmail/A 52182-2025 tillsynsbegäran mail.docx", "A 52182-2025")</f>
        <v/>
      </c>
      <c r="AC32">
        <f>HYPERLINK("https://klasma.github.io/Logging_0862/fåglar/A 52182-2025 prioriterade fågelarter.docx", "A 52182-2025")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46222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Kungsfågel</t>
        </is>
      </c>
      <c r="V33">
        <f>HYPERLINK("https://klasma.github.io/Logging_0862/artfynd/A 46187-2023 artfynd.xlsx", "A 46187-2023")</f>
        <v/>
      </c>
      <c r="W33">
        <f>HYPERLINK("https://klasma.github.io/Logging_0862/kartor/A 46187-2023 karta.png", "A 46187-2023")</f>
        <v/>
      </c>
      <c r="Y33">
        <f>HYPERLINK("https://klasma.github.io/Logging_0862/klagomål/A 46187-2023 FSC-klagomål.docx", "A 46187-2023")</f>
        <v/>
      </c>
      <c r="Z33">
        <f>HYPERLINK("https://klasma.github.io/Logging_0862/klagomålsmail/A 46187-2023 FSC-klagomål mail.docx", "A 46187-2023")</f>
        <v/>
      </c>
      <c r="AA33">
        <f>HYPERLINK("https://klasma.github.io/Logging_0862/tillsyn/A 46187-2023 tillsynsbegäran.docx", "A 46187-2023")</f>
        <v/>
      </c>
      <c r="AB33">
        <f>HYPERLINK("https://klasma.github.io/Logging_0862/tillsynsmail/A 46187-2023 tillsynsbegäran mail.docx", "A 46187-2023")</f>
        <v/>
      </c>
    </row>
    <row r="34" ht="15" customHeight="1">
      <c r="A34" t="inlineStr">
        <is>
          <t>A 29859-2023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46222</v>
      </c>
      <c r="F34" t="inlineStr">
        <is>
          <t>KALMAR LÄN</t>
        </is>
      </c>
      <c r="G34" t="inlineStr">
        <is>
          <t>EMMABODA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HYPERLINK("https://klasma.github.io/Logging_0862/artfynd/A 29859-2023 artfynd.xlsx", "A 29859-2023")</f>
        <v/>
      </c>
      <c r="W34">
        <f>HYPERLINK("https://klasma.github.io/Logging_0862/kartor/A 29859-2023 karta.png", "A 29859-2023")</f>
        <v/>
      </c>
      <c r="Y34">
        <f>HYPERLINK("https://klasma.github.io/Logging_0862/klagomål/A 29859-2023 FSC-klagomål.docx", "A 29859-2023")</f>
        <v/>
      </c>
      <c r="Z34">
        <f>HYPERLINK("https://klasma.github.io/Logging_0862/klagomålsmail/A 29859-2023 FSC-klagomål mail.docx", "A 29859-2023")</f>
        <v/>
      </c>
      <c r="AA34">
        <f>HYPERLINK("https://klasma.github.io/Logging_0862/tillsyn/A 29859-2023 tillsynsbegäran.docx", "A 29859-2023")</f>
        <v/>
      </c>
      <c r="AB34">
        <f>HYPERLINK("https://klasma.github.io/Logging_0862/tillsynsmail/A 29859-2023 tillsynsbegäran mail.docx", "A 29859-2023")</f>
        <v/>
      </c>
      <c r="AC34">
        <f>HYPERLINK("https://klasma.github.io/Logging_0862/fåglar/A 29859-2023 prioriterade fågelarter.docx", "A 29859-2023")</f>
        <v/>
      </c>
    </row>
    <row r="35" ht="15" customHeight="1">
      <c r="A35" t="inlineStr">
        <is>
          <t>A 28871-2023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46222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HYPERLINK("https://klasma.github.io/Logging_0862/artfynd/A 28871-2023 artfynd.xlsx", "A 28871-2023")</f>
        <v/>
      </c>
      <c r="W35">
        <f>HYPERLINK("https://klasma.github.io/Logging_0862/kartor/A 28871-2023 karta.png", "A 28871-2023")</f>
        <v/>
      </c>
      <c r="Y35">
        <f>HYPERLINK("https://klasma.github.io/Logging_0862/klagomål/A 28871-2023 FSC-klagomål.docx", "A 28871-2023")</f>
        <v/>
      </c>
      <c r="Z35">
        <f>HYPERLINK("https://klasma.github.io/Logging_0862/klagomålsmail/A 28871-2023 FSC-klagomål mail.docx", "A 28871-2023")</f>
        <v/>
      </c>
      <c r="AA35">
        <f>HYPERLINK("https://klasma.github.io/Logging_0862/tillsyn/A 28871-2023 tillsynsbegäran.docx", "A 28871-2023")</f>
        <v/>
      </c>
      <c r="AB35">
        <f>HYPERLINK("https://klasma.github.io/Logging_0862/tillsynsmail/A 28871-2023 tillsynsbegäran mail.docx", "A 28871-2023")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46222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Älg</t>
        </is>
      </c>
      <c r="V36">
        <f>HYPERLINK("https://klasma.github.io/Logging_0862/artfynd/A 54981-2025 artfynd.xlsx", "A 54981-2025")</f>
        <v/>
      </c>
      <c r="W36">
        <f>HYPERLINK("https://klasma.github.io/Logging_0862/kartor/A 54981-2025 karta.png", "A 54981-2025")</f>
        <v/>
      </c>
      <c r="Y36">
        <f>HYPERLINK("https://klasma.github.io/Logging_0862/klagomål/A 54981-2025 FSC-klagomål.docx", "A 54981-2025")</f>
        <v/>
      </c>
      <c r="Z36">
        <f>HYPERLINK("https://klasma.github.io/Logging_0862/klagomålsmail/A 54981-2025 FSC-klagomål mail.docx", "A 54981-2025")</f>
        <v/>
      </c>
      <c r="AA36">
        <f>HYPERLINK("https://klasma.github.io/Logging_0862/tillsyn/A 54981-2025 tillsynsbegäran.docx", "A 54981-2025")</f>
        <v/>
      </c>
      <c r="AB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46222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Granspira</t>
        </is>
      </c>
      <c r="V37">
        <f>HYPERLINK("https://klasma.github.io/Logging_0862/artfynd/A 19763-2026 artfynd.xlsx", "A 19763-2026")</f>
        <v/>
      </c>
      <c r="W37">
        <f>HYPERLINK("https://klasma.github.io/Logging_0862/kartor/A 19763-2026 karta.png", "A 19763-2026")</f>
        <v/>
      </c>
      <c r="Y37">
        <f>HYPERLINK("https://klasma.github.io/Logging_0862/klagomål/A 19763-2026 FSC-klagomål.docx", "A 19763-2026")</f>
        <v/>
      </c>
      <c r="Z37">
        <f>HYPERLINK("https://klasma.github.io/Logging_0862/klagomålsmail/A 19763-2026 FSC-klagomål mail.docx", "A 19763-2026")</f>
        <v/>
      </c>
      <c r="AA37">
        <f>HYPERLINK("https://klasma.github.io/Logging_0862/tillsyn/A 19763-2026 tillsynsbegäran.docx", "A 19763-2026")</f>
        <v/>
      </c>
      <c r="AB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46222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Pärluggla</t>
        </is>
      </c>
      <c r="V38">
        <f>HYPERLINK("https://klasma.github.io/Logging_0862/artfynd/A 18621-2025 artfynd.xlsx", "A 18621-2025")</f>
        <v/>
      </c>
      <c r="W38">
        <f>HYPERLINK("https://klasma.github.io/Logging_0862/kartor/A 18621-2025 karta.png", "A 18621-2025")</f>
        <v/>
      </c>
      <c r="Y38">
        <f>HYPERLINK("https://klasma.github.io/Logging_0862/klagomål/A 18621-2025 FSC-klagomål.docx", "A 18621-2025")</f>
        <v/>
      </c>
      <c r="Z38">
        <f>HYPERLINK("https://klasma.github.io/Logging_0862/klagomålsmail/A 18621-2025 FSC-klagomål mail.docx", "A 18621-2025")</f>
        <v/>
      </c>
      <c r="AA38">
        <f>HYPERLINK("https://klasma.github.io/Logging_0862/tillsyn/A 18621-2025 tillsynsbegäran.docx", "A 18621-2025")</f>
        <v/>
      </c>
      <c r="AB38">
        <f>HYPERLINK("https://klasma.github.io/Logging_0862/tillsynsmail/A 18621-2025 tillsynsbegäran mail.docx", "A 18621-2025")</f>
        <v/>
      </c>
      <c r="AC38">
        <f>HYPERLINK("https://klasma.github.io/Logging_0862/fåglar/A 18621-2025 prioriterade fågelarter.docx", "A 18621-2025")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46222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Grönpyrola</t>
        </is>
      </c>
      <c r="V39">
        <f>HYPERLINK("https://klasma.github.io/Logging_0862/artfynd/A 770-2022 artfynd.xlsx", "A 770-2022")</f>
        <v/>
      </c>
      <c r="W39">
        <f>HYPERLINK("https://klasma.github.io/Logging_0862/kartor/A 770-2022 karta.png", "A 770-2022")</f>
        <v/>
      </c>
      <c r="Y39">
        <f>HYPERLINK("https://klasma.github.io/Logging_0862/klagomål/A 770-2022 FSC-klagomål.docx", "A 770-2022")</f>
        <v/>
      </c>
      <c r="Z39">
        <f>HYPERLINK("https://klasma.github.io/Logging_0862/klagomålsmail/A 770-2022 FSC-klagomål mail.docx", "A 770-2022")</f>
        <v/>
      </c>
      <c r="AA39">
        <f>HYPERLINK("https://klasma.github.io/Logging_0862/tillsyn/A 770-2022 tillsynsbegäran.docx", "A 770-2022")</f>
        <v/>
      </c>
      <c r="AB39">
        <f>HYPERLINK("https://klasma.github.io/Logging_0862/tillsynsmail/A 770-2022 tillsynsbegäran mail.docx", "A 770-2022")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46222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Småjungfrukam</t>
        </is>
      </c>
      <c r="V40">
        <f>HYPERLINK("https://klasma.github.io/Logging_0862/artfynd/A 9633-2023 artfynd.xlsx", "A 9633-2023")</f>
        <v/>
      </c>
      <c r="W40">
        <f>HYPERLINK("https://klasma.github.io/Logging_0862/kartor/A 9633-2023 karta.png", "A 9633-2023")</f>
        <v/>
      </c>
      <c r="Y40">
        <f>HYPERLINK("https://klasma.github.io/Logging_0862/klagomål/A 9633-2023 FSC-klagomål.docx", "A 9633-2023")</f>
        <v/>
      </c>
      <c r="Z40">
        <f>HYPERLINK("https://klasma.github.io/Logging_0862/klagomålsmail/A 9633-2023 FSC-klagomål mail.docx", "A 9633-2023")</f>
        <v/>
      </c>
      <c r="AA40">
        <f>HYPERLINK("https://klasma.github.io/Logging_0862/tillsyn/A 9633-2023 tillsynsbegäran.docx", "A 9633-2023")</f>
        <v/>
      </c>
      <c r="AB40">
        <f>HYPERLINK("https://klasma.github.io/Logging_0862/tillsynsmail/A 9633-2023 tillsynsbegäran mail.docx", "A 9633-2023")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46222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HYPERLINK("https://klasma.github.io/Logging_0862/artfynd/A 53370-2023 artfynd.xlsx", "A 53370-2023")</f>
        <v/>
      </c>
      <c r="W41">
        <f>HYPERLINK("https://klasma.github.io/Logging_0862/kartor/A 53370-2023 karta.png", "A 53370-2023")</f>
        <v/>
      </c>
      <c r="X41">
        <f>HYPERLINK("https://klasma.github.io/Logging_0862/knärot/A 53370-2023 karta knärot.png", "A 53370-2023")</f>
        <v/>
      </c>
      <c r="Y41">
        <f>HYPERLINK("https://klasma.github.io/Logging_0862/klagomål/A 53370-2023 FSC-klagomål.docx", "A 53370-2023")</f>
        <v/>
      </c>
      <c r="Z41">
        <f>HYPERLINK("https://klasma.github.io/Logging_0862/klagomålsmail/A 53370-2023 FSC-klagomål mail.docx", "A 53370-2023")</f>
        <v/>
      </c>
      <c r="AA41">
        <f>HYPERLINK("https://klasma.github.io/Logging_0862/tillsyn/A 53370-2023 tillsynsbegäran.docx", "A 53370-2023")</f>
        <v/>
      </c>
      <c r="AB41">
        <f>HYPERLINK("https://klasma.github.io/Logging_0862/tillsynsmail/A 53370-2023 tillsynsbegäran mail.docx", "A 53370-2023")</f>
        <v/>
      </c>
    </row>
    <row r="42" ht="15" customHeight="1">
      <c r="A42" t="inlineStr">
        <is>
          <t>A 6612-2023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44966</v>
      </c>
      <c r="E42" s="1" t="n">
        <v>46222</v>
      </c>
      <c r="F42" t="inlineStr">
        <is>
          <t>KALMAR LÄN</t>
        </is>
      </c>
      <c r="G42" t="inlineStr">
        <is>
          <t>EMMABODA</t>
        </is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Korallrot</t>
        </is>
      </c>
      <c r="V42">
        <f>HYPERLINK("https://klasma.github.io/Logging_0862/artfynd/A 6612-2023 artfynd.xlsx", "A 6612-2023")</f>
        <v/>
      </c>
      <c r="W42">
        <f>HYPERLINK("https://klasma.github.io/Logging_0862/kartor/A 6612-2023 karta.png", "A 6612-2023")</f>
        <v/>
      </c>
      <c r="Y42">
        <f>HYPERLINK("https://klasma.github.io/Logging_0862/klagomål/A 6612-2023 FSC-klagomål.docx", "A 6612-2023")</f>
        <v/>
      </c>
      <c r="Z42">
        <f>HYPERLINK("https://klasma.github.io/Logging_0862/klagomålsmail/A 6612-2023 FSC-klagomål mail.docx", "A 6612-2023")</f>
        <v/>
      </c>
      <c r="AA42">
        <f>HYPERLINK("https://klasma.github.io/Logging_0862/tillsyn/A 6612-2023 tillsynsbegäran.docx", "A 6612-2023")</f>
        <v/>
      </c>
      <c r="AB42">
        <f>HYPERLINK("https://klasma.github.io/Logging_0862/tillsynsmail/A 6612-2023 tillsynsbegäran mail.docx", "A 6612-2023")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46222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Åkerkål</t>
        </is>
      </c>
      <c r="V43">
        <f>HYPERLINK("https://klasma.github.io/Logging_0862/artfynd/A 58297-2021 artfynd.xlsx", "A 58297-2021")</f>
        <v/>
      </c>
      <c r="W43">
        <f>HYPERLINK("https://klasma.github.io/Logging_0862/kartor/A 58297-2021 karta.png", "A 58297-2021")</f>
        <v/>
      </c>
      <c r="Y43">
        <f>HYPERLINK("https://klasma.github.io/Logging_0862/klagomål/A 58297-2021 FSC-klagomål.docx", "A 58297-2021")</f>
        <v/>
      </c>
      <c r="Z43">
        <f>HYPERLINK("https://klasma.github.io/Logging_0862/klagomålsmail/A 58297-2021 FSC-klagomål mail.docx", "A 58297-2021")</f>
        <v/>
      </c>
      <c r="AA43">
        <f>HYPERLINK("https://klasma.github.io/Logging_0862/tillsyn/A 58297-2021 tillsynsbegäran.docx", "A 58297-2021")</f>
        <v/>
      </c>
      <c r="AB43">
        <f>HYPERLINK("https://klasma.github.io/Logging_0862/tillsynsmail/A 58297-2021 tillsynsbegäran mail.docx", "A 58297-2021")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46222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Mörk dunört</t>
        </is>
      </c>
      <c r="V44">
        <f>HYPERLINK("https://klasma.github.io/Logging_0862/artfynd/A 30949-2026 artfynd.xlsx", "A 30949-2026")</f>
        <v/>
      </c>
      <c r="W44">
        <f>HYPERLINK("https://klasma.github.io/Logging_0862/kartor/A 30949-2026 karta.png", "A 30949-2026")</f>
        <v/>
      </c>
      <c r="Y44">
        <f>HYPERLINK("https://klasma.github.io/Logging_0862/klagomål/A 30949-2026 FSC-klagomål.docx", "A 30949-2026")</f>
        <v/>
      </c>
      <c r="Z44">
        <f>HYPERLINK("https://klasma.github.io/Logging_0862/klagomålsmail/A 30949-2026 FSC-klagomål mail.docx", "A 30949-2026")</f>
        <v/>
      </c>
      <c r="AA44">
        <f>HYPERLINK("https://klasma.github.io/Logging_0862/tillsyn/A 30949-2026 tillsynsbegäran.docx", "A 30949-2026")</f>
        <v/>
      </c>
      <c r="AB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46222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s="2" t="inlineStr">
        <is>
          <t>Ask</t>
        </is>
      </c>
      <c r="V45">
        <f>HYPERLINK("https://klasma.github.io/Logging_0862/artfynd/A 31024-2026 artfynd.xlsx", "A 31024-2026")</f>
        <v/>
      </c>
      <c r="W45">
        <f>HYPERLINK("https://klasma.github.io/Logging_0862/kartor/A 31024-2026 karta.png", "A 31024-2026")</f>
        <v/>
      </c>
      <c r="Y45">
        <f>HYPERLINK("https://klasma.github.io/Logging_0862/klagomål/A 31024-2026 FSC-klagomål.docx", "A 31024-2026")</f>
        <v/>
      </c>
      <c r="Z45">
        <f>HYPERLINK("https://klasma.github.io/Logging_0862/klagomålsmail/A 31024-2026 FSC-klagomål mail.docx", "A 31024-2026")</f>
        <v/>
      </c>
      <c r="AA45">
        <f>HYPERLINK("https://klasma.github.io/Logging_0862/tillsyn/A 31024-2026 tillsynsbegäran.docx", "A 31024-2026")</f>
        <v/>
      </c>
      <c r="AB45">
        <f>HYPERLINK("https://klasma.github.io/Logging_0862/tillsynsmail/A 31024-2026 tillsynsbegäran mail.docx", "A 31024-2026")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46222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Stubbspretmossa</t>
        </is>
      </c>
      <c r="V46">
        <f>HYPERLINK("https://klasma.github.io/Logging_0862/artfynd/A 31261-2026 artfynd.xlsx", "A 31261-2026")</f>
        <v/>
      </c>
      <c r="W46">
        <f>HYPERLINK("https://klasma.github.io/Logging_0862/kartor/A 31261-2026 karta.png", "A 31261-2026")</f>
        <v/>
      </c>
      <c r="Y46">
        <f>HYPERLINK("https://klasma.github.io/Logging_0862/klagomål/A 31261-2026 FSC-klagomål.docx", "A 31261-2026")</f>
        <v/>
      </c>
      <c r="Z46">
        <f>HYPERLINK("https://klasma.github.io/Logging_0862/klagomålsmail/A 31261-2026 FSC-klagomål mail.docx", "A 31261-2026")</f>
        <v/>
      </c>
      <c r="AA46">
        <f>HYPERLINK("https://klasma.github.io/Logging_0862/tillsyn/A 31261-2026 tillsynsbegäran.docx", "A 31261-2026")</f>
        <v/>
      </c>
      <c r="AB46">
        <f>HYPERLINK("https://klasma.github.io/Logging_0862/tillsynsmail/A 31261-2026 tillsynsbegäran mail.docx", "A 31261-2026")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46222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Grön sköldmossa</t>
        </is>
      </c>
      <c r="V47">
        <f>HYPERLINK("https://klasma.github.io/Logging_0862/artfynd/A 5884-2024 artfynd.xlsx", "A 5884-2024")</f>
        <v/>
      </c>
      <c r="W47">
        <f>HYPERLINK("https://klasma.github.io/Logging_0862/kartor/A 5884-2024 karta.png", "A 5884-2024")</f>
        <v/>
      </c>
      <c r="Y47">
        <f>HYPERLINK("https://klasma.github.io/Logging_0862/klagomål/A 5884-2024 FSC-klagomål.docx", "A 5884-2024")</f>
        <v/>
      </c>
      <c r="Z47">
        <f>HYPERLINK("https://klasma.github.io/Logging_0862/klagomålsmail/A 5884-2024 FSC-klagomål mail.docx", "A 5884-2024")</f>
        <v/>
      </c>
      <c r="AA47">
        <f>HYPERLINK("https://klasma.github.io/Logging_0862/tillsyn/A 5884-2024 tillsynsbegäran.docx", "A 5884-2024")</f>
        <v/>
      </c>
      <c r="AB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46222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Åkerkål</t>
        </is>
      </c>
      <c r="V48">
        <f>HYPERLINK("https://klasma.github.io/Logging_0862/artfynd/A 21846-2023 artfynd.xlsx", "A 21846-2023")</f>
        <v/>
      </c>
      <c r="W48">
        <f>HYPERLINK("https://klasma.github.io/Logging_0862/kartor/A 21846-2023 karta.png", "A 21846-2023")</f>
        <v/>
      </c>
      <c r="Y48">
        <f>HYPERLINK("https://klasma.github.io/Logging_0862/klagomål/A 21846-2023 FSC-klagomål.docx", "A 21846-2023")</f>
        <v/>
      </c>
      <c r="Z48">
        <f>HYPERLINK("https://klasma.github.io/Logging_0862/klagomålsmail/A 21846-2023 FSC-klagomål mail.docx", "A 21846-2023")</f>
        <v/>
      </c>
      <c r="AA48">
        <f>HYPERLINK("https://klasma.github.io/Logging_0862/tillsyn/A 21846-2023 tillsynsbegäran.docx", "A 21846-2023")</f>
        <v/>
      </c>
      <c r="AB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46222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Blåmossa</t>
        </is>
      </c>
      <c r="V49">
        <f>HYPERLINK("https://klasma.github.io/Logging_0862/artfynd/A 58883-2022 artfynd.xlsx", "A 58883-2022")</f>
        <v/>
      </c>
      <c r="W49">
        <f>HYPERLINK("https://klasma.github.io/Logging_0862/kartor/A 58883-2022 karta.png", "A 58883-2022")</f>
        <v/>
      </c>
      <c r="Y49">
        <f>HYPERLINK("https://klasma.github.io/Logging_0862/klagomål/A 58883-2022 FSC-klagomål.docx", "A 58883-2022")</f>
        <v/>
      </c>
      <c r="Z49">
        <f>HYPERLINK("https://klasma.github.io/Logging_0862/klagomålsmail/A 58883-2022 FSC-klagomål mail.docx", "A 58883-2022")</f>
        <v/>
      </c>
      <c r="AA49">
        <f>HYPERLINK("https://klasma.github.io/Logging_0862/tillsyn/A 58883-2022 tillsynsbegäran.docx", "A 58883-2022")</f>
        <v/>
      </c>
      <c r="AB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46222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Revig blodrot</t>
        </is>
      </c>
      <c r="V50">
        <f>HYPERLINK("https://klasma.github.io/Logging_0862/artfynd/S 523-2022 artfynd.xlsx", "S 523-2022")</f>
        <v/>
      </c>
      <c r="W50">
        <f>HYPERLINK("https://klasma.github.io/Logging_0862/kartor/S 523-2022 karta.png", "S 523-2022")</f>
        <v/>
      </c>
      <c r="Y50">
        <f>HYPERLINK("https://klasma.github.io/Logging_0862/klagomål/S 523-2022 FSC-klagomål.docx", "S 523-2022")</f>
        <v/>
      </c>
      <c r="Z50">
        <f>HYPERLINK("https://klasma.github.io/Logging_0862/klagomålsmail/S 523-2022 FSC-klagomål mail.docx", "S 523-2022")</f>
        <v/>
      </c>
      <c r="AA50">
        <f>HYPERLINK("https://klasma.github.io/Logging_0862/tillsyn/S 523-2022 tillsynsbegäran.docx", "S 523-2022")</f>
        <v/>
      </c>
      <c r="AB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46222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Trubbdaggkåpa</t>
        </is>
      </c>
      <c r="V51">
        <f>HYPERLINK("https://klasma.github.io/Logging_0862/artfynd/S 2956-2024 artfynd.xlsx", "S 2956-2024")</f>
        <v/>
      </c>
      <c r="W51">
        <f>HYPERLINK("https://klasma.github.io/Logging_0862/kartor/S 2956-2024 karta.png", "S 2956-2024")</f>
        <v/>
      </c>
      <c r="Y51">
        <f>HYPERLINK("https://klasma.github.io/Logging_0862/klagomål/S 2956-2024 FSC-klagomål.docx", "S 2956-2024")</f>
        <v/>
      </c>
      <c r="Z51">
        <f>HYPERLINK("https://klasma.github.io/Logging_0862/klagomålsmail/S 2956-2024 FSC-klagomål mail.docx", "S 2956-2024")</f>
        <v/>
      </c>
      <c r="AA51">
        <f>HYPERLINK("https://klasma.github.io/Logging_0862/tillsyn/S 2956-2024 tillsynsbegäran.docx", "S 2956-2024")</f>
        <v/>
      </c>
      <c r="AB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46222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HYPERLINK("https://klasma.github.io/Logging_0862/artfynd/S 1032-2024 artfynd.xlsx", "S 1032-2024")</f>
        <v/>
      </c>
      <c r="W52">
        <f>HYPERLINK("https://klasma.github.io/Logging_0862/kartor/S 1032-2024 karta.png", "S 1032-2024")</f>
        <v/>
      </c>
      <c r="Y52">
        <f>HYPERLINK("https://klasma.github.io/Logging_0862/klagomål/S 1032-2024 FSC-klagomål.docx", "S 1032-2024")</f>
        <v/>
      </c>
      <c r="Z52">
        <f>HYPERLINK("https://klasma.github.io/Logging_0862/klagomålsmail/S 1032-2024 FSC-klagomål mail.docx", "S 1032-2024")</f>
        <v/>
      </c>
      <c r="AA52">
        <f>HYPERLINK("https://klasma.github.io/Logging_0862/tillsyn/S 1032-2024 tillsynsbegäran.docx", "S 1032-2024")</f>
        <v/>
      </c>
      <c r="AB52">
        <f>HYPERLINK("https://klasma.github.io/Logging_0862/tillsynsmail/S 1032-2024 tillsynsbegäran mail.docx", "S 1032-2024")</f>
        <v/>
      </c>
      <c r="AC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46222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4798-2024 artfynd.xlsx", "S 4798-2024")</f>
        <v/>
      </c>
      <c r="W53">
        <f>HYPERLINK("https://klasma.github.io/Logging_0862/kartor/S 4798-2024 karta.png", "S 4798-2024")</f>
        <v/>
      </c>
      <c r="Y53">
        <f>HYPERLINK("https://klasma.github.io/Logging_0862/klagomål/S 4798-2024 FSC-klagomål.docx", "S 4798-2024")</f>
        <v/>
      </c>
      <c r="Z53">
        <f>HYPERLINK("https://klasma.github.io/Logging_0862/klagomålsmail/S 4798-2024 FSC-klagomål mail.docx", "S 4798-2024")</f>
        <v/>
      </c>
      <c r="AA53">
        <f>HYPERLINK("https://klasma.github.io/Logging_0862/tillsyn/S 4798-2024 tillsynsbegäran.docx", "S 4798-2024")</f>
        <v/>
      </c>
      <c r="AB53">
        <f>HYPERLINK("https://klasma.github.io/Logging_0862/tillsynsmail/S 4798-2024 tillsynsbegäran mail.docx", "S 4798-2024")</f>
        <v/>
      </c>
      <c r="AC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46222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HYPERLINK("https://klasma.github.io/Logging_0862/artfynd/S 362-2024 artfynd.xlsx", "S 362-2024")</f>
        <v/>
      </c>
      <c r="W54">
        <f>HYPERLINK("https://klasma.github.io/Logging_0862/kartor/S 362-2024 karta.png", "S 362-2024")</f>
        <v/>
      </c>
      <c r="X54">
        <f>HYPERLINK("https://klasma.github.io/Logging_0862/knärot/S 362-2024 karta knärot.png", "S 362-2024")</f>
        <v/>
      </c>
      <c r="Y54">
        <f>HYPERLINK("https://klasma.github.io/Logging_0862/klagomål/S 362-2024 FSC-klagomål.docx", "S 362-2024")</f>
        <v/>
      </c>
      <c r="Z54">
        <f>HYPERLINK("https://klasma.github.io/Logging_0862/klagomålsmail/S 362-2024 FSC-klagomål mail.docx", "S 362-2024")</f>
        <v/>
      </c>
      <c r="AA54">
        <f>HYPERLINK("https://klasma.github.io/Logging_0862/tillsyn/S 362-2024 tillsynsbegäran.docx", "S 362-2024")</f>
        <v/>
      </c>
      <c r="AB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46222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HYPERLINK("https://klasma.github.io/Logging_0862/artfynd/S 5807-2022 artfynd.xlsx", "S 5807-2022")</f>
        <v/>
      </c>
      <c r="W55">
        <f>HYPERLINK("https://klasma.github.io/Logging_0862/kartor/S 5807-2022 karta.png", "S 5807-2022")</f>
        <v/>
      </c>
      <c r="Y55">
        <f>HYPERLINK("https://klasma.github.io/Logging_0862/klagomål/S 5807-2022 FSC-klagomål.docx", "S 5807-2022")</f>
        <v/>
      </c>
      <c r="Z55">
        <f>HYPERLINK("https://klasma.github.io/Logging_0862/klagomålsmail/S 5807-2022 FSC-klagomål mail.docx", "S 5807-2022")</f>
        <v/>
      </c>
      <c r="AA55">
        <f>HYPERLINK("https://klasma.github.io/Logging_0862/tillsyn/S 5807-2022 tillsynsbegäran.docx", "S 5807-2022")</f>
        <v/>
      </c>
      <c r="AB55">
        <f>HYPERLINK("https://klasma.github.io/Logging_0862/tillsynsmail/S 5807-2022 tillsynsbegäran mail.docx", "S 5807-2022")</f>
        <v/>
      </c>
      <c r="AC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46222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Åkerkulla</t>
        </is>
      </c>
      <c r="V56">
        <f>HYPERLINK("https://klasma.github.io/Logging_0862/artfynd/S 1924-2024 artfynd.xlsx", "S 1924-2024")</f>
        <v/>
      </c>
      <c r="W56">
        <f>HYPERLINK("https://klasma.github.io/Logging_0862/kartor/S 1924-2024 karta.png", "S 1924-2024")</f>
        <v/>
      </c>
      <c r="Y56">
        <f>HYPERLINK("https://klasma.github.io/Logging_0862/klagomål/S 1924-2024 FSC-klagomål.docx", "S 1924-2024")</f>
        <v/>
      </c>
      <c r="Z56">
        <f>HYPERLINK("https://klasma.github.io/Logging_0862/klagomålsmail/S 1924-2024 FSC-klagomål mail.docx", "S 1924-2024")</f>
        <v/>
      </c>
      <c r="AA56">
        <f>HYPERLINK("https://klasma.github.io/Logging_0862/tillsyn/S 1924-2024 tillsynsbegäran.docx", "S 1924-2024")</f>
        <v/>
      </c>
      <c r="AB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46222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Slåttergubbe</t>
        </is>
      </c>
      <c r="V57">
        <f>HYPERLINK("https://klasma.github.io/Logging_0862/artfynd/S 2684-2023 artfynd.xlsx", "S 2684-2023")</f>
        <v/>
      </c>
      <c r="W57">
        <f>HYPERLINK("https://klasma.github.io/Logging_0862/kartor/S 2684-2023 karta.png", "S 2684-2023")</f>
        <v/>
      </c>
      <c r="Y57">
        <f>HYPERLINK("https://klasma.github.io/Logging_0862/klagomål/S 2684-2023 FSC-klagomål.docx", "S 2684-2023")</f>
        <v/>
      </c>
      <c r="Z57">
        <f>HYPERLINK("https://klasma.github.io/Logging_0862/klagomålsmail/S 2684-2023 FSC-klagomål mail.docx", "S 2684-2023")</f>
        <v/>
      </c>
      <c r="AA57">
        <f>HYPERLINK("https://klasma.github.io/Logging_0862/tillsyn/S 2684-2023 tillsynsbegäran.docx", "S 2684-2023")</f>
        <v/>
      </c>
      <c r="AB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46222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 sköldmossa</t>
        </is>
      </c>
      <c r="V58">
        <f>HYPERLINK("https://klasma.github.io/Logging_0862/artfynd/S 1009-2024 artfynd.xlsx", "S 1009-2024")</f>
        <v/>
      </c>
      <c r="W58">
        <f>HYPERLINK("https://klasma.github.io/Logging_0862/kartor/S 1009-2024 karta.png", "S 1009-2024")</f>
        <v/>
      </c>
      <c r="Y58">
        <f>HYPERLINK("https://klasma.github.io/Logging_0862/klagomål/S 1009-2024 FSC-klagomål.docx", "S 1009-2024")</f>
        <v/>
      </c>
      <c r="Z58">
        <f>HYPERLINK("https://klasma.github.io/Logging_0862/klagomålsmail/S 1009-2024 FSC-klagomål mail.docx", "S 1009-2024")</f>
        <v/>
      </c>
      <c r="AA58">
        <f>HYPERLINK("https://klasma.github.io/Logging_0862/tillsyn/S 1009-2024 tillsynsbegäran.docx", "S 1009-2024")</f>
        <v/>
      </c>
      <c r="AB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46222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Trädlärka</t>
        </is>
      </c>
      <c r="V59">
        <f>HYPERLINK("https://klasma.github.io/Logging_0862/artfynd/S 272-2025 artfynd.xlsx", "S 272-2025")</f>
        <v/>
      </c>
      <c r="W59">
        <f>HYPERLINK("https://klasma.github.io/Logging_0862/kartor/S 272-2025 karta.png", "S 272-2025")</f>
        <v/>
      </c>
      <c r="Y59">
        <f>HYPERLINK("https://klasma.github.io/Logging_0862/klagomål/S 272-2025 FSC-klagomål.docx", "S 272-2025")</f>
        <v/>
      </c>
      <c r="Z59">
        <f>HYPERLINK("https://klasma.github.io/Logging_0862/klagomålsmail/S 272-2025 FSC-klagomål mail.docx", "S 272-2025")</f>
        <v/>
      </c>
      <c r="AA59">
        <f>HYPERLINK("https://klasma.github.io/Logging_0862/tillsyn/S 272-2025 tillsynsbegäran.docx", "S 272-2025")</f>
        <v/>
      </c>
      <c r="AB59">
        <f>HYPERLINK("https://klasma.github.io/Logging_0862/tillsynsmail/S 272-2025 tillsynsbegäran mail.docx", "S 272-2025")</f>
        <v/>
      </c>
      <c r="AC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46222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Lappuggla</t>
        </is>
      </c>
      <c r="V60">
        <f>HYPERLINK("https://klasma.github.io/Logging_0862/artfynd/S 1773-2025 artfynd.xlsx", "S 1773-2025")</f>
        <v/>
      </c>
      <c r="W60">
        <f>HYPERLINK("https://klasma.github.io/Logging_0862/kartor/S 1773-2025 karta.png", "S 1773-2025")</f>
        <v/>
      </c>
      <c r="Y60">
        <f>HYPERLINK("https://klasma.github.io/Logging_0862/klagomål/S 1773-2025 FSC-klagomål.docx", "S 1773-2025")</f>
        <v/>
      </c>
      <c r="Z60">
        <f>HYPERLINK("https://klasma.github.io/Logging_0862/klagomålsmail/S 1773-2025 FSC-klagomål mail.docx", "S 1773-2025")</f>
        <v/>
      </c>
      <c r="AA60">
        <f>HYPERLINK("https://klasma.github.io/Logging_0862/tillsyn/S 1773-2025 tillsynsbegäran.docx", "S 1773-2025")</f>
        <v/>
      </c>
      <c r="AB60">
        <f>HYPERLINK("https://klasma.github.io/Logging_0862/tillsynsmail/S 1773-2025 tillsynsbegäran mail.docx", "S 1773-2025")</f>
        <v/>
      </c>
      <c r="AC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46222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46222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46222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46222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46222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46222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46222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46222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46222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38099-2021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44405</v>
      </c>
      <c r="E70" s="1" t="n">
        <v>46222</v>
      </c>
      <c r="F70" t="inlineStr">
        <is>
          <t>KALMAR LÄN</t>
        </is>
      </c>
      <c r="G70" t="inlineStr">
        <is>
          <t>EMMABODA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49471-2021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46222</v>
      </c>
      <c r="F71" t="inlineStr">
        <is>
          <t>KALMAR LÄN</t>
        </is>
      </c>
      <c r="G71" t="inlineStr">
        <is>
          <t>EMMABODA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46222</v>
      </c>
      <c r="F72" t="inlineStr">
        <is>
          <t>KALMAR LÄN</t>
        </is>
      </c>
      <c r="G72" t="inlineStr">
        <is>
          <t>EMMABODA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46222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46222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46222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46222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46222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46222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46222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46222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46222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46222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46222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46222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46222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46222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46222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46222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46222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46222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46222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46222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46222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46222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46222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46222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46222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46222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46222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46222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46222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46222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46222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46222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46222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46222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46222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46222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46222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46222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46222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46222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46222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46222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46222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46222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46222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46222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46222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46222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46222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46222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46222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46222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46222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46222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46222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46222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46222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46222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46222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46222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46222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46222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46222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46222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46222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46222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46222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46222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46222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46222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46222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46222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46222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46222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46222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46222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46222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46222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46222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46222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46222</v>
      </c>
      <c r="F153" t="inlineStr">
        <is>
          <t>KALMAR LÄN</t>
        </is>
      </c>
      <c r="G153" t="inlineStr">
        <is>
          <t>EMMABODA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46222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5846-2024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45335</v>
      </c>
      <c r="E155" s="1" t="n">
        <v>46222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46222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51135-2023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45219</v>
      </c>
      <c r="E157" s="1" t="n">
        <v>46222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48926-2023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46222</v>
      </c>
      <c r="F158" t="inlineStr">
        <is>
          <t>KALMAR LÄN</t>
        </is>
      </c>
      <c r="G158" t="inlineStr">
        <is>
          <t>EMMABODA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26486-2022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46222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46222</v>
      </c>
      <c r="F160" t="inlineStr">
        <is>
          <t>KALMAR LÄN</t>
        </is>
      </c>
      <c r="G160" t="inlineStr">
        <is>
          <t>EMMABODA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10157-2025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46222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10167-2025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46222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7568-2024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46222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46222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46222</v>
      </c>
      <c r="F165" t="inlineStr">
        <is>
          <t>KALMAR LÄN</t>
        </is>
      </c>
      <c r="G165" t="inlineStr">
        <is>
          <t>EMMABODA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46222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46222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18291-2024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46222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46222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12959-2024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46222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45126</v>
      </c>
      <c r="E171" s="1" t="n">
        <v>46222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46222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24867-2024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46222</v>
      </c>
      <c r="F173" t="inlineStr">
        <is>
          <t>KALMAR LÄN</t>
        </is>
      </c>
      <c r="G173" t="inlineStr">
        <is>
          <t>EMMABODA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44861</v>
      </c>
      <c r="E174" s="1" t="n">
        <v>46222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15362-2024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46222</v>
      </c>
      <c r="F175" t="inlineStr">
        <is>
          <t>KALMAR LÄN</t>
        </is>
      </c>
      <c r="G175" t="inlineStr">
        <is>
          <t>EMMABODA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46222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27551-2024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46222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46222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46222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46222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44951</v>
      </c>
      <c r="E181" s="1" t="n">
        <v>46222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38123-2023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46222</v>
      </c>
      <c r="F182" t="inlineStr">
        <is>
          <t>KALMAR LÄN</t>
        </is>
      </c>
      <c r="G182" t="inlineStr">
        <is>
          <t>EMMABODA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45514</v>
      </c>
      <c r="E183" s="1" t="n">
        <v>46222</v>
      </c>
      <c r="F183" t="inlineStr">
        <is>
          <t>KALMAR LÄN</t>
        </is>
      </c>
      <c r="G183" t="inlineStr">
        <is>
          <t>EMMABODA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66662-2021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46222</v>
      </c>
      <c r="F184" t="inlineStr">
        <is>
          <t>KALMAR LÄN</t>
        </is>
      </c>
      <c r="G184" t="inlineStr">
        <is>
          <t>EMMABODA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68940-2021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46222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37650-2021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44400</v>
      </c>
      <c r="E186" s="1" t="n">
        <v>46222</v>
      </c>
      <c r="F186" t="inlineStr">
        <is>
          <t>KALMAR LÄN</t>
        </is>
      </c>
      <c r="G186" t="inlineStr">
        <is>
          <t>EMMABODA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46222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44542-2023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46222</v>
      </c>
      <c r="F188" t="inlineStr">
        <is>
          <t>KALMAR LÄN</t>
        </is>
      </c>
      <c r="G188" t="inlineStr">
        <is>
          <t>EMMABODA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37996-2021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44404</v>
      </c>
      <c r="E189" s="1" t="n">
        <v>46222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46222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46222</v>
      </c>
      <c r="F191" t="inlineStr">
        <is>
          <t>KALMAR LÄN</t>
        </is>
      </c>
      <c r="G191" t="inlineStr">
        <is>
          <t>EMMABODA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73058-2021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46222</v>
      </c>
      <c r="F192" t="inlineStr">
        <is>
          <t>KALMAR LÄN</t>
        </is>
      </c>
      <c r="G192" t="inlineStr">
        <is>
          <t>EMMABODA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46222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46222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57916-2022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46222</v>
      </c>
      <c r="F195" t="inlineStr">
        <is>
          <t>KALMAR LÄN</t>
        </is>
      </c>
      <c r="G195" t="inlineStr">
        <is>
          <t>EMMABODA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36496-2024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46222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27705-2024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46222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25776-2025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46222</v>
      </c>
      <c r="F198" t="inlineStr">
        <is>
          <t>KALMAR LÄN</t>
        </is>
      </c>
      <c r="G198" t="inlineStr">
        <is>
          <t>EMMABODA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46222</v>
      </c>
      <c r="F199" t="inlineStr">
        <is>
          <t>KALMAR LÄN</t>
        </is>
      </c>
      <c r="G199" t="inlineStr">
        <is>
          <t>EMMABODA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46222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47451-2024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45587</v>
      </c>
      <c r="E201" s="1" t="n">
        <v>46222</v>
      </c>
      <c r="F201" t="inlineStr">
        <is>
          <t>KALMAR LÄN</t>
        </is>
      </c>
      <c r="G201" t="inlineStr">
        <is>
          <t>EMMABODA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17934-2022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44683</v>
      </c>
      <c r="E202" s="1" t="n">
        <v>46222</v>
      </c>
      <c r="F202" t="inlineStr">
        <is>
          <t>KALMAR LÄN</t>
        </is>
      </c>
      <c r="G202" t="inlineStr">
        <is>
          <t>EMMABODA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46222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12014-2023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44995</v>
      </c>
      <c r="E204" s="1" t="n">
        <v>46222</v>
      </c>
      <c r="F204" t="inlineStr">
        <is>
          <t>KALMAR LÄN</t>
        </is>
      </c>
      <c r="G204" t="inlineStr">
        <is>
          <t>EMMABODA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46222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57794-2022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46222</v>
      </c>
      <c r="F206" t="inlineStr">
        <is>
          <t>KALMAR LÄN</t>
        </is>
      </c>
      <c r="G206" t="inlineStr">
        <is>
          <t>EMMABODA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46222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46222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46222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13805-2023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46222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46222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46222</v>
      </c>
      <c r="F212" t="inlineStr">
        <is>
          <t>KALMAR LÄN</t>
        </is>
      </c>
      <c r="G212" t="inlineStr">
        <is>
          <t>EMMABODA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44580</v>
      </c>
      <c r="E213" s="1" t="n">
        <v>46222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46222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15962-2023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46222</v>
      </c>
      <c r="F215" t="inlineStr">
        <is>
          <t>KALMAR LÄN</t>
        </is>
      </c>
      <c r="G215" t="inlineStr">
        <is>
          <t>EMMABODA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38883-2025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46222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38873-2025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46222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44067-2022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44839</v>
      </c>
      <c r="E218" s="1" t="n">
        <v>46222</v>
      </c>
      <c r="F218" t="inlineStr">
        <is>
          <t>KALMAR LÄN</t>
        </is>
      </c>
      <c r="G218" t="inlineStr">
        <is>
          <t>EMMABODA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46222</v>
      </c>
      <c r="F219" t="inlineStr">
        <is>
          <t>KALMAR LÄN</t>
        </is>
      </c>
      <c r="G219" t="inlineStr">
        <is>
          <t>EMMABODA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46222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46222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46222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46222</v>
      </c>
      <c r="F223" t="inlineStr">
        <is>
          <t>KALMAR LÄN</t>
        </is>
      </c>
      <c r="G223" t="inlineStr">
        <is>
          <t>EMMABODA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46507-2021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44445</v>
      </c>
      <c r="E224" s="1" t="n">
        <v>46222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46222</v>
      </c>
      <c r="F225" t="inlineStr">
        <is>
          <t>KALMAR LÄN</t>
        </is>
      </c>
      <c r="G225" t="inlineStr">
        <is>
          <t>EMMABODA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29807-2025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46222</v>
      </c>
      <c r="F226" t="inlineStr">
        <is>
          <t>KALMAR LÄN</t>
        </is>
      </c>
      <c r="G226" t="inlineStr">
        <is>
          <t>EMMABODA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29875-2025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46222</v>
      </c>
      <c r="F227" t="inlineStr">
        <is>
          <t>KALMAR LÄN</t>
        </is>
      </c>
      <c r="G227" t="inlineStr">
        <is>
          <t>EMMABODA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30118-2025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46222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46222</v>
      </c>
      <c r="F229" t="inlineStr">
        <is>
          <t>KALMAR LÄN</t>
        </is>
      </c>
      <c r="G229" t="inlineStr">
        <is>
          <t>EMMABODA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46222</v>
      </c>
      <c r="F230" t="inlineStr">
        <is>
          <t>KALMAR LÄN</t>
        </is>
      </c>
      <c r="G230" t="inlineStr">
        <is>
          <t>EMMABODA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46222</v>
      </c>
      <c r="F231" t="inlineStr">
        <is>
          <t>KALMAR LÄN</t>
        </is>
      </c>
      <c r="G231" t="inlineStr">
        <is>
          <t>EMMABODA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46222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46222</v>
      </c>
      <c r="F233" t="inlineStr">
        <is>
          <t>KALMAR LÄN</t>
        </is>
      </c>
      <c r="G233" t="inlineStr">
        <is>
          <t>EMMABODA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46222</v>
      </c>
      <c r="F234" t="inlineStr">
        <is>
          <t>KALMAR LÄN</t>
        </is>
      </c>
      <c r="G234" t="inlineStr">
        <is>
          <t>EMMABODA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46222</v>
      </c>
      <c r="F235" t="inlineStr">
        <is>
          <t>KALMAR LÄN</t>
        </is>
      </c>
      <c r="G235" t="inlineStr">
        <is>
          <t>EMMABODA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46222</v>
      </c>
      <c r="F236" t="inlineStr">
        <is>
          <t>KALMAR LÄN</t>
        </is>
      </c>
      <c r="G236" t="inlineStr">
        <is>
          <t>EMMABODA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46222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8002-2023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46222</v>
      </c>
      <c r="F238" t="inlineStr">
        <is>
          <t>KALMAR LÄN</t>
        </is>
      </c>
      <c r="G238" t="inlineStr">
        <is>
          <t>EMMABODA</t>
        </is>
      </c>
      <c r="H238" t="inlineStr">
        <is>
          <t>Kommuner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44594</v>
      </c>
      <c r="E239" s="1" t="n">
        <v>46222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67543-2021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44524</v>
      </c>
      <c r="E240" s="1" t="n">
        <v>46222</v>
      </c>
      <c r="F240" t="inlineStr">
        <is>
          <t>KALMAR LÄN</t>
        </is>
      </c>
      <c r="G240" t="inlineStr">
        <is>
          <t>EMMABODA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14547-2025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46222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31208-2025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46222</v>
      </c>
      <c r="F242" t="inlineStr">
        <is>
          <t>KALMAR LÄN</t>
        </is>
      </c>
      <c r="G242" t="inlineStr">
        <is>
          <t>EMMABODA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46222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8112-2025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46222</v>
      </c>
      <c r="F244" t="inlineStr">
        <is>
          <t>KALMAR LÄN</t>
        </is>
      </c>
      <c r="G244" t="inlineStr">
        <is>
          <t>EMMABODA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46222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18946-2022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44690</v>
      </c>
      <c r="E246" s="1" t="n">
        <v>46222</v>
      </c>
      <c r="F246" t="inlineStr">
        <is>
          <t>KALMAR LÄN</t>
        </is>
      </c>
      <c r="G246" t="inlineStr">
        <is>
          <t>EMMABODA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15699-2023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46222</v>
      </c>
      <c r="F247" t="inlineStr">
        <is>
          <t>KALMAR LÄN</t>
        </is>
      </c>
      <c r="G247" t="inlineStr">
        <is>
          <t>EMMABODA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46222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46222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19098-2023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46222</v>
      </c>
      <c r="F250" t="inlineStr">
        <is>
          <t>KALMAR LÄN</t>
        </is>
      </c>
      <c r="G250" t="inlineStr">
        <is>
          <t>EMMABODA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46222</v>
      </c>
      <c r="F251" t="inlineStr">
        <is>
          <t>KALMAR LÄN</t>
        </is>
      </c>
      <c r="G251" t="inlineStr">
        <is>
          <t>EMMABODA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46222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8689-2023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46222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46222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45769</v>
      </c>
      <c r="E255" s="1" t="n">
        <v>46222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42836-2023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45182</v>
      </c>
      <c r="E256" s="1" t="n">
        <v>46222</v>
      </c>
      <c r="F256" t="inlineStr">
        <is>
          <t>KALMAR LÄN</t>
        </is>
      </c>
      <c r="G256" t="inlineStr">
        <is>
          <t>EMMABODA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46222</v>
      </c>
      <c r="F257" t="inlineStr">
        <is>
          <t>KALMAR LÄN</t>
        </is>
      </c>
      <c r="G257" t="inlineStr">
        <is>
          <t>EMMABODA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28600-2022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44748</v>
      </c>
      <c r="E258" s="1" t="n">
        <v>46222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21291-2023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45062</v>
      </c>
      <c r="E259" s="1" t="n">
        <v>46222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44089-2025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46222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45226-2023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46222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46222</v>
      </c>
      <c r="F262" t="inlineStr">
        <is>
          <t>KALMAR LÄN</t>
        </is>
      </c>
      <c r="G262" t="inlineStr">
        <is>
          <t>EMMABODA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46222</v>
      </c>
      <c r="F263" t="inlineStr">
        <is>
          <t>KALMAR LÄN</t>
        </is>
      </c>
      <c r="G263" t="inlineStr">
        <is>
          <t>EMMABODA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46222</v>
      </c>
      <c r="F264" t="inlineStr">
        <is>
          <t>KALMAR LÄN</t>
        </is>
      </c>
      <c r="G264" t="inlineStr">
        <is>
          <t>EMMABODA</t>
        </is>
      </c>
      <c r="I264" t="n">
        <v>11.3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26111-2025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46222</v>
      </c>
      <c r="F265" t="inlineStr">
        <is>
          <t>KALMAR LÄN</t>
        </is>
      </c>
      <c r="G265" t="inlineStr">
        <is>
          <t>EMMABODA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31860-2022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44777</v>
      </c>
      <c r="E266" s="1" t="n">
        <v>46222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46222</v>
      </c>
      <c r="F267" t="inlineStr">
        <is>
          <t>KALMAR LÄN</t>
        </is>
      </c>
      <c r="G267" t="inlineStr">
        <is>
          <t>EMMABODA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55604-2024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46222</v>
      </c>
      <c r="F268" t="inlineStr">
        <is>
          <t>KALMAR LÄN</t>
        </is>
      </c>
      <c r="G268" t="inlineStr">
        <is>
          <t>EMMABODA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45306-2025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45921</v>
      </c>
      <c r="E269" s="1" t="n">
        <v>46222</v>
      </c>
      <c r="F269" t="inlineStr">
        <is>
          <t>KALMAR LÄN</t>
        </is>
      </c>
      <c r="G269" t="inlineStr">
        <is>
          <t>EMMABODA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46222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34055-2025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45845</v>
      </c>
      <c r="E271" s="1" t="n">
        <v>46222</v>
      </c>
      <c r="F271" t="inlineStr">
        <is>
          <t>KALMAR LÄN</t>
        </is>
      </c>
      <c r="G271" t="inlineStr">
        <is>
          <t>EMMABODA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11758-2025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45727</v>
      </c>
      <c r="E272" s="1" t="n">
        <v>46222</v>
      </c>
      <c r="F272" t="inlineStr">
        <is>
          <t>KALMAR LÄN</t>
        </is>
      </c>
      <c r="G272" t="inlineStr">
        <is>
          <t>EMMABODA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14138-2023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46222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14140-2023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46222</v>
      </c>
      <c r="F274" t="inlineStr">
        <is>
          <t>KALMAR LÄN</t>
        </is>
      </c>
      <c r="G274" t="inlineStr">
        <is>
          <t>EMMABODA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18310-2024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45422</v>
      </c>
      <c r="E275" s="1" t="n">
        <v>46222</v>
      </c>
      <c r="F275" t="inlineStr">
        <is>
          <t>KALMAR LÄN</t>
        </is>
      </c>
      <c r="G275" t="inlineStr">
        <is>
          <t>EMMABODA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41296-2024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46222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20053-2025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46222</v>
      </c>
      <c r="F277" t="inlineStr">
        <is>
          <t>KALMAR LÄN</t>
        </is>
      </c>
      <c r="G277" t="inlineStr">
        <is>
          <t>EMMABODA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46222</v>
      </c>
      <c r="F278" t="inlineStr">
        <is>
          <t>KALMAR LÄN</t>
        </is>
      </c>
      <c r="G278" t="inlineStr">
        <is>
          <t>EMMABODA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46222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24782-2023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46222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9715-2025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46222</v>
      </c>
      <c r="F281" t="inlineStr">
        <is>
          <t>KALMAR LÄN</t>
        </is>
      </c>
      <c r="G281" t="inlineStr">
        <is>
          <t>EMMABODA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46222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20648-2022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44700</v>
      </c>
      <c r="E283" s="1" t="n">
        <v>46222</v>
      </c>
      <c r="F283" t="inlineStr">
        <is>
          <t>KALMAR LÄN</t>
        </is>
      </c>
      <c r="G283" t="inlineStr">
        <is>
          <t>EMMABODA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45851</v>
      </c>
      <c r="E284" s="1" t="n">
        <v>46222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45851</v>
      </c>
      <c r="E285" s="1" t="n">
        <v>46222</v>
      </c>
      <c r="F285" t="inlineStr">
        <is>
          <t>KALMAR LÄN</t>
        </is>
      </c>
      <c r="G285" t="inlineStr">
        <is>
          <t>EMMABODA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53686-2023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46222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46222</v>
      </c>
      <c r="F287" t="inlineStr">
        <is>
          <t>KALMAR LÄN</t>
        </is>
      </c>
      <c r="G287" t="inlineStr">
        <is>
          <t>EMMABODA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46222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46222</v>
      </c>
      <c r="F289" t="inlineStr">
        <is>
          <t>KALMAR LÄN</t>
        </is>
      </c>
      <c r="G289" t="inlineStr">
        <is>
          <t>EMMABODA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57183-2024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46222</v>
      </c>
      <c r="F290" t="inlineStr">
        <is>
          <t>KALMAR LÄN</t>
        </is>
      </c>
      <c r="G290" t="inlineStr">
        <is>
          <t>EMMABODA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44852</v>
      </c>
      <c r="E291" s="1" t="n">
        <v>46222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60142-2023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46222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35592-2025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45857</v>
      </c>
      <c r="E293" s="1" t="n">
        <v>46222</v>
      </c>
      <c r="F293" t="inlineStr">
        <is>
          <t>KALMAR LÄN</t>
        </is>
      </c>
      <c r="G293" t="inlineStr">
        <is>
          <t>EMMABODA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46222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44490-2024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46222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14096-2023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46222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46222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29755-2023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46222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46222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27676-2022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44743</v>
      </c>
      <c r="E300" s="1" t="n">
        <v>46222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16273-2025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46222</v>
      </c>
      <c r="F301" t="inlineStr">
        <is>
          <t>KALMAR LÄN</t>
        </is>
      </c>
      <c r="G301" t="inlineStr">
        <is>
          <t>EMMABODA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27414-2023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46222</v>
      </c>
      <c r="F302" t="inlineStr">
        <is>
          <t>KALMAR LÄN</t>
        </is>
      </c>
      <c r="G302" t="inlineStr">
        <is>
          <t>EMMABODA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36012-2025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45863</v>
      </c>
      <c r="E303" s="1" t="n">
        <v>46222</v>
      </c>
      <c r="F303" t="inlineStr">
        <is>
          <t>KALMAR LÄN</t>
        </is>
      </c>
      <c r="G303" t="inlineStr">
        <is>
          <t>EMMABODA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45790</v>
      </c>
      <c r="E304" s="1" t="n">
        <v>46222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53252-2023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46222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32687-2024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45515</v>
      </c>
      <c r="E306" s="1" t="n">
        <v>46222</v>
      </c>
      <c r="F306" t="inlineStr">
        <is>
          <t>KALMAR LÄN</t>
        </is>
      </c>
      <c r="G306" t="inlineStr">
        <is>
          <t>EMMABODA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46222</v>
      </c>
      <c r="F307" t="inlineStr">
        <is>
          <t>KALMAR LÄN</t>
        </is>
      </c>
      <c r="G307" t="inlineStr">
        <is>
          <t>EMMABODA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49294-2025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46222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46222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49281-2025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46222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54482-2021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46222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7080-2026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46222</v>
      </c>
      <c r="F312" t="inlineStr">
        <is>
          <t>KALMAR LÄN</t>
        </is>
      </c>
      <c r="G312" t="inlineStr">
        <is>
          <t>EMMABODA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24228-2023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46222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46222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61143-2024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46222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53447-2024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46222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54085-2024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46222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46222</v>
      </c>
      <c r="F318" t="inlineStr">
        <is>
          <t>KALMAR LÄN</t>
        </is>
      </c>
      <c r="G318" t="inlineStr">
        <is>
          <t>EMMABODA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49726-2024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46222</v>
      </c>
      <c r="F319" t="inlineStr">
        <is>
          <t>KALMAR LÄN</t>
        </is>
      </c>
      <c r="G319" t="inlineStr">
        <is>
          <t>EMMABODA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28441-2023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45102</v>
      </c>
      <c r="E320" s="1" t="n">
        <v>46222</v>
      </c>
      <c r="F320" t="inlineStr">
        <is>
          <t>KALMAR LÄN</t>
        </is>
      </c>
      <c r="G320" t="inlineStr">
        <is>
          <t>EMMABODA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46222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25090-2022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44729</v>
      </c>
      <c r="E322" s="1" t="n">
        <v>46222</v>
      </c>
      <c r="F322" t="inlineStr">
        <is>
          <t>KALMAR LÄN</t>
        </is>
      </c>
      <c r="G322" t="inlineStr">
        <is>
          <t>EMMABODA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46222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46222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41441-2025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46222</v>
      </c>
      <c r="F325" t="inlineStr">
        <is>
          <t>KALMAR LÄN</t>
        </is>
      </c>
      <c r="G325" t="inlineStr">
        <is>
          <t>EMMABODA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46222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46222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54056-2024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46222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9755-2023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46222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44761</v>
      </c>
      <c r="E330" s="1" t="n">
        <v>46222</v>
      </c>
      <c r="F330" t="inlineStr">
        <is>
          <t>KALMAR LÄN</t>
        </is>
      </c>
      <c r="G330" t="inlineStr">
        <is>
          <t>EMMABODA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31078-2023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46222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14792-2025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45742</v>
      </c>
      <c r="E332" s="1" t="n">
        <v>46222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17826-2022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44683</v>
      </c>
      <c r="E333" s="1" t="n">
        <v>46222</v>
      </c>
      <c r="F333" t="inlineStr">
        <is>
          <t>KALMAR LÄN</t>
        </is>
      </c>
      <c r="G333" t="inlineStr">
        <is>
          <t>EMMABODA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46222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9263-2026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46222</v>
      </c>
      <c r="F335" t="inlineStr">
        <is>
          <t>KALMAR LÄN</t>
        </is>
      </c>
      <c r="G335" t="inlineStr">
        <is>
          <t>EMMABODA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46222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45445</v>
      </c>
      <c r="E337" s="1" t="n">
        <v>46222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46222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54117-2025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46222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46222</v>
      </c>
      <c r="F340" t="inlineStr">
        <is>
          <t>KALMAR LÄN</t>
        </is>
      </c>
      <c r="G340" t="inlineStr">
        <is>
          <t>EMMABODA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46222</v>
      </c>
      <c r="F341" t="inlineStr">
        <is>
          <t>KALMAR LÄN</t>
        </is>
      </c>
      <c r="G341" t="inlineStr">
        <is>
          <t>EMMABODA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46222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9713-2026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46222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45067</v>
      </c>
      <c r="E344" s="1" t="n">
        <v>46222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46222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45967</v>
      </c>
      <c r="E346" s="1" t="n">
        <v>46222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9867-2025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46222</v>
      </c>
      <c r="F347" t="inlineStr">
        <is>
          <t>KALMAR LÄN</t>
        </is>
      </c>
      <c r="G347" t="inlineStr">
        <is>
          <t>EMMABODA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54982-2025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46222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16236-2023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45028</v>
      </c>
      <c r="E349" s="1" t="n">
        <v>46222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55381-2025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46222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10673-2026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46222</v>
      </c>
      <c r="F351" t="inlineStr">
        <is>
          <t>KALMAR LÄN</t>
        </is>
      </c>
      <c r="G351" t="inlineStr">
        <is>
          <t>EMMABODA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46222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46222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14163-2025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46222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66333-2021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46222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46222</v>
      </c>
      <c r="F356" t="inlineStr">
        <is>
          <t>KALMAR LÄN</t>
        </is>
      </c>
      <c r="G356" t="inlineStr">
        <is>
          <t>EMMABODA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46222</v>
      </c>
      <c r="F357" t="inlineStr">
        <is>
          <t>KALMAR LÄN</t>
        </is>
      </c>
      <c r="G357" t="inlineStr">
        <is>
          <t>EMMABODA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10927-2026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46222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43616-2021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44433</v>
      </c>
      <c r="E359" s="1" t="n">
        <v>46222</v>
      </c>
      <c r="F359" t="inlineStr">
        <is>
          <t>KALMAR LÄN</t>
        </is>
      </c>
      <c r="G359" t="inlineStr">
        <is>
          <t>EMMABODA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49627-2023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46222</v>
      </c>
      <c r="F360" t="inlineStr">
        <is>
          <t>KALMAR LÄN</t>
        </is>
      </c>
      <c r="G360" t="inlineStr">
        <is>
          <t>EMMABODA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53350-2022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46222</v>
      </c>
      <c r="F361" t="inlineStr">
        <is>
          <t>KALMAR LÄN</t>
        </is>
      </c>
      <c r="G361" t="inlineStr">
        <is>
          <t>EMMABODA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19395-2023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46222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11945-2026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46222</v>
      </c>
      <c r="F363" t="inlineStr">
        <is>
          <t>KALMAR LÄN</t>
        </is>
      </c>
      <c r="G363" t="inlineStr">
        <is>
          <t>EMMABODA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46222</v>
      </c>
      <c r="F364" t="inlineStr">
        <is>
          <t>KALMAR LÄN</t>
        </is>
      </c>
      <c r="G364" t="inlineStr">
        <is>
          <t>EMMABODA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40013-2021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44418</v>
      </c>
      <c r="E365" s="1" t="n">
        <v>46222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46222</v>
      </c>
      <c r="F366" t="inlineStr">
        <is>
          <t>KALMAR LÄN</t>
        </is>
      </c>
      <c r="G366" t="inlineStr">
        <is>
          <t>EMMABODA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18947-2022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44690</v>
      </c>
      <c r="E367" s="1" t="n">
        <v>46222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67538-2021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46222</v>
      </c>
      <c r="F368" t="inlineStr">
        <is>
          <t>KALMAR LÄN</t>
        </is>
      </c>
      <c r="G368" t="inlineStr">
        <is>
          <t>EMMABODA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11820-2026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46222</v>
      </c>
      <c r="F369" t="inlineStr">
        <is>
          <t>KALMAR LÄN</t>
        </is>
      </c>
      <c r="G369" t="inlineStr">
        <is>
          <t>EMMABODA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46222</v>
      </c>
      <c r="F370" t="inlineStr">
        <is>
          <t>KALMAR LÄN</t>
        </is>
      </c>
      <c r="G370" t="inlineStr">
        <is>
          <t>EMMABODA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46222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45068</v>
      </c>
      <c r="E372" s="1" t="n">
        <v>46222</v>
      </c>
      <c r="F372" t="inlineStr">
        <is>
          <t>KALMAR LÄN</t>
        </is>
      </c>
      <c r="G372" t="inlineStr">
        <is>
          <t>EMMABODA</t>
        </is>
      </c>
      <c r="H372" t="inlineStr">
        <is>
          <t>Kommuner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17001-2025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45755</v>
      </c>
      <c r="E373" s="1" t="n">
        <v>46222</v>
      </c>
      <c r="F373" t="inlineStr">
        <is>
          <t>KALMAR LÄN</t>
        </is>
      </c>
      <c r="G373" t="inlineStr">
        <is>
          <t>EMMABODA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30515-2023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46222</v>
      </c>
      <c r="F374" t="inlineStr">
        <is>
          <t>KALMAR LÄN</t>
        </is>
      </c>
      <c r="G374" t="inlineStr">
        <is>
          <t>EMMABODA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46222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46222</v>
      </c>
      <c r="F376" t="inlineStr">
        <is>
          <t>KALMAR LÄN</t>
        </is>
      </c>
      <c r="G376" t="inlineStr">
        <is>
          <t>EMMABODA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46222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46222</v>
      </c>
      <c r="F378" t="inlineStr">
        <is>
          <t>KALMAR LÄN</t>
        </is>
      </c>
      <c r="G378" t="inlineStr">
        <is>
          <t>EMMABODA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46222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24795-2023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45084</v>
      </c>
      <c r="E380" s="1" t="n">
        <v>46222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60192-2025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46222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58623-2025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46222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28159-2023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46222</v>
      </c>
      <c r="F383" t="inlineStr">
        <is>
          <t>KALMAR LÄN</t>
        </is>
      </c>
      <c r="G383" t="inlineStr">
        <is>
          <t>EMMABODA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46222</v>
      </c>
      <c r="F384" t="inlineStr">
        <is>
          <t>KALMAR LÄN</t>
        </is>
      </c>
      <c r="G384" t="inlineStr">
        <is>
          <t>EMMABODA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38924-2022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44816</v>
      </c>
      <c r="E385" s="1" t="n">
        <v>46222</v>
      </c>
      <c r="F385" t="inlineStr">
        <is>
          <t>KALMAR LÄN</t>
        </is>
      </c>
      <c r="G385" t="inlineStr">
        <is>
          <t>EMMABODA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7760-2022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44608</v>
      </c>
      <c r="E386" s="1" t="n">
        <v>46222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7839-2024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45349</v>
      </c>
      <c r="E387" s="1" t="n">
        <v>46222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14167-2025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46222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30262-2022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44759</v>
      </c>
      <c r="E389" s="1" t="n">
        <v>46222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45317</v>
      </c>
      <c r="E390" s="1" t="n">
        <v>46222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49584-2023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46222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46222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33084-2023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46222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5345-2023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44959</v>
      </c>
      <c r="E394" s="1" t="n">
        <v>46222</v>
      </c>
      <c r="F394" t="inlineStr">
        <is>
          <t>KALMAR LÄN</t>
        </is>
      </c>
      <c r="G394" t="inlineStr">
        <is>
          <t>EMMABODA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8361-2023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46222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46222</v>
      </c>
      <c r="F396" t="inlineStr">
        <is>
          <t>KALMAR LÄN</t>
        </is>
      </c>
      <c r="G396" t="inlineStr">
        <is>
          <t>EMMABODA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46024</v>
      </c>
      <c r="E397" s="1" t="n">
        <v>46222</v>
      </c>
      <c r="F397" t="inlineStr">
        <is>
          <t>KALMAR LÄN</t>
        </is>
      </c>
      <c r="G397" t="inlineStr">
        <is>
          <t>EMMABODA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33067-2023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46222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24983-2022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46222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46222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46222</v>
      </c>
      <c r="F401" t="inlineStr">
        <is>
          <t>KALMAR LÄN</t>
        </is>
      </c>
      <c r="G401" t="inlineStr">
        <is>
          <t>EMMABODA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15693-2026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46222</v>
      </c>
      <c r="F402" t="inlineStr">
        <is>
          <t>KALMAR LÄN</t>
        </is>
      </c>
      <c r="G402" t="inlineStr">
        <is>
          <t>EMMABODA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47149-2022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44852</v>
      </c>
      <c r="E403" s="1" t="n">
        <v>46222</v>
      </c>
      <c r="F403" t="inlineStr">
        <is>
          <t>KALMAR LÄN</t>
        </is>
      </c>
      <c r="G403" t="inlineStr">
        <is>
          <t>EMMABODA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46222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45341</v>
      </c>
      <c r="E405" s="1" t="n">
        <v>46222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46222</v>
      </c>
      <c r="F406" t="inlineStr">
        <is>
          <t>KALMAR LÄN</t>
        </is>
      </c>
      <c r="G406" t="inlineStr">
        <is>
          <t>EMMABODA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46222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45323</v>
      </c>
      <c r="E408" s="1" t="n">
        <v>46222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44953</v>
      </c>
      <c r="E409" s="1" t="n">
        <v>46222</v>
      </c>
      <c r="F409" t="inlineStr">
        <is>
          <t>KALMAR LÄN</t>
        </is>
      </c>
      <c r="G409" t="inlineStr">
        <is>
          <t>EMMABODA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1172-2022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44572</v>
      </c>
      <c r="E410" s="1" t="n">
        <v>46222</v>
      </c>
      <c r="F410" t="inlineStr">
        <is>
          <t>KALMAR LÄN</t>
        </is>
      </c>
      <c r="G410" t="inlineStr">
        <is>
          <t>EMMABODA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15502-2026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46222</v>
      </c>
      <c r="F411" t="inlineStr">
        <is>
          <t>KALMAR LÄN</t>
        </is>
      </c>
      <c r="G411" t="inlineStr">
        <is>
          <t>EMMABODA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35382-2024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46222</v>
      </c>
      <c r="F412" t="inlineStr">
        <is>
          <t>KALMAR LÄN</t>
        </is>
      </c>
      <c r="G412" t="inlineStr">
        <is>
          <t>EMMABODA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50309-2024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46222</v>
      </c>
      <c r="F413" t="inlineStr">
        <is>
          <t>KALMAR LÄN</t>
        </is>
      </c>
      <c r="G413" t="inlineStr">
        <is>
          <t>EMMABODA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5073-2022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46222</v>
      </c>
      <c r="F414" t="inlineStr">
        <is>
          <t>KALMAR LÄN</t>
        </is>
      </c>
      <c r="G414" t="inlineStr">
        <is>
          <t>EMMABODA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19151-2025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46222</v>
      </c>
      <c r="F415" t="inlineStr">
        <is>
          <t>KALMAR LÄN</t>
        </is>
      </c>
      <c r="G415" t="inlineStr">
        <is>
          <t>EMMABODA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33052-2023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46222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45003</v>
      </c>
      <c r="E417" s="1" t="n">
        <v>46222</v>
      </c>
      <c r="F417" t="inlineStr">
        <is>
          <t>KALMAR LÄN</t>
        </is>
      </c>
      <c r="G417" t="inlineStr">
        <is>
          <t>EMMABODA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9662-2023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46222</v>
      </c>
      <c r="F418" t="inlineStr">
        <is>
          <t>KALMAR LÄN</t>
        </is>
      </c>
      <c r="G418" t="inlineStr">
        <is>
          <t>EMMABODA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15410-2023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45019</v>
      </c>
      <c r="E419" s="1" t="n">
        <v>46222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9246-2023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46222</v>
      </c>
      <c r="F420" t="inlineStr">
        <is>
          <t>KALMAR LÄN</t>
        </is>
      </c>
      <c r="G420" t="inlineStr">
        <is>
          <t>EMMABODA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44924-2022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44840</v>
      </c>
      <c r="E421" s="1" t="n">
        <v>46222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27746-2024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46222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46222</v>
      </c>
      <c r="F423" t="inlineStr">
        <is>
          <t>KALMAR LÄN</t>
        </is>
      </c>
      <c r="G423" t="inlineStr">
        <is>
          <t>EMMABODA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46222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17417-2026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46222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46222</v>
      </c>
      <c r="F426" t="inlineStr">
        <is>
          <t>KALMAR LÄN</t>
        </is>
      </c>
      <c r="G426" t="inlineStr">
        <is>
          <t>EMMABODA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17444-2026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46222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46222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46222</v>
      </c>
      <c r="F429" t="inlineStr">
        <is>
          <t>KALMAR LÄN</t>
        </is>
      </c>
      <c r="G429" t="inlineStr">
        <is>
          <t>EMMABODA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17413-2026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46222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9577-2023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44982</v>
      </c>
      <c r="E431" s="1" t="n">
        <v>46222</v>
      </c>
      <c r="F431" t="inlineStr">
        <is>
          <t>KALMAR LÄN</t>
        </is>
      </c>
      <c r="G431" t="inlineStr">
        <is>
          <t>EMMABODA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11434-2023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46222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18437-2026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46127</v>
      </c>
      <c r="E433" s="1" t="n">
        <v>46222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18444-2026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46127</v>
      </c>
      <c r="E434" s="1" t="n">
        <v>46222</v>
      </c>
      <c r="F434" t="inlineStr">
        <is>
          <t>KALMAR LÄN</t>
        </is>
      </c>
      <c r="G434" t="inlineStr">
        <is>
          <t>EMMABODA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18488-2026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46222</v>
      </c>
      <c r="F435" t="inlineStr">
        <is>
          <t>KALMAR LÄN</t>
        </is>
      </c>
      <c r="G435" t="inlineStr">
        <is>
          <t>EMMABODA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19854-2024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45433</v>
      </c>
      <c r="E436" s="1" t="n">
        <v>46222</v>
      </c>
      <c r="F436" t="inlineStr">
        <is>
          <t>KALMAR LÄN</t>
        </is>
      </c>
      <c r="G436" t="inlineStr">
        <is>
          <t>EMMABODA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45146</v>
      </c>
      <c r="E437" s="1" t="n">
        <v>46222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59737-2021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44494</v>
      </c>
      <c r="E438" s="1" t="n">
        <v>46222</v>
      </c>
      <c r="F438" t="inlineStr">
        <is>
          <t>KALMAR LÄN</t>
        </is>
      </c>
      <c r="G438" t="inlineStr">
        <is>
          <t>EMMABODA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19545-2026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46222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19299-2026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46222</v>
      </c>
      <c r="F440" t="inlineStr">
        <is>
          <t>KALMAR LÄN</t>
        </is>
      </c>
      <c r="G440" t="inlineStr">
        <is>
          <t>EMMABODA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41366-2024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45559</v>
      </c>
      <c r="E441" s="1" t="n">
        <v>46222</v>
      </c>
      <c r="F441" t="inlineStr">
        <is>
          <t>KALMAR LÄN</t>
        </is>
      </c>
      <c r="G441" t="inlineStr">
        <is>
          <t>EMMABODA</t>
        </is>
      </c>
      <c r="H441" t="inlineStr">
        <is>
          <t>Övriga Aktiebolag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58640-2024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46222</v>
      </c>
      <c r="F442" t="inlineStr">
        <is>
          <t>KALMAR LÄN</t>
        </is>
      </c>
      <c r="G442" t="inlineStr">
        <is>
          <t>EMMABODA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15448-2024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46222</v>
      </c>
      <c r="F443" t="inlineStr">
        <is>
          <t>KALMAR LÄN</t>
        </is>
      </c>
      <c r="G443" t="inlineStr">
        <is>
          <t>EMMABODA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39411-2024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45551</v>
      </c>
      <c r="E444" s="1" t="n">
        <v>46222</v>
      </c>
      <c r="F444" t="inlineStr">
        <is>
          <t>KALMAR LÄN</t>
        </is>
      </c>
      <c r="G444" t="inlineStr">
        <is>
          <t>EMMABODA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46222</v>
      </c>
      <c r="F445" t="inlineStr">
        <is>
          <t>KALMAR LÄN</t>
        </is>
      </c>
      <c r="G445" t="inlineStr">
        <is>
          <t>EMMABODA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14970-2025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45743</v>
      </c>
      <c r="E446" s="1" t="n">
        <v>46222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45818</v>
      </c>
      <c r="E447" s="1" t="n">
        <v>46222</v>
      </c>
      <c r="F447" t="inlineStr">
        <is>
          <t>KALMAR LÄN</t>
        </is>
      </c>
      <c r="G447" t="inlineStr">
        <is>
          <t>EMMABODA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55815-2025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45972</v>
      </c>
      <c r="E448" s="1" t="n">
        <v>46222</v>
      </c>
      <c r="F448" t="inlineStr">
        <is>
          <t>KALMAR LÄN</t>
        </is>
      </c>
      <c r="G448" t="inlineStr">
        <is>
          <t>EMMABODA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33050-2023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45126</v>
      </c>
      <c r="E449" s="1" t="n">
        <v>46222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33065-2023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45126</v>
      </c>
      <c r="E450" s="1" t="n">
        <v>46222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45214-2023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46222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45126</v>
      </c>
      <c r="E452" s="1" t="n">
        <v>46222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48233-2023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45205</v>
      </c>
      <c r="E453" s="1" t="n">
        <v>46222</v>
      </c>
      <c r="F453" t="inlineStr">
        <is>
          <t>KALMAR LÄN</t>
        </is>
      </c>
      <c r="G453" t="inlineStr">
        <is>
          <t>EMMABODA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54857-2025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46222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39736-2023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45167</v>
      </c>
      <c r="E455" s="1" t="n">
        <v>46222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41429-2025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45901</v>
      </c>
      <c r="E456" s="1" t="n">
        <v>46222</v>
      </c>
      <c r="F456" t="inlineStr">
        <is>
          <t>KALMAR LÄN</t>
        </is>
      </c>
      <c r="G456" t="inlineStr">
        <is>
          <t>EMMABODA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46527-2025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46222</v>
      </c>
      <c r="F457" t="inlineStr">
        <is>
          <t>KALMAR LÄN</t>
        </is>
      </c>
      <c r="G457" t="inlineStr">
        <is>
          <t>EMMABODA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63254-2025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46222</v>
      </c>
      <c r="F458" t="inlineStr">
        <is>
          <t>KALMAR LÄN</t>
        </is>
      </c>
      <c r="G458" t="inlineStr">
        <is>
          <t>EMMABODA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46222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62164-2025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46222</v>
      </c>
      <c r="F460" t="inlineStr">
        <is>
          <t>KALMAR LÄN</t>
        </is>
      </c>
      <c r="G460" t="inlineStr">
        <is>
          <t>EMMABODA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28217-2025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46222</v>
      </c>
      <c r="F461" t="inlineStr">
        <is>
          <t>KALMAR LÄN</t>
        </is>
      </c>
      <c r="G461" t="inlineStr">
        <is>
          <t>EMMABODA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46222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42424-2025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46222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45644</v>
      </c>
      <c r="E464" s="1" t="n">
        <v>46222</v>
      </c>
      <c r="F464" t="inlineStr">
        <is>
          <t>KALMAR LÄN</t>
        </is>
      </c>
      <c r="G464" t="inlineStr">
        <is>
          <t>EMMABODA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46222</v>
      </c>
      <c r="F465" t="inlineStr">
        <is>
          <t>KALMAR LÄN</t>
        </is>
      </c>
      <c r="G465" t="inlineStr">
        <is>
          <t>EMMABODA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24784-2023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46222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55590-2024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46222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37630-2023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46222</v>
      </c>
      <c r="F468" t="inlineStr">
        <is>
          <t>KALMAR LÄN</t>
        </is>
      </c>
      <c r="G468" t="inlineStr">
        <is>
          <t>EMMABODA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44215-2024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46222</v>
      </c>
      <c r="F469" t="inlineStr">
        <is>
          <t>KALMAR LÄN</t>
        </is>
      </c>
      <c r="G469" t="inlineStr">
        <is>
          <t>EMMABODA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52610-2023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45225</v>
      </c>
      <c r="E470" s="1" t="n">
        <v>46222</v>
      </c>
      <c r="F470" t="inlineStr">
        <is>
          <t>KALMAR LÄN</t>
        </is>
      </c>
      <c r="G470" t="inlineStr">
        <is>
          <t>EMMABODA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4393-2024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46222</v>
      </c>
      <c r="F471" t="inlineStr">
        <is>
          <t>KALMAR LÄN</t>
        </is>
      </c>
      <c r="G471" t="inlineStr">
        <is>
          <t>EMMABODA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34245-2024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45524</v>
      </c>
      <c r="E472" s="1" t="n">
        <v>46222</v>
      </c>
      <c r="F472" t="inlineStr">
        <is>
          <t>KALMAR LÄN</t>
        </is>
      </c>
      <c r="G472" t="inlineStr">
        <is>
          <t>EMMABODA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32561-2022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46222</v>
      </c>
      <c r="F473" t="inlineStr">
        <is>
          <t>KALMAR LÄN</t>
        </is>
      </c>
      <c r="G473" t="inlineStr">
        <is>
          <t>EMMABODA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26971-2023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46222</v>
      </c>
      <c r="F474" t="inlineStr">
        <is>
          <t>KALMAR LÄN</t>
        </is>
      </c>
      <c r="G474" t="inlineStr">
        <is>
          <t>EMMABODA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14377-2022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44652</v>
      </c>
      <c r="E475" s="1" t="n">
        <v>46222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16134-2022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44665</v>
      </c>
      <c r="E476" s="1" t="n">
        <v>46222</v>
      </c>
      <c r="F476" t="inlineStr">
        <is>
          <t>KALMAR LÄN</t>
        </is>
      </c>
      <c r="G476" t="inlineStr">
        <is>
          <t>EMMABODA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53704-2023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46222</v>
      </c>
      <c r="F477" t="inlineStr">
        <is>
          <t>KALMAR LÄN</t>
        </is>
      </c>
      <c r="G477" t="inlineStr">
        <is>
          <t>EMMABODA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54855-2025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46222</v>
      </c>
      <c r="F478" t="inlineStr">
        <is>
          <t>KALMAR LÄN</t>
        </is>
      </c>
      <c r="G478" t="inlineStr">
        <is>
          <t>EMMABODA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46222</v>
      </c>
      <c r="F479" t="inlineStr">
        <is>
          <t>KALMAR LÄN</t>
        </is>
      </c>
      <c r="G479" t="inlineStr">
        <is>
          <t>EMMABODA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20430-2026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46222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46222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26193-2026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46222</v>
      </c>
      <c r="F482" t="inlineStr">
        <is>
          <t>KALMAR LÄN</t>
        </is>
      </c>
      <c r="G482" t="inlineStr">
        <is>
          <t>EMMABODA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26199-2026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46222</v>
      </c>
      <c r="F483" t="inlineStr">
        <is>
          <t>KALMAR LÄN</t>
        </is>
      </c>
      <c r="G483" t="inlineStr">
        <is>
          <t>EMMABODA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56693-2025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45976</v>
      </c>
      <c r="E484" s="1" t="n">
        <v>46222</v>
      </c>
      <c r="F484" t="inlineStr">
        <is>
          <t>KALMAR LÄN</t>
        </is>
      </c>
      <c r="G484" t="inlineStr">
        <is>
          <t>EMMABODA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20362-2026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46222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14071-2024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46222</v>
      </c>
      <c r="F486" t="inlineStr">
        <is>
          <t>KALMAR LÄN</t>
        </is>
      </c>
      <c r="G486" t="inlineStr">
        <is>
          <t>EMMABODA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20505-2022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44699</v>
      </c>
      <c r="E487" s="1" t="n">
        <v>46222</v>
      </c>
      <c r="F487" t="inlineStr">
        <is>
          <t>KALMAR LÄN</t>
        </is>
      </c>
      <c r="G487" t="inlineStr">
        <is>
          <t>EMMABODA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35849-2023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45148</v>
      </c>
      <c r="E488" s="1" t="n">
        <v>46222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46222</v>
      </c>
      <c r="F489" t="inlineStr">
        <is>
          <t>KALMAR LÄN</t>
        </is>
      </c>
      <c r="G489" t="inlineStr">
        <is>
          <t>EMMABODA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46222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20164-2024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45434</v>
      </c>
      <c r="E491" s="1" t="n">
        <v>46222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44145-2025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46222</v>
      </c>
      <c r="F492" t="inlineStr">
        <is>
          <t>KALMAR LÄN</t>
        </is>
      </c>
      <c r="G492" t="inlineStr">
        <is>
          <t>EMMABODA</t>
        </is>
      </c>
      <c r="H492" t="inlineStr">
        <is>
          <t>Övriga Aktiebolag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44619</v>
      </c>
      <c r="E493" s="1" t="n">
        <v>46222</v>
      </c>
      <c r="F493" t="inlineStr">
        <is>
          <t>KALMAR LÄN</t>
        </is>
      </c>
      <c r="G493" t="inlineStr">
        <is>
          <t>EMMABODA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46222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46222</v>
      </c>
      <c r="F495" t="inlineStr">
        <is>
          <t>KALMAR LÄN</t>
        </is>
      </c>
      <c r="G495" t="inlineStr">
        <is>
          <t>EMMABODA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14467-2024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45394</v>
      </c>
      <c r="E496" s="1" t="n">
        <v>46222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43135-2025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46222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44533-2024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46222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24776-2022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46222</v>
      </c>
      <c r="F499" t="inlineStr">
        <is>
          <t>KALMAR LÄN</t>
        </is>
      </c>
      <c r="G499" t="inlineStr">
        <is>
          <t>EMMABODA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49274-2025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46222</v>
      </c>
      <c r="F500" t="inlineStr">
        <is>
          <t>KALMAR LÄN</t>
        </is>
      </c>
      <c r="G500" t="inlineStr">
        <is>
          <t>EMMABODA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46222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45293-2023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46222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15292-2024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45400</v>
      </c>
      <c r="E503" s="1" t="n">
        <v>46222</v>
      </c>
      <c r="F503" t="inlineStr">
        <is>
          <t>KALMAR LÄN</t>
        </is>
      </c>
      <c r="G503" t="inlineStr">
        <is>
          <t>EMMABODA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46222</v>
      </c>
      <c r="F504" t="inlineStr">
        <is>
          <t>KALMAR LÄN</t>
        </is>
      </c>
      <c r="G504" t="inlineStr">
        <is>
          <t>EMMABODA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16703-2022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44673</v>
      </c>
      <c r="E505" s="1" t="n">
        <v>46222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26502-2026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46222</v>
      </c>
      <c r="F506" t="inlineStr">
        <is>
          <t>KALMAR LÄN</t>
        </is>
      </c>
      <c r="G506" t="inlineStr">
        <is>
          <t>EMMABODA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39101-2023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45164</v>
      </c>
      <c r="E507" s="1" t="n">
        <v>46222</v>
      </c>
      <c r="F507" t="inlineStr">
        <is>
          <t>KALMAR LÄN</t>
        </is>
      </c>
      <c r="G507" t="inlineStr">
        <is>
          <t>EMMABODA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29023-2022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46222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24460-2022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44726</v>
      </c>
      <c r="E509" s="1" t="n">
        <v>46222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36043-2022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44802</v>
      </c>
      <c r="E510" s="1" t="n">
        <v>46222</v>
      </c>
      <c r="F510" t="inlineStr">
        <is>
          <t>KALMAR LÄN</t>
        </is>
      </c>
      <c r="G510" t="inlineStr">
        <is>
          <t>EMMABODA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20877-2026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46222</v>
      </c>
      <c r="F511" t="inlineStr">
        <is>
          <t>KALMAR LÄN</t>
        </is>
      </c>
      <c r="G511" t="inlineStr">
        <is>
          <t>EMMABODA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56691-2025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45976</v>
      </c>
      <c r="E512" s="1" t="n">
        <v>46222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46222</v>
      </c>
      <c r="F513" t="inlineStr">
        <is>
          <t>KALMAR LÄN</t>
        </is>
      </c>
      <c r="G513" t="inlineStr">
        <is>
          <t>EMMABODA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60141-2023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46222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60143-2023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46222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13244-2025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46222</v>
      </c>
      <c r="F516" t="inlineStr">
        <is>
          <t>KALMAR LÄN</t>
        </is>
      </c>
      <c r="G516" t="inlineStr">
        <is>
          <t>EMMABODA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27030-2026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46222</v>
      </c>
      <c r="F517" t="inlineStr">
        <is>
          <t>KALMAR LÄN</t>
        </is>
      </c>
      <c r="G517" t="inlineStr">
        <is>
          <t>EMMABODA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46222</v>
      </c>
      <c r="F518" t="inlineStr">
        <is>
          <t>KALMAR LÄN</t>
        </is>
      </c>
      <c r="G518" t="inlineStr">
        <is>
          <t>EMMABODA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46222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27710-2024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46222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9791-2025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45716</v>
      </c>
      <c r="E521" s="1" t="n">
        <v>46222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46222</v>
      </c>
      <c r="F522" t="inlineStr">
        <is>
          <t>KALMAR LÄN</t>
        </is>
      </c>
      <c r="G522" t="inlineStr">
        <is>
          <t>EMMABODA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27133-2026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46222</v>
      </c>
      <c r="F523" t="inlineStr">
        <is>
          <t>KALMAR LÄN</t>
        </is>
      </c>
      <c r="G523" t="inlineStr">
        <is>
          <t>EMMABODA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27028-2026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46222</v>
      </c>
      <c r="F524" t="inlineStr">
        <is>
          <t>KALMAR LÄN</t>
        </is>
      </c>
      <c r="G524" t="inlineStr">
        <is>
          <t>EMMABODA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44799</v>
      </c>
      <c r="E525" s="1" t="n">
        <v>46222</v>
      </c>
      <c r="F525" t="inlineStr">
        <is>
          <t>KALMAR LÄN</t>
        </is>
      </c>
      <c r="G525" t="inlineStr">
        <is>
          <t>EMMABODA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41545-2022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46222</v>
      </c>
      <c r="F526" t="inlineStr">
        <is>
          <t>KALMAR LÄN</t>
        </is>
      </c>
      <c r="G526" t="inlineStr">
        <is>
          <t>EMMABODA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1019-2024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45301</v>
      </c>
      <c r="E527" s="1" t="n">
        <v>46222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27646-2026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46222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46222</v>
      </c>
      <c r="F529" t="inlineStr">
        <is>
          <t>KALMAR LÄN</t>
        </is>
      </c>
      <c r="G529" t="inlineStr">
        <is>
          <t>EMMABODA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45309</v>
      </c>
      <c r="E530" s="1" t="n">
        <v>46222</v>
      </c>
      <c r="F530" t="inlineStr">
        <is>
          <t>KALMAR LÄN</t>
        </is>
      </c>
      <c r="G530" t="inlineStr">
        <is>
          <t>EMMABODA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33082-2023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45126</v>
      </c>
      <c r="E531" s="1" t="n">
        <v>46222</v>
      </c>
      <c r="F531" t="inlineStr">
        <is>
          <t>KALMAR LÄN</t>
        </is>
      </c>
      <c r="G531" t="inlineStr">
        <is>
          <t>EMMABODA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46222</v>
      </c>
      <c r="F532" t="inlineStr">
        <is>
          <t>KALMAR LÄN</t>
        </is>
      </c>
      <c r="G532" t="inlineStr">
        <is>
          <t>EMMABODA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46222</v>
      </c>
      <c r="F533" t="inlineStr">
        <is>
          <t>KALMAR LÄN</t>
        </is>
      </c>
      <c r="G533" t="inlineStr">
        <is>
          <t>EMMABODA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46222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46065-2023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46222</v>
      </c>
      <c r="F535" t="inlineStr">
        <is>
          <t>KALMAR LÄN</t>
        </is>
      </c>
      <c r="G535" t="inlineStr">
        <is>
          <t>EMMABODA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46222</v>
      </c>
      <c r="F536" t="inlineStr">
        <is>
          <t>KALMAR LÄN</t>
        </is>
      </c>
      <c r="G536" t="inlineStr">
        <is>
          <t>EMMABODA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46775-2022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46222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25417-2023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45089</v>
      </c>
      <c r="E538" s="1" t="n">
        <v>46222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56549-2022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46222</v>
      </c>
      <c r="F539" t="inlineStr">
        <is>
          <t>KALMAR LÄN</t>
        </is>
      </c>
      <c r="G539" t="inlineStr">
        <is>
          <t>EMMABODA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37637-2023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46222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31070-2022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44769</v>
      </c>
      <c r="E541" s="1" t="n">
        <v>46222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43746-2023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46222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15446-2024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46222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46222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46192-2023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46222</v>
      </c>
      <c r="F545" t="inlineStr">
        <is>
          <t>KALMAR LÄN</t>
        </is>
      </c>
      <c r="G545" t="inlineStr">
        <is>
          <t>EMMABODA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14079-2024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46222</v>
      </c>
      <c r="F546" t="inlineStr">
        <is>
          <t>KALMAR LÄN</t>
        </is>
      </c>
      <c r="G546" t="inlineStr">
        <is>
          <t>EMMABODA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57717-2022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44897</v>
      </c>
      <c r="E547" s="1" t="n">
        <v>46222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46222</v>
      </c>
      <c r="F548" t="inlineStr">
        <is>
          <t>KALMAR LÄN</t>
        </is>
      </c>
      <c r="G548" t="inlineStr">
        <is>
          <t>EMMABODA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46222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22700-2025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45789</v>
      </c>
      <c r="E550" s="1" t="n">
        <v>46222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58156-2021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44487</v>
      </c>
      <c r="E551" s="1" t="n">
        <v>46222</v>
      </c>
      <c r="F551" t="inlineStr">
        <is>
          <t>KALMAR LÄN</t>
        </is>
      </c>
      <c r="G551" t="inlineStr">
        <is>
          <t>EMMABODA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46222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59227-2024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45637</v>
      </c>
      <c r="E553" s="1" t="n">
        <v>46222</v>
      </c>
      <c r="F553" t="inlineStr">
        <is>
          <t>KALMAR LÄN</t>
        </is>
      </c>
      <c r="G553" t="inlineStr">
        <is>
          <t>EMMABODA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11466-2026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46222</v>
      </c>
      <c r="F554" t="inlineStr">
        <is>
          <t>KALMAR LÄN</t>
        </is>
      </c>
      <c r="G554" t="inlineStr">
        <is>
          <t>EMMABODA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41393-2021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44424</v>
      </c>
      <c r="E555" s="1" t="n">
        <v>46222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25783-2024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46222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46222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58592-2021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44488</v>
      </c>
      <c r="E558" s="1" t="n">
        <v>46222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45296</v>
      </c>
      <c r="E559" s="1" t="n">
        <v>46222</v>
      </c>
      <c r="F559" t="inlineStr">
        <is>
          <t>KALMAR LÄN</t>
        </is>
      </c>
      <c r="G559" t="inlineStr">
        <is>
          <t>EMMABODA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28677-2026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46222</v>
      </c>
      <c r="F560" t="inlineStr">
        <is>
          <t>KALMAR LÄN</t>
        </is>
      </c>
      <c r="G560" t="inlineStr">
        <is>
          <t>EMMABODA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14962-2025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45743</v>
      </c>
      <c r="E561" s="1" t="n">
        <v>46222</v>
      </c>
      <c r="F561" t="inlineStr">
        <is>
          <t>KALMAR LÄN</t>
        </is>
      </c>
      <c r="G561" t="inlineStr">
        <is>
          <t>EMMABODA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28448-2026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46197</v>
      </c>
      <c r="E562" s="1" t="n">
        <v>46222</v>
      </c>
      <c r="F562" t="inlineStr">
        <is>
          <t>KALMAR LÄN</t>
        </is>
      </c>
      <c r="G562" t="inlineStr">
        <is>
          <t>EMMABODA</t>
        </is>
      </c>
      <c r="H562" t="inlineStr">
        <is>
          <t>Sveaskog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46069</v>
      </c>
      <c r="E563" s="1" t="n">
        <v>46222</v>
      </c>
      <c r="F563" t="inlineStr">
        <is>
          <t>KALMAR LÄN</t>
        </is>
      </c>
      <c r="G563" t="inlineStr">
        <is>
          <t>EMMABODA</t>
        </is>
      </c>
      <c r="H563" t="inlineStr">
        <is>
          <t>Kyrkan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41446-2021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44424</v>
      </c>
      <c r="E564" s="1" t="n">
        <v>46222</v>
      </c>
      <c r="F564" t="inlineStr">
        <is>
          <t>KALMAR LÄN</t>
        </is>
      </c>
      <c r="G564" t="inlineStr">
        <is>
          <t>EMMABODA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28441-2026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46222</v>
      </c>
      <c r="F565" t="inlineStr">
        <is>
          <t>KALMAR LÄN</t>
        </is>
      </c>
      <c r="G565" t="inlineStr">
        <is>
          <t>EMMABODA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28442-2026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46222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68947-2021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46222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8058-2025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45707</v>
      </c>
      <c r="E568" s="1" t="n">
        <v>46222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3666-2022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46222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22602-2026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46222</v>
      </c>
      <c r="F570" t="inlineStr">
        <is>
          <t>KALMAR LÄN</t>
        </is>
      </c>
      <c r="G570" t="inlineStr">
        <is>
          <t>EMMABODA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47219-2021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44447</v>
      </c>
      <c r="E571" s="1" t="n">
        <v>46222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44589</v>
      </c>
      <c r="E572" s="1" t="n">
        <v>46222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38104-2021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44405</v>
      </c>
      <c r="E573" s="1" t="n">
        <v>46222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63180-2021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44507</v>
      </c>
      <c r="E574" s="1" t="n">
        <v>46222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29293-2026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46222</v>
      </c>
      <c r="F575" t="inlineStr">
        <is>
          <t>KALMAR LÄN</t>
        </is>
      </c>
      <c r="G575" t="inlineStr">
        <is>
          <t>EMMABODA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46222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44938</v>
      </c>
      <c r="E577" s="1" t="n">
        <v>46222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8974-2023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44979</v>
      </c>
      <c r="E578" s="1" t="n">
        <v>46222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51650-2024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45606</v>
      </c>
      <c r="E579" s="1" t="n">
        <v>46222</v>
      </c>
      <c r="F579" t="inlineStr">
        <is>
          <t>KALMAR LÄN</t>
        </is>
      </c>
      <c r="G579" t="inlineStr">
        <is>
          <t>EMMABODA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28990-2026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46222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45370</v>
      </c>
      <c r="E581" s="1" t="n">
        <v>46222</v>
      </c>
      <c r="F581" t="inlineStr">
        <is>
          <t>KALMAR LÄN</t>
        </is>
      </c>
      <c r="G581" t="inlineStr">
        <is>
          <t>EMMABODA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46222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28996-2026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46222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26254-2023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46222</v>
      </c>
      <c r="F584" t="inlineStr">
        <is>
          <t>KALMAR LÄN</t>
        </is>
      </c>
      <c r="G584" t="inlineStr">
        <is>
          <t>EMMABODA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36009-2023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46222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45060-2023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46222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46222</v>
      </c>
      <c r="F587" t="inlineStr">
        <is>
          <t>KALMAR LÄN</t>
        </is>
      </c>
      <c r="G587" t="inlineStr">
        <is>
          <t>EMMABODA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22841-2026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46222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37199-2023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45155</v>
      </c>
      <c r="E589" s="1" t="n">
        <v>46222</v>
      </c>
      <c r="F589" t="inlineStr">
        <is>
          <t>KALMAR LÄN</t>
        </is>
      </c>
      <c r="G589" t="inlineStr">
        <is>
          <t>EMMABODA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58689-2023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46222</v>
      </c>
      <c r="F590" t="inlineStr">
        <is>
          <t>KALMAR LÄN</t>
        </is>
      </c>
      <c r="G590" t="inlineStr">
        <is>
          <t>EMMABODA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44930</v>
      </c>
      <c r="E591" s="1" t="n">
        <v>46222</v>
      </c>
      <c r="F591" t="inlineStr">
        <is>
          <t>KALMAR LÄN</t>
        </is>
      </c>
      <c r="G591" t="inlineStr">
        <is>
          <t>EMMABODA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42684-2023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45181</v>
      </c>
      <c r="E592" s="1" t="n">
        <v>46222</v>
      </c>
      <c r="F592" t="inlineStr">
        <is>
          <t>KALMAR LÄN</t>
        </is>
      </c>
      <c r="G592" t="inlineStr">
        <is>
          <t>EMMABODA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24779-2022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44728</v>
      </c>
      <c r="E593" s="1" t="n">
        <v>46222</v>
      </c>
      <c r="F593" t="inlineStr">
        <is>
          <t>KALMAR LÄN</t>
        </is>
      </c>
      <c r="G593" t="inlineStr">
        <is>
          <t>EMMABODA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18478-2024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45425</v>
      </c>
      <c r="E594" s="1" t="n">
        <v>46222</v>
      </c>
      <c r="F594" t="inlineStr">
        <is>
          <t>KALMAR LÄN</t>
        </is>
      </c>
      <c r="G594" t="inlineStr">
        <is>
          <t>EMMABODA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17525-2023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46222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46222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43256-2022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44834</v>
      </c>
      <c r="E597" s="1" t="n">
        <v>46222</v>
      </c>
      <c r="F597" t="inlineStr">
        <is>
          <t>KALMAR LÄN</t>
        </is>
      </c>
      <c r="G597" t="inlineStr">
        <is>
          <t>EMMABODA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45051</v>
      </c>
      <c r="E598" s="1" t="n">
        <v>46222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19695-2023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45051</v>
      </c>
      <c r="E599" s="1" t="n">
        <v>46222</v>
      </c>
      <c r="F599" t="inlineStr">
        <is>
          <t>KALMAR LÄN</t>
        </is>
      </c>
      <c r="G599" t="inlineStr">
        <is>
          <t>EMMABODA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41734-2025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45902</v>
      </c>
      <c r="E600" s="1" t="n">
        <v>46222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46222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48352-2024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46222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46222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23041-2026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46222</v>
      </c>
      <c r="F604" t="inlineStr">
        <is>
          <t>KALMAR LÄN</t>
        </is>
      </c>
      <c r="G604" t="inlineStr">
        <is>
          <t>EMMABODA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2643-2023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44944</v>
      </c>
      <c r="E605" s="1" t="n">
        <v>46222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19210-2023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45048</v>
      </c>
      <c r="E606" s="1" t="n">
        <v>46222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58136-2021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44487</v>
      </c>
      <c r="E607" s="1" t="n">
        <v>46222</v>
      </c>
      <c r="F607" t="inlineStr">
        <is>
          <t>KALMAR LÄN</t>
        </is>
      </c>
      <c r="G607" t="inlineStr">
        <is>
          <t>EMMABODA</t>
        </is>
      </c>
      <c r="H607" t="inlineStr">
        <is>
          <t>Kommuner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32661-2024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45514</v>
      </c>
      <c r="E608" s="1" t="n">
        <v>46222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32666-2024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45514</v>
      </c>
      <c r="E609" s="1" t="n">
        <v>46222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46222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14068-2024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46222</v>
      </c>
      <c r="F611" t="inlineStr">
        <is>
          <t>KALMAR LÄN</t>
        </is>
      </c>
      <c r="G611" t="inlineStr">
        <is>
          <t>EMMABODA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46222</v>
      </c>
      <c r="F612" t="inlineStr">
        <is>
          <t>KALMAR LÄN</t>
        </is>
      </c>
      <c r="G612" t="inlineStr">
        <is>
          <t>EMMABODA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46222</v>
      </c>
      <c r="F613" t="inlineStr">
        <is>
          <t>KALMAR LÄN</t>
        </is>
      </c>
      <c r="G613" t="inlineStr">
        <is>
          <t>EMMABODA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50467-2021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44455</v>
      </c>
      <c r="E614" s="1" t="n">
        <v>46222</v>
      </c>
      <c r="F614" t="inlineStr">
        <is>
          <t>KALMAR LÄN</t>
        </is>
      </c>
      <c r="G614" t="inlineStr">
        <is>
          <t>EMMABODA</t>
        </is>
      </c>
      <c r="H614" t="inlineStr">
        <is>
          <t>Övriga Aktiebolag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14160-2025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46222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42279-2023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46222</v>
      </c>
      <c r="F616" t="inlineStr">
        <is>
          <t>KALMAR LÄN</t>
        </is>
      </c>
      <c r="G616" t="inlineStr">
        <is>
          <t>EMMABODA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45668</v>
      </c>
      <c r="E617" s="1" t="n">
        <v>46222</v>
      </c>
      <c r="F617" t="inlineStr">
        <is>
          <t>KALMAR LÄN</t>
        </is>
      </c>
      <c r="G617" t="inlineStr">
        <is>
          <t>EMMABODA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7834-2024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45349</v>
      </c>
      <c r="E618" s="1" t="n">
        <v>46222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7840-2024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46222</v>
      </c>
      <c r="F619" t="inlineStr">
        <is>
          <t>KALMAR LÄN</t>
        </is>
      </c>
      <c r="G619" t="inlineStr">
        <is>
          <t>EMMABODA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59914-2024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45641</v>
      </c>
      <c r="E620" s="1" t="n">
        <v>46222</v>
      </c>
      <c r="F620" t="inlineStr">
        <is>
          <t>KALMAR LÄN</t>
        </is>
      </c>
      <c r="G620" t="inlineStr">
        <is>
          <t>EMMABODA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29943-2026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46222</v>
      </c>
      <c r="F621" t="inlineStr">
        <is>
          <t>KALMAR LÄN</t>
        </is>
      </c>
      <c r="G621" t="inlineStr">
        <is>
          <t>EMMABODA</t>
        </is>
      </c>
      <c r="H621" t="inlineStr">
        <is>
          <t>Sveaskog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24159-2026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46222</v>
      </c>
      <c r="F622" t="inlineStr">
        <is>
          <t>KALMAR LÄN</t>
        </is>
      </c>
      <c r="G622" t="inlineStr">
        <is>
          <t>EMMABODA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34032-2022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44791</v>
      </c>
      <c r="E623" s="1" t="n">
        <v>46222</v>
      </c>
      <c r="F623" t="inlineStr">
        <is>
          <t>KALMAR LÄN</t>
        </is>
      </c>
      <c r="G623" t="inlineStr">
        <is>
          <t>EMMABODA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46222</v>
      </c>
      <c r="F624" t="inlineStr">
        <is>
          <t>KALMAR LÄN</t>
        </is>
      </c>
      <c r="G624" t="inlineStr">
        <is>
          <t>EMMABODA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61791-2022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44911</v>
      </c>
      <c r="E625" s="1" t="n">
        <v>46222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14415-2024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45394</v>
      </c>
      <c r="E626" s="1" t="n">
        <v>46222</v>
      </c>
      <c r="F626" t="inlineStr">
        <is>
          <t>KALMAR LÄN</t>
        </is>
      </c>
      <c r="G626" t="inlineStr">
        <is>
          <t>EMMABODA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59764-2022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46222</v>
      </c>
      <c r="F627" t="inlineStr">
        <is>
          <t>KALMAR LÄN</t>
        </is>
      </c>
      <c r="G627" t="inlineStr">
        <is>
          <t>EMMABODA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44432-2023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45189</v>
      </c>
      <c r="E628" s="1" t="n">
        <v>46222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24329-2026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46222</v>
      </c>
      <c r="F629" t="inlineStr">
        <is>
          <t>KALMAR LÄN</t>
        </is>
      </c>
      <c r="G629" t="inlineStr">
        <is>
          <t>EMMABODA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31093-2023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46222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30689-2026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46222</v>
      </c>
      <c r="F631" t="inlineStr">
        <is>
          <t>KALMAR LÄN</t>
        </is>
      </c>
      <c r="G631" t="inlineStr">
        <is>
          <t>EMMABODA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27155-2026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46188</v>
      </c>
      <c r="E632" s="1" t="n">
        <v>46222</v>
      </c>
      <c r="F632" t="inlineStr">
        <is>
          <t>KALMAR LÄN</t>
        </is>
      </c>
      <c r="G632" t="inlineStr">
        <is>
          <t>EMMABODA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30883-2026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46212</v>
      </c>
      <c r="E633" s="1" t="n">
        <v>46222</v>
      </c>
      <c r="F633" t="inlineStr">
        <is>
          <t>KALMAR LÄN</t>
        </is>
      </c>
      <c r="G633" t="inlineStr">
        <is>
          <t>EMMABODA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51649-2024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45606</v>
      </c>
      <c r="E634" s="1" t="n">
        <v>46222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13801-2023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45007</v>
      </c>
      <c r="E635" s="1" t="n">
        <v>46222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30882-2026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46222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46222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39100-2023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45164</v>
      </c>
      <c r="E638" s="1" t="n">
        <v>46222</v>
      </c>
      <c r="F638" t="inlineStr">
        <is>
          <t>KALMAR LÄN</t>
        </is>
      </c>
      <c r="G638" t="inlineStr">
        <is>
          <t>EMMABODA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45706-2025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45923</v>
      </c>
      <c r="E639" s="1" t="n">
        <v>46222</v>
      </c>
      <c r="F639" t="inlineStr">
        <is>
          <t>KALMAR LÄN</t>
        </is>
      </c>
      <c r="G639" t="inlineStr">
        <is>
          <t>EMMABODA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49626-2023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46222</v>
      </c>
      <c r="F640" t="inlineStr">
        <is>
          <t>KALMAR LÄN</t>
        </is>
      </c>
      <c r="G640" t="inlineStr">
        <is>
          <t>EMMABODA</t>
        </is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18424-2026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46127</v>
      </c>
      <c r="E641" s="1" t="n">
        <v>46222</v>
      </c>
      <c r="F641" t="inlineStr">
        <is>
          <t>KALMAR LÄN</t>
        </is>
      </c>
      <c r="G641" t="inlineStr">
        <is>
          <t>EMMABODA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33060-2023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45126</v>
      </c>
      <c r="E642" s="1" t="n">
        <v>46222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20102-2022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44698</v>
      </c>
      <c r="E643" s="1" t="n">
        <v>46222</v>
      </c>
      <c r="F643" t="inlineStr">
        <is>
          <t>KALMAR LÄN</t>
        </is>
      </c>
      <c r="G643" t="inlineStr">
        <is>
          <t>EMMABODA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19551-2026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46134</v>
      </c>
      <c r="E644" s="1" t="n">
        <v>46222</v>
      </c>
      <c r="F644" t="inlineStr">
        <is>
          <t>KALMAR LÄN</t>
        </is>
      </c>
      <c r="G644" t="inlineStr">
        <is>
          <t>EMMABODA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46222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11636-2024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45373</v>
      </c>
      <c r="E646" s="1" t="n">
        <v>46222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48957-2023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46222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46222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10699-2024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45369</v>
      </c>
      <c r="E649" s="1" t="n">
        <v>46222</v>
      </c>
      <c r="F649" t="inlineStr">
        <is>
          <t>KALMAR LÄN</t>
        </is>
      </c>
      <c r="G649" t="inlineStr">
        <is>
          <t>EMMABODA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63219-2023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46222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48918-2023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45204</v>
      </c>
      <c r="E651" s="1" t="n">
        <v>46222</v>
      </c>
      <c r="F651" t="inlineStr">
        <is>
          <t>KALMAR LÄN</t>
        </is>
      </c>
      <c r="G651" t="inlineStr">
        <is>
          <t>EMMABODA</t>
        </is>
      </c>
      <c r="H651" t="inlineStr">
        <is>
          <t>Övriga Aktiebolag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49284-2024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46222</v>
      </c>
      <c r="F652" t="inlineStr">
        <is>
          <t>KALMAR LÄN</t>
        </is>
      </c>
      <c r="G652" t="inlineStr">
        <is>
          <t>EMMABODA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19881-2024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45433</v>
      </c>
      <c r="E653" s="1" t="n">
        <v>46222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46222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69464-2021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44531</v>
      </c>
      <c r="E655" s="1" t="n">
        <v>46222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62733-2021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44504</v>
      </c>
      <c r="E656" s="1" t="n">
        <v>46222</v>
      </c>
      <c r="F656" t="inlineStr">
        <is>
          <t>KALMAR LÄN</t>
        </is>
      </c>
      <c r="G656" t="inlineStr">
        <is>
          <t>EMMABODA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28681-2023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45103</v>
      </c>
      <c r="E657" s="1" t="n">
        <v>46222</v>
      </c>
      <c r="F657" t="inlineStr">
        <is>
          <t>KALMAR LÄN</t>
        </is>
      </c>
      <c r="G657" t="inlineStr">
        <is>
          <t>EMMABODA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45474</v>
      </c>
      <c r="E658" s="1" t="n">
        <v>46222</v>
      </c>
      <c r="F658" t="inlineStr">
        <is>
          <t>KALMAR LÄN</t>
        </is>
      </c>
      <c r="G658" t="inlineStr">
        <is>
          <t>EMMABODA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6535-2024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45341</v>
      </c>
      <c r="E659" s="1" t="n">
        <v>46222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765-2025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45665</v>
      </c>
      <c r="E660" s="1" t="n">
        <v>46222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33083-2023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45126</v>
      </c>
      <c r="E661" s="1" t="n">
        <v>46222</v>
      </c>
      <c r="F661" t="inlineStr">
        <is>
          <t>KALMAR LÄN</t>
        </is>
      </c>
      <c r="G661" t="inlineStr">
        <is>
          <t>EMMABODA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47291-2023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46222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64681-2023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46222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48113-2021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44449</v>
      </c>
      <c r="E664" s="1" t="n">
        <v>46222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46222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46222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46222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46222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46222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46222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46222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46222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46222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46222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46222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46222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46222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46222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46222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46222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46222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46222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46222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46222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46222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46222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46222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46222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46222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46222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46222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46222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46222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49066-2021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44453</v>
      </c>
      <c r="E694" s="1" t="n">
        <v>46222</v>
      </c>
      <c r="F694" t="inlineStr">
        <is>
          <t>KALMAR LÄN</t>
        </is>
      </c>
      <c r="G694" t="inlineStr">
        <is>
          <t>EMMABODA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42847-2024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46222</v>
      </c>
      <c r="F695" t="inlineStr">
        <is>
          <t>KALMAR LÄN</t>
        </is>
      </c>
      <c r="G695" t="inlineStr">
        <is>
          <t>EMMABODA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29085-2024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45481</v>
      </c>
      <c r="E696" s="1" t="n">
        <v>46222</v>
      </c>
      <c r="F696" t="inlineStr">
        <is>
          <t>KALMAR LÄN</t>
        </is>
      </c>
      <c r="G696" t="inlineStr">
        <is>
          <t>EMMABODA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15281-2024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45400</v>
      </c>
      <c r="E697" s="1" t="n">
        <v>46222</v>
      </c>
      <c r="F697" t="inlineStr">
        <is>
          <t>KALMAR LÄN</t>
        </is>
      </c>
      <c r="G697" t="inlineStr">
        <is>
          <t>EMMABODA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23776-2024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45455</v>
      </c>
      <c r="E698" s="1" t="n">
        <v>46222</v>
      </c>
      <c r="F698" t="inlineStr">
        <is>
          <t>KALMAR LÄN</t>
        </is>
      </c>
      <c r="G698" t="inlineStr">
        <is>
          <t>EMMABODA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25316-2025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45800</v>
      </c>
      <c r="E699" s="1" t="n">
        <v>46222</v>
      </c>
      <c r="F699" t="inlineStr">
        <is>
          <t>KALMAR LÄN</t>
        </is>
      </c>
      <c r="G699" t="inlineStr">
        <is>
          <t>EMMABODA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36491-2024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45537</v>
      </c>
      <c r="E700" s="1" t="n">
        <v>46222</v>
      </c>
      <c r="F700" t="inlineStr">
        <is>
          <t>KALMAR LÄN</t>
        </is>
      </c>
      <c r="G700" t="inlineStr">
        <is>
          <t>EMMABODA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8397-2023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44977</v>
      </c>
      <c r="E701" s="1" t="n">
        <v>46222</v>
      </c>
      <c r="F701" t="inlineStr">
        <is>
          <t>KALMAR LÄN</t>
        </is>
      </c>
      <c r="G701" t="inlineStr">
        <is>
          <t>EMMABODA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768-2025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46222</v>
      </c>
      <c r="F702" t="inlineStr">
        <is>
          <t>KALMAR LÄN</t>
        </is>
      </c>
      <c r="G702" t="inlineStr">
        <is>
          <t>EMMABODA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46222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46222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46222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46222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46222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46222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46222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46222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46222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46222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46222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46222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46222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46222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46222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46222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46222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46222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46222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46222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46222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46222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46222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46222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46222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46222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46222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46222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46222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46222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46222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46222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46222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46222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46222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46222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46222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46222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46222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46222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46222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46222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46222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46222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46222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46222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46222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46222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46222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46222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46222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46222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2026-07-19T01:36:18Z</dcterms:created>
  <dcterms:modified xmlns:dcterms="http://purl.org/dc/terms/" xmlns:xsi="http://www.w3.org/2001/XMLSchema-instance" xsi:type="dcterms:W3CDTF">2026-07-19T01:36:19Z</dcterms:modified>
</cp:coreProperties>
</file>