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46224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46224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46224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46224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46224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46224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46224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46224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46224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46224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46224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46224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46224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46224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46224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46224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46224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46224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58883-2022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44895</v>
      </c>
      <c r="E25" s="1" t="n">
        <v>46224</v>
      </c>
      <c r="F25" t="inlineStr">
        <is>
          <t>KALMAR LÄN</t>
        </is>
      </c>
      <c r="G25" t="inlineStr">
        <is>
          <t>EMMABODA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HYPERLINK("https://klasma.github.io/Logging_0862/artfynd/A 58883-2022 artfynd.xlsx", "A 58883-2022")</f>
        <v/>
      </c>
      <c r="X25">
        <f>HYPERLINK("https://klasma.github.io/Logging_0862/kartor/A 58883-2022 karta.png", "A 58883-2022")</f>
        <v/>
      </c>
      <c r="Y25">
        <f>HYPERLINK("https://klasma.github.io/Logging_0862/kartor_geotiff/A 58883-2022 georefererad karta.tif", "A 58883-2022")</f>
        <v/>
      </c>
      <c r="AA25">
        <f>HYPERLINK("https://klasma.github.io/Logging_0862/klagomål/A 58883-2022 FSC-klagomål.docx", "A 58883-2022")</f>
        <v/>
      </c>
      <c r="AB25">
        <f>HYPERLINK("https://klasma.github.io/Logging_0862/klagomålsmail/A 58883-2022 FSC-klagomål mail.docx", "A 58883-2022")</f>
        <v/>
      </c>
      <c r="AC25">
        <f>HYPERLINK("https://klasma.github.io/Logging_0862/tillsyn/A 58883-2022 tillsynsbegäran.docx", "A 58883-2022")</f>
        <v/>
      </c>
      <c r="AD25">
        <f>HYPERLINK("https://klasma.github.io/Logging_0862/tillsynsmail/A 58883-2022 tillsynsbegäran mail.docx", "A 58883-2022")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46224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6612-2023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44966</v>
      </c>
      <c r="E27" s="1" t="n">
        <v>46224</v>
      </c>
      <c r="F27" t="inlineStr">
        <is>
          <t>KALMAR LÄN</t>
        </is>
      </c>
      <c r="G27" t="inlineStr">
        <is>
          <t>EMMABODA</t>
        </is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Korallrot</t>
        </is>
      </c>
      <c r="W27">
        <f>HYPERLINK("https://klasma.github.io/Logging_0862/artfynd/A 6612-2023 artfynd.xlsx", "A 6612-2023")</f>
        <v/>
      </c>
      <c r="X27">
        <f>HYPERLINK("https://klasma.github.io/Logging_0862/kartor/A 6612-2023 karta.png", "A 6612-2023")</f>
        <v/>
      </c>
      <c r="Y27">
        <f>HYPERLINK("https://klasma.github.io/Logging_0862/kartor_geotiff/A 6612-2023 georefererad karta.tif", "A 6612-2023")</f>
        <v/>
      </c>
      <c r="AA27">
        <f>HYPERLINK("https://klasma.github.io/Logging_0862/klagomål/A 6612-2023 FSC-klagomål.docx", "A 6612-2023")</f>
        <v/>
      </c>
      <c r="AB27">
        <f>HYPERLINK("https://klasma.github.io/Logging_0862/klagomålsmail/A 6612-2023 FSC-klagomål mail.docx", "A 6612-2023")</f>
        <v/>
      </c>
      <c r="AC27">
        <f>HYPERLINK("https://klasma.github.io/Logging_0862/tillsyn/A 6612-2023 tillsynsbegäran.docx", "A 6612-2023")</f>
        <v/>
      </c>
      <c r="AD27">
        <f>HYPERLINK("https://klasma.github.io/Logging_0862/tillsynsmail/A 6612-2023 tillsynsbegäran mail.docx", "A 6612-2023")</f>
        <v/>
      </c>
    </row>
    <row r="28" ht="15" customHeight="1">
      <c r="A28" t="inlineStr">
        <is>
          <t>A 770-2022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44570</v>
      </c>
      <c r="E28" s="1" t="n">
        <v>46224</v>
      </c>
      <c r="F28" t="inlineStr">
        <is>
          <t>KALMAR LÄN</t>
        </is>
      </c>
      <c r="G28" t="inlineStr">
        <is>
          <t>EMMABODA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Grönpyrola</t>
        </is>
      </c>
      <c r="W28">
        <f>HYPERLINK("https://klasma.github.io/Logging_0862/artfynd/A 770-2022 artfynd.xlsx", "A 770-2022")</f>
        <v/>
      </c>
      <c r="X28">
        <f>HYPERLINK("https://klasma.github.io/Logging_0862/kartor/A 770-2022 karta.png", "A 770-2022")</f>
        <v/>
      </c>
      <c r="Y28">
        <f>HYPERLINK("https://klasma.github.io/Logging_0862/kartor_geotiff/A 770-2022 georefererad karta.tif", "A 770-2022")</f>
        <v/>
      </c>
      <c r="AA28">
        <f>HYPERLINK("https://klasma.github.io/Logging_0862/klagomål/A 770-2022 FSC-klagomål.docx", "A 770-2022")</f>
        <v/>
      </c>
      <c r="AB28">
        <f>HYPERLINK("https://klasma.github.io/Logging_0862/klagomålsmail/A 770-2022 FSC-klagomål mail.docx", "A 770-2022")</f>
        <v/>
      </c>
      <c r="AC28">
        <f>HYPERLINK("https://klasma.github.io/Logging_0862/tillsyn/A 770-2022 tillsynsbegäran.docx", "A 770-2022")</f>
        <v/>
      </c>
      <c r="AD28">
        <f>HYPERLINK("https://klasma.github.io/Logging_0862/tillsynsmail/A 770-2022 tillsynsbegäran mail.docx", "A 770-2022")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46224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9633-2023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46224</v>
      </c>
      <c r="F30" t="inlineStr">
        <is>
          <t>KALMAR LÄN</t>
        </is>
      </c>
      <c r="G30" t="inlineStr">
        <is>
          <t>EMMABODA</t>
        </is>
      </c>
      <c r="I30" t="n">
        <v>3.5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Småjungfrukam</t>
        </is>
      </c>
      <c r="W30">
        <f>HYPERLINK("https://klasma.github.io/Logging_0862/artfynd/A 9633-2023 artfynd.xlsx", "A 9633-2023")</f>
        <v/>
      </c>
      <c r="X30">
        <f>HYPERLINK("https://klasma.github.io/Logging_0862/kartor/A 9633-2023 karta.png", "A 9633-2023")</f>
        <v/>
      </c>
      <c r="Y30">
        <f>HYPERLINK("https://klasma.github.io/Logging_0862/kartor_geotiff/A 9633-2023 georefererad karta.tif", "A 9633-2023")</f>
        <v/>
      </c>
      <c r="AA30">
        <f>HYPERLINK("https://klasma.github.io/Logging_0862/klagomål/A 9633-2023 FSC-klagomål.docx", "A 9633-2023")</f>
        <v/>
      </c>
      <c r="AB30">
        <f>HYPERLINK("https://klasma.github.io/Logging_0862/klagomålsmail/A 9633-2023 FSC-klagomål mail.docx", "A 9633-2023")</f>
        <v/>
      </c>
      <c r="AC30">
        <f>HYPERLINK("https://klasma.github.io/Logging_0862/tillsyn/A 9633-2023 tillsynsbegäran.docx", "A 9633-2023")</f>
        <v/>
      </c>
      <c r="AD30">
        <f>HYPERLINK("https://klasma.github.io/Logging_0862/tillsynsmail/A 9633-2023 tillsynsbegäran mail.docx", "A 9633-2023")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46224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46187-2023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45196</v>
      </c>
      <c r="E32" s="1" t="n">
        <v>46224</v>
      </c>
      <c r="F32" t="inlineStr">
        <is>
          <t>KALMAR LÄN</t>
        </is>
      </c>
      <c r="G32" t="inlineStr">
        <is>
          <t>EMMABODA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HYPERLINK("https://klasma.github.io/Logging_0862/artfynd/A 46187-2023 artfynd.xlsx", "A 46187-2023")</f>
        <v/>
      </c>
      <c r="X32">
        <f>HYPERLINK("https://klasma.github.io/Logging_0862/kartor/A 46187-2023 karta.png", "A 46187-2023")</f>
        <v/>
      </c>
      <c r="Y32">
        <f>HYPERLINK("https://klasma.github.io/Logging_0862/kartor_geotiff/A 46187-2023 georefererad karta.tif", "A 46187-2023")</f>
        <v/>
      </c>
      <c r="AA32">
        <f>HYPERLINK("https://klasma.github.io/Logging_0862/klagomål/A 46187-2023 FSC-klagomål.docx", "A 46187-2023")</f>
        <v/>
      </c>
      <c r="AB32">
        <f>HYPERLINK("https://klasma.github.io/Logging_0862/klagomålsmail/A 46187-2023 FSC-klagomål mail.docx", "A 46187-2023")</f>
        <v/>
      </c>
      <c r="AC32">
        <f>HYPERLINK("https://klasma.github.io/Logging_0862/tillsyn/A 46187-2023 tillsynsbegäran.docx", "A 46187-2023")</f>
        <v/>
      </c>
      <c r="AD32">
        <f>HYPERLINK("https://klasma.github.io/Logging_0862/tillsynsmail/A 46187-2023 tillsynsbegäran mail.docx", "A 46187-2023")</f>
        <v/>
      </c>
    </row>
    <row r="33" ht="15" customHeight="1">
      <c r="A33" t="inlineStr">
        <is>
          <t>A 6247-2026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46224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HYPERLINK("https://klasma.github.io/Logging_0862/artfynd/A 6247-2026 artfynd.xlsx", "A 6247-2026")</f>
        <v/>
      </c>
      <c r="X33">
        <f>HYPERLINK("https://klasma.github.io/Logging_0862/kartor/A 6247-2026 karta.png", "A 6247-2026")</f>
        <v/>
      </c>
      <c r="Y33">
        <f>HYPERLINK("https://klasma.github.io/Logging_0862/kartor_geotiff/A 6247-2026 georefererad karta.tif", "A 6247-2026")</f>
        <v/>
      </c>
      <c r="AA33">
        <f>HYPERLINK("https://klasma.github.io/Logging_0862/klagomål/A 6247-2026 FSC-klagomål.docx", "A 6247-2026")</f>
        <v/>
      </c>
      <c r="AB33">
        <f>HYPERLINK("https://klasma.github.io/Logging_0862/klagomålsmail/A 6247-2026 FSC-klagomål mail.docx", "A 6247-2026")</f>
        <v/>
      </c>
      <c r="AC33">
        <f>HYPERLINK("https://klasma.github.io/Logging_0862/tillsyn/A 6247-2026 tillsynsbegäran.docx", "A 6247-2026")</f>
        <v/>
      </c>
      <c r="AD33">
        <f>HYPERLINK("https://klasma.github.io/Logging_0862/tillsynsmail/A 6247-2026 tillsynsbegäran mail.docx", "A 6247-2026")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46224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5884-2024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46224</v>
      </c>
      <c r="F35" t="inlineStr">
        <is>
          <t>KALMAR LÄN</t>
        </is>
      </c>
      <c r="G35" t="inlineStr">
        <is>
          <t>EMMABODA</t>
        </is>
      </c>
      <c r="I35" t="n">
        <v>4.7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HYPERLINK("https://klasma.github.io/Logging_0862/artfynd/A 5884-2024 artfynd.xlsx", "A 5884-2024")</f>
        <v/>
      </c>
      <c r="X35">
        <f>HYPERLINK("https://klasma.github.io/Logging_0862/kartor/A 5884-2024 karta.png", "A 5884-2024")</f>
        <v/>
      </c>
      <c r="Y35">
        <f>HYPERLINK("https://klasma.github.io/Logging_0862/kartor_geotiff/A 5884-2024 georefererad karta.tif", "A 5884-2024")</f>
        <v/>
      </c>
      <c r="AA35">
        <f>HYPERLINK("https://klasma.github.io/Logging_0862/klagomål/A 5884-2024 FSC-klagomål.docx", "A 5884-2024")</f>
        <v/>
      </c>
      <c r="AB35">
        <f>HYPERLINK("https://klasma.github.io/Logging_0862/klagomålsmail/A 5884-2024 FSC-klagomål mail.docx", "A 5884-2024")</f>
        <v/>
      </c>
      <c r="AC35">
        <f>HYPERLINK("https://klasma.github.io/Logging_0862/tillsyn/A 5884-2024 tillsynsbegäran.docx", "A 5884-2024")</f>
        <v/>
      </c>
      <c r="AD35">
        <f>HYPERLINK("https://klasma.github.io/Logging_0862/tillsynsmail/A 5884-2024 tillsynsbegäran mail.docx", "A 5884-2024")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46224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46224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19763-2026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46224</v>
      </c>
      <c r="F38" t="inlineStr">
        <is>
          <t>KALMAR LÄN</t>
        </is>
      </c>
      <c r="G38" t="inlineStr">
        <is>
          <t>EMMABODA</t>
        </is>
      </c>
      <c r="H38" t="inlineStr">
        <is>
          <t>Sveaskog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HYPERLINK("https://klasma.github.io/Logging_0862/artfynd/A 19763-2026 artfynd.xlsx", "A 19763-2026")</f>
        <v/>
      </c>
      <c r="X38">
        <f>HYPERLINK("https://klasma.github.io/Logging_0862/kartor/A 19763-2026 karta.png", "A 19763-2026")</f>
        <v/>
      </c>
      <c r="Y38">
        <f>HYPERLINK("https://klasma.github.io/Logging_0862/kartor_geotiff/A 19763-2026 georefererad karta.tif", "A 19763-2026")</f>
        <v/>
      </c>
      <c r="AA38">
        <f>HYPERLINK("https://klasma.github.io/Logging_0862/klagomål/A 19763-2026 FSC-klagomål.docx", "A 19763-2026")</f>
        <v/>
      </c>
      <c r="AB38">
        <f>HYPERLINK("https://klasma.github.io/Logging_0862/klagomålsmail/A 19763-2026 FSC-klagomål mail.docx", "A 19763-2026")</f>
        <v/>
      </c>
      <c r="AC38">
        <f>HYPERLINK("https://klasma.github.io/Logging_0862/tillsyn/A 19763-2026 tillsynsbegäran.docx", "A 19763-2026")</f>
        <v/>
      </c>
      <c r="AD38">
        <f>HYPERLINK("https://klasma.github.io/Logging_0862/tillsynsmail/A 19763-2026 tillsynsbegäran mail.docx", "A 19763-2026")</f>
        <v/>
      </c>
    </row>
    <row r="39" ht="15" customHeight="1">
      <c r="A39" t="inlineStr">
        <is>
          <t>A 54981-2025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45967</v>
      </c>
      <c r="E39" s="1" t="n">
        <v>46224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HYPERLINK("https://klasma.github.io/Logging_0862/artfynd/A 54981-2025 artfynd.xlsx", "A 54981-2025")</f>
        <v/>
      </c>
      <c r="X39">
        <f>HYPERLINK("https://klasma.github.io/Logging_0862/kartor/A 54981-2025 karta.png", "A 54981-2025")</f>
        <v/>
      </c>
      <c r="Y39">
        <f>HYPERLINK("https://klasma.github.io/Logging_0862/kartor_geotiff/A 54981-2025 georefererad karta.tif", "A 54981-2025")</f>
        <v/>
      </c>
      <c r="AA39">
        <f>HYPERLINK("https://klasma.github.io/Logging_0862/klagomål/A 54981-2025 FSC-klagomål.docx", "A 54981-2025")</f>
        <v/>
      </c>
      <c r="AB39">
        <f>HYPERLINK("https://klasma.github.io/Logging_0862/klagomålsmail/A 54981-2025 FSC-klagomål mail.docx", "A 54981-2025")</f>
        <v/>
      </c>
      <c r="AC39">
        <f>HYPERLINK("https://klasma.github.io/Logging_0862/tillsyn/A 54981-2025 tillsynsbegäran.docx", "A 54981-2025")</f>
        <v/>
      </c>
      <c r="AD39">
        <f>HYPERLINK("https://klasma.github.io/Logging_0862/tillsynsmail/A 54981-2025 tillsynsbegäran mail.docx", "A 54981-2025")</f>
        <v/>
      </c>
    </row>
    <row r="40" ht="15" customHeight="1">
      <c r="A40" t="inlineStr">
        <is>
          <t>A 18621-2025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46224</v>
      </c>
      <c r="F40" t="inlineStr">
        <is>
          <t>KALMAR LÄN</t>
        </is>
      </c>
      <c r="G40" t="inlineStr">
        <is>
          <t>EMMABODA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Pärluggla</t>
        </is>
      </c>
      <c r="W40">
        <f>HYPERLINK("https://klasma.github.io/Logging_0862/artfynd/A 18621-2025 artfynd.xlsx", "A 18621-2025")</f>
        <v/>
      </c>
      <c r="X40">
        <f>HYPERLINK("https://klasma.github.io/Logging_0862/kartor/A 18621-2025 karta.png", "A 18621-2025")</f>
        <v/>
      </c>
      <c r="Y40">
        <f>HYPERLINK("https://klasma.github.io/Logging_0862/kartor_geotiff/A 18621-2025 georefererad karta.tif", "A 18621-2025")</f>
        <v/>
      </c>
      <c r="AA40">
        <f>HYPERLINK("https://klasma.github.io/Logging_0862/klagomål/A 18621-2025 FSC-klagomål.docx", "A 18621-2025")</f>
        <v/>
      </c>
      <c r="AB40">
        <f>HYPERLINK("https://klasma.github.io/Logging_0862/klagomålsmail/A 18621-2025 FSC-klagomål mail.docx", "A 18621-2025")</f>
        <v/>
      </c>
      <c r="AC40">
        <f>HYPERLINK("https://klasma.github.io/Logging_0862/tillsyn/A 18621-2025 tillsynsbegäran.docx", "A 18621-2025")</f>
        <v/>
      </c>
      <c r="AD40">
        <f>HYPERLINK("https://klasma.github.io/Logging_0862/tillsynsmail/A 18621-2025 tillsynsbegäran mail.docx", "A 18621-2025")</f>
        <v/>
      </c>
      <c r="AE40">
        <f>HYPERLINK("https://klasma.github.io/Logging_0862/fåglar/A 18621-2025 prioriterade fågelarter.docx", "A 18621-2025")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46224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Lappuggla</t>
        </is>
      </c>
      <c r="W41">
        <f>HYPERLINK("https://klasma.github.io/Logging_0862/artfynd/A 31226-2022 artfynd.xlsx", "A 31226-2022")</f>
        <v/>
      </c>
      <c r="X41">
        <f>HYPERLINK("https://klasma.github.io/Logging_0862/kartor/A 31226-2022 karta.png", "A 31226-2022")</f>
        <v/>
      </c>
      <c r="Y41">
        <f>HYPERLINK("https://klasma.github.io/Logging_0862/kartor_geotiff/A 31226-2022 georefererad karta.tif", "A 31226-2022")</f>
        <v/>
      </c>
      <c r="AA41">
        <f>HYPERLINK("https://klasma.github.io/Logging_0862/klagomål/A 31226-2022 FSC-klagomål.docx", "A 31226-2022")</f>
        <v/>
      </c>
      <c r="AB41">
        <f>HYPERLINK("https://klasma.github.io/Logging_0862/klagomålsmail/A 31226-2022 FSC-klagomål mail.docx", "A 31226-2022")</f>
        <v/>
      </c>
      <c r="AC41">
        <f>HYPERLINK("https://klasma.github.io/Logging_0862/tillsyn/A 31226-2022 tillsynsbegäran.docx", "A 31226-2022")</f>
        <v/>
      </c>
      <c r="AD41">
        <f>HYPERLINK("https://klasma.github.io/Logging_0862/tillsynsmail/A 31226-2022 tillsynsbegäran mail.docx", "A 31226-2022")</f>
        <v/>
      </c>
      <c r="AE41">
        <f>HYPERLINK("https://klasma.github.io/Logging_0862/fåglar/A 31226-2022 prioriterade fågelarter.docx", "A 31226-2022")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46224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46224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46224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46224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46224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46224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46224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A 58297-2021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44488</v>
      </c>
      <c r="E49" s="1" t="n">
        <v>46224</v>
      </c>
      <c r="F49" t="inlineStr">
        <is>
          <t>KALMAR LÄN</t>
        </is>
      </c>
      <c r="G49" t="inlineStr">
        <is>
          <t>EMMABODA</t>
        </is>
      </c>
      <c r="H49" t="inlineStr">
        <is>
          <t>Kommuner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HYPERLINK("https://klasma.github.io/Logging_0862/artfynd/A 58297-2021 artfynd.xlsx", "A 58297-2021")</f>
        <v/>
      </c>
      <c r="X49">
        <f>HYPERLINK("https://klasma.github.io/Logging_0862/kartor/A 58297-2021 karta.png", "A 58297-2021")</f>
        <v/>
      </c>
      <c r="Y49">
        <f>HYPERLINK("https://klasma.github.io/Logging_0862/kartor_geotiff/A 58297-2021 georefererad karta.tif", "A 58297-2021")</f>
        <v/>
      </c>
      <c r="AA49">
        <f>HYPERLINK("https://klasma.github.io/Logging_0862/klagomål/A 58297-2021 FSC-klagomål.docx", "A 58297-2021")</f>
        <v/>
      </c>
      <c r="AB49">
        <f>HYPERLINK("https://klasma.github.io/Logging_0862/klagomålsmail/A 58297-2021 FSC-klagomål mail.docx", "A 58297-2021")</f>
        <v/>
      </c>
      <c r="AC49">
        <f>HYPERLINK("https://klasma.github.io/Logging_0862/tillsyn/A 58297-2021 tillsynsbegäran.docx", "A 58297-2021")</f>
        <v/>
      </c>
      <c r="AD49">
        <f>HYPERLINK("https://klasma.github.io/Logging_0862/tillsynsmail/A 58297-2021 tillsynsbegäran mail.docx", "A 58297-2021")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46224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46224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46224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46224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46224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46224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46224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46224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46224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46224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46224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46224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46224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46224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46224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46224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46224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46224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46224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46224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46224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46224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46224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46224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46224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46224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46224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46224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46224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46224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46224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46224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46224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46224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46224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46224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46224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44728</v>
      </c>
      <c r="E87" s="1" t="n">
        <v>46224</v>
      </c>
      <c r="F87" t="inlineStr">
        <is>
          <t>KALMAR LÄN</t>
        </is>
      </c>
      <c r="G87" t="inlineStr">
        <is>
          <t>EMMABODA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46224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46224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46224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46224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46224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46224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46224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46224</v>
      </c>
      <c r="F95" t="inlineStr">
        <is>
          <t>KALMAR LÄN</t>
        </is>
      </c>
      <c r="G95" t="inlineStr">
        <is>
          <t>EMMABODA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46224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46224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46224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46224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46224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46224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46224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46224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46224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46224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46224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46224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46224</v>
      </c>
      <c r="F108" t="inlineStr">
        <is>
          <t>KALMAR LÄN</t>
        </is>
      </c>
      <c r="G108" t="inlineStr">
        <is>
          <t>EMMABODA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46224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46224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46224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46224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46224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46224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46224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46224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46224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46224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46224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46224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46224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46224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46224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46224</v>
      </c>
      <c r="F124" t="inlineStr">
        <is>
          <t>KALMAR LÄN</t>
        </is>
      </c>
      <c r="G124" t="inlineStr">
        <is>
          <t>EMMABODA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46224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46224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46224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46224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46224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46224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46224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46224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46224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46224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46224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46224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46224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46224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46224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58312-2021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44488</v>
      </c>
      <c r="E140" s="1" t="n">
        <v>46224</v>
      </c>
      <c r="F140" t="inlineStr">
        <is>
          <t>KALMAR LÄN</t>
        </is>
      </c>
      <c r="G140" t="inlineStr">
        <is>
          <t>EMMABODA</t>
        </is>
      </c>
      <c r="H140" t="inlineStr">
        <is>
          <t>Kommuner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27678-2022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44743</v>
      </c>
      <c r="E141" s="1" t="n">
        <v>46224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46224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46224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46224</v>
      </c>
      <c r="F144" t="inlineStr">
        <is>
          <t>KALMAR LÄN</t>
        </is>
      </c>
      <c r="G144" t="inlineStr">
        <is>
          <t>EMMABODA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46224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46224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73552-2021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46224</v>
      </c>
      <c r="F147" t="inlineStr">
        <is>
          <t>KALMAR LÄN</t>
        </is>
      </c>
      <c r="G147" t="inlineStr">
        <is>
          <t>EMMABODA</t>
        </is>
      </c>
      <c r="H147" t="inlineStr">
        <is>
          <t>Kommuner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46224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46224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46224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46224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46224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46224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46224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46224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46224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46224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46224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46224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46224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46224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46224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46224</v>
      </c>
      <c r="F163" t="inlineStr">
        <is>
          <t>KALMAR LÄN</t>
        </is>
      </c>
      <c r="G163" t="inlineStr">
        <is>
          <t>EMMABODA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46224</v>
      </c>
      <c r="F164" t="inlineStr">
        <is>
          <t>KALMAR LÄN</t>
        </is>
      </c>
      <c r="G164" t="inlineStr">
        <is>
          <t>EMMABODA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46224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46224</v>
      </c>
      <c r="F166" t="inlineStr">
        <is>
          <t>KALMAR LÄN</t>
        </is>
      </c>
      <c r="G166" t="inlineStr">
        <is>
          <t>EMMABODA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45606</v>
      </c>
      <c r="E167" s="1" t="n">
        <v>46224</v>
      </c>
      <c r="F167" t="inlineStr">
        <is>
          <t>KALMAR LÄN</t>
        </is>
      </c>
      <c r="G167" t="inlineStr">
        <is>
          <t>EMMABODA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46224</v>
      </c>
      <c r="F168" t="inlineStr">
        <is>
          <t>KALMAR LÄN</t>
        </is>
      </c>
      <c r="G168" t="inlineStr">
        <is>
          <t>EMMABODA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45126</v>
      </c>
      <c r="E169" s="1" t="n">
        <v>46224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45392</v>
      </c>
      <c r="E170" s="1" t="n">
        <v>46224</v>
      </c>
      <c r="F170" t="inlineStr">
        <is>
          <t>KALMAR LÄN</t>
        </is>
      </c>
      <c r="G170" t="inlineStr">
        <is>
          <t>EMMABODA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45022</v>
      </c>
      <c r="E171" s="1" t="n">
        <v>46224</v>
      </c>
      <c r="F171" t="inlineStr">
        <is>
          <t>KALMAR LÄN</t>
        </is>
      </c>
      <c r="G171" t="inlineStr">
        <is>
          <t>EMMABODA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46224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46224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46224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46224</v>
      </c>
      <c r="F175" t="inlineStr">
        <is>
          <t>KALMAR LÄN</t>
        </is>
      </c>
      <c r="G175" t="inlineStr">
        <is>
          <t>EMMABODA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46224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45219</v>
      </c>
      <c r="E177" s="1" t="n">
        <v>46224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46224</v>
      </c>
      <c r="F178" t="inlineStr">
        <is>
          <t>KALMAR LÄN</t>
        </is>
      </c>
      <c r="G178" t="inlineStr">
        <is>
          <t>EMMABODA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45049</v>
      </c>
      <c r="E179" s="1" t="n">
        <v>46224</v>
      </c>
      <c r="F179" t="inlineStr">
        <is>
          <t>KALMAR LÄN</t>
        </is>
      </c>
      <c r="G179" t="inlineStr">
        <is>
          <t>EMMABODA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46224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46224</v>
      </c>
      <c r="F181" t="inlineStr">
        <is>
          <t>KALMAR LÄN</t>
        </is>
      </c>
      <c r="G181" t="inlineStr">
        <is>
          <t>EMMABODA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44572</v>
      </c>
      <c r="E182" s="1" t="n">
        <v>46224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45392</v>
      </c>
      <c r="E183" s="1" t="n">
        <v>46224</v>
      </c>
      <c r="F183" t="inlineStr">
        <is>
          <t>KALMAR LÄN</t>
        </is>
      </c>
      <c r="G183" t="inlineStr">
        <is>
          <t>EMMABODA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49066-2021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44453</v>
      </c>
      <c r="E184" s="1" t="n">
        <v>46224</v>
      </c>
      <c r="F184" t="inlineStr">
        <is>
          <t>KALMAR LÄN</t>
        </is>
      </c>
      <c r="G184" t="inlineStr">
        <is>
          <t>EMMABODA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45481</v>
      </c>
      <c r="E185" s="1" t="n">
        <v>46224</v>
      </c>
      <c r="F185" t="inlineStr">
        <is>
          <t>KALMAR LÄN</t>
        </is>
      </c>
      <c r="G185" t="inlineStr">
        <is>
          <t>EMMABODA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45019</v>
      </c>
      <c r="E186" s="1" t="n">
        <v>46224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46224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46224</v>
      </c>
      <c r="F188" t="inlineStr">
        <is>
          <t>KALMAR LÄN</t>
        </is>
      </c>
      <c r="G188" t="inlineStr">
        <is>
          <t>EMMABODA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45609</v>
      </c>
      <c r="E189" s="1" t="n">
        <v>46224</v>
      </c>
      <c r="F189" t="inlineStr">
        <is>
          <t>KALMAR LÄN</t>
        </is>
      </c>
      <c r="G189" t="inlineStr">
        <is>
          <t>EMMABODA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44973</v>
      </c>
      <c r="E190" s="1" t="n">
        <v>46224</v>
      </c>
      <c r="F190" t="inlineStr">
        <is>
          <t>KALMAR LÄN</t>
        </is>
      </c>
      <c r="G190" t="inlineStr">
        <is>
          <t>EMMABODA</t>
        </is>
      </c>
      <c r="H190" t="inlineStr">
        <is>
          <t>Kommuner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46224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46224</v>
      </c>
      <c r="F192" t="inlineStr">
        <is>
          <t>KALMAR LÄN</t>
        </is>
      </c>
      <c r="G192" t="inlineStr">
        <is>
          <t>EMMABODA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45688</v>
      </c>
      <c r="E193" s="1" t="n">
        <v>46224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46224</v>
      </c>
      <c r="F194" t="inlineStr">
        <is>
          <t>KALMAR LÄN</t>
        </is>
      </c>
      <c r="G194" t="inlineStr">
        <is>
          <t>EMMABODA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46224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46224</v>
      </c>
      <c r="F196" t="inlineStr">
        <is>
          <t>KALMAR LÄN</t>
        </is>
      </c>
      <c r="G196" t="inlineStr">
        <is>
          <t>EMMABODA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66658-2021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44519</v>
      </c>
      <c r="E197" s="1" t="n">
        <v>46224</v>
      </c>
      <c r="F197" t="inlineStr">
        <is>
          <t>KALMAR LÄN</t>
        </is>
      </c>
      <c r="G197" t="inlineStr">
        <is>
          <t>EMMABODA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46224</v>
      </c>
      <c r="F198" t="inlineStr">
        <is>
          <t>KALMAR LÄN</t>
        </is>
      </c>
      <c r="G198" t="inlineStr">
        <is>
          <t>EMMABODA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46224</v>
      </c>
      <c r="F199" t="inlineStr">
        <is>
          <t>KALMAR LÄN</t>
        </is>
      </c>
      <c r="G199" t="inlineStr">
        <is>
          <t>EMMABODA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46224</v>
      </c>
      <c r="F200" t="inlineStr">
        <is>
          <t>KALMAR LÄN</t>
        </is>
      </c>
      <c r="G200" t="inlineStr">
        <is>
          <t>EMMABODA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46224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46224</v>
      </c>
      <c r="F202" t="inlineStr">
        <is>
          <t>KALMAR LÄN</t>
        </is>
      </c>
      <c r="G202" t="inlineStr">
        <is>
          <t>EMMABODA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46224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46224</v>
      </c>
      <c r="F204" t="inlineStr">
        <is>
          <t>KALMAR LÄN</t>
        </is>
      </c>
      <c r="G204" t="inlineStr">
        <is>
          <t>EMMABODA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44683</v>
      </c>
      <c r="E205" s="1" t="n">
        <v>46224</v>
      </c>
      <c r="F205" t="inlineStr">
        <is>
          <t>KALMAR LÄN</t>
        </is>
      </c>
      <c r="G205" t="inlineStr">
        <is>
          <t>EMMABODA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46224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46224</v>
      </c>
      <c r="F207" t="inlineStr">
        <is>
          <t>KALMAR LÄN</t>
        </is>
      </c>
      <c r="G207" t="inlineStr">
        <is>
          <t>EMMABODA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46224</v>
      </c>
      <c r="F208" t="inlineStr">
        <is>
          <t>KALMAR LÄN</t>
        </is>
      </c>
      <c r="G208" t="inlineStr">
        <is>
          <t>EMMABODA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8397-2023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44977</v>
      </c>
      <c r="E209" s="1" t="n">
        <v>46224</v>
      </c>
      <c r="F209" t="inlineStr">
        <is>
          <t>KALMAR LÄN</t>
        </is>
      </c>
      <c r="G209" t="inlineStr">
        <is>
          <t>EMMABODA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46224</v>
      </c>
      <c r="F210" t="inlineStr">
        <is>
          <t>KALMAR LÄN</t>
        </is>
      </c>
      <c r="G210" t="inlineStr">
        <is>
          <t>EMMABODA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46224</v>
      </c>
      <c r="F211" t="inlineStr">
        <is>
          <t>KALMAR LÄN</t>
        </is>
      </c>
      <c r="G211" t="inlineStr">
        <is>
          <t>EMMABODA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46224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45148</v>
      </c>
      <c r="E213" s="1" t="n">
        <v>46224</v>
      </c>
      <c r="F213" t="inlineStr">
        <is>
          <t>KALMAR LÄN</t>
        </is>
      </c>
      <c r="G213" t="inlineStr">
        <is>
          <t>EMMABODA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45164</v>
      </c>
      <c r="E214" s="1" t="n">
        <v>46224</v>
      </c>
      <c r="F214" t="inlineStr">
        <is>
          <t>KALMAR LÄN</t>
        </is>
      </c>
      <c r="G214" t="inlineStr">
        <is>
          <t>EMMABODA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46224</v>
      </c>
      <c r="F215" t="inlineStr">
        <is>
          <t>KALMAR LÄN</t>
        </is>
      </c>
      <c r="G215" t="inlineStr">
        <is>
          <t>EMMABODA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46224</v>
      </c>
      <c r="F216" t="inlineStr">
        <is>
          <t>KALMAR LÄN</t>
        </is>
      </c>
      <c r="G216" t="inlineStr">
        <is>
          <t>EMMABODA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46224</v>
      </c>
      <c r="F217" t="inlineStr">
        <is>
          <t>KALMAR LÄN</t>
        </is>
      </c>
      <c r="G217" t="inlineStr">
        <is>
          <t>EMMABODA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46224</v>
      </c>
      <c r="F218" t="inlineStr">
        <is>
          <t>KALMAR LÄN</t>
        </is>
      </c>
      <c r="G218" t="inlineStr">
        <is>
          <t>EMMABODA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46224</v>
      </c>
      <c r="F219" t="inlineStr">
        <is>
          <t>KALMAR LÄN</t>
        </is>
      </c>
      <c r="G219" t="inlineStr">
        <is>
          <t>EMMABODA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44739</v>
      </c>
      <c r="E220" s="1" t="n">
        <v>46224</v>
      </c>
      <c r="F220" t="inlineStr">
        <is>
          <t>KALMAR LÄN</t>
        </is>
      </c>
      <c r="G220" t="inlineStr">
        <is>
          <t>EMMABODA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45394</v>
      </c>
      <c r="E221" s="1" t="n">
        <v>46224</v>
      </c>
      <c r="F221" t="inlineStr">
        <is>
          <t>KALMAR LÄN</t>
        </is>
      </c>
      <c r="G221" t="inlineStr">
        <is>
          <t>EMMABODA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45606</v>
      </c>
      <c r="E222" s="1" t="n">
        <v>46224</v>
      </c>
      <c r="F222" t="inlineStr">
        <is>
          <t>KALMAR LÄN</t>
        </is>
      </c>
      <c r="G222" t="inlineStr">
        <is>
          <t>EMMABODA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46224</v>
      </c>
      <c r="F223" t="inlineStr">
        <is>
          <t>KALMAR LÄN</t>
        </is>
      </c>
      <c r="G223" t="inlineStr">
        <is>
          <t>EMMABODA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44949</v>
      </c>
      <c r="E224" s="1" t="n">
        <v>46224</v>
      </c>
      <c r="F224" t="inlineStr">
        <is>
          <t>KALMAR LÄN</t>
        </is>
      </c>
      <c r="G224" t="inlineStr">
        <is>
          <t>EMMABODA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45804</v>
      </c>
      <c r="E225" s="1" t="n">
        <v>46224</v>
      </c>
      <c r="F225" t="inlineStr">
        <is>
          <t>KALMAR LÄN</t>
        </is>
      </c>
      <c r="G225" t="inlineStr">
        <is>
          <t>EMMABODA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45355</v>
      </c>
      <c r="E226" s="1" t="n">
        <v>46224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46224</v>
      </c>
      <c r="F227" t="inlineStr">
        <is>
          <t>KALMAR LÄN</t>
        </is>
      </c>
      <c r="G227" t="inlineStr">
        <is>
          <t>EMMABODA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45422</v>
      </c>
      <c r="E228" s="1" t="n">
        <v>46224</v>
      </c>
      <c r="F228" t="inlineStr">
        <is>
          <t>KALMAR LÄN</t>
        </is>
      </c>
      <c r="G228" t="inlineStr">
        <is>
          <t>EMMABODA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46224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9577-2023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44982</v>
      </c>
      <c r="E230" s="1" t="n">
        <v>46224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44834</v>
      </c>
      <c r="E231" s="1" t="n">
        <v>46224</v>
      </c>
      <c r="F231" t="inlineStr">
        <is>
          <t>KALMAR LÄN</t>
        </is>
      </c>
      <c r="G231" t="inlineStr">
        <is>
          <t>EMMABODA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46224</v>
      </c>
      <c r="F232" t="inlineStr">
        <is>
          <t>KALMAR LÄN</t>
        </is>
      </c>
      <c r="G232" t="inlineStr">
        <is>
          <t>EMMABODA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47219-2021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44447</v>
      </c>
      <c r="E233" s="1" t="n">
        <v>46224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44791</v>
      </c>
      <c r="E234" s="1" t="n">
        <v>46224</v>
      </c>
      <c r="F234" t="inlineStr">
        <is>
          <t>KALMAR LÄN</t>
        </is>
      </c>
      <c r="G234" t="inlineStr">
        <is>
          <t>EMMABODA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45681</v>
      </c>
      <c r="E235" s="1" t="n">
        <v>46224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46224</v>
      </c>
      <c r="F236" t="inlineStr">
        <is>
          <t>KALMAR LÄN</t>
        </is>
      </c>
      <c r="G236" t="inlineStr">
        <is>
          <t>EMMABODA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45908</v>
      </c>
      <c r="E237" s="1" t="n">
        <v>46224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46224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46224</v>
      </c>
      <c r="F239" t="inlineStr">
        <is>
          <t>KALMAR LÄN</t>
        </is>
      </c>
      <c r="G239" t="inlineStr">
        <is>
          <t>EMMABODA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46224</v>
      </c>
      <c r="F240" t="inlineStr">
        <is>
          <t>KALMAR LÄN</t>
        </is>
      </c>
      <c r="G240" t="inlineStr">
        <is>
          <t>EMMABODA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46224</v>
      </c>
      <c r="F241" t="inlineStr">
        <is>
          <t>KALMAR LÄN</t>
        </is>
      </c>
      <c r="G241" t="inlineStr">
        <is>
          <t>EMMABODA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46224</v>
      </c>
      <c r="F242" t="inlineStr">
        <is>
          <t>KALMAR LÄN</t>
        </is>
      </c>
      <c r="G242" t="inlineStr">
        <is>
          <t>EMMABODA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7840-2024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46224</v>
      </c>
      <c r="F243" t="inlineStr">
        <is>
          <t>KALMAR LÄN</t>
        </is>
      </c>
      <c r="G243" t="inlineStr">
        <is>
          <t>EMMABODA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58136-2021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44487</v>
      </c>
      <c r="E244" s="1" t="n">
        <v>46224</v>
      </c>
      <c r="F244" t="inlineStr">
        <is>
          <t>KALMAR LÄN</t>
        </is>
      </c>
      <c r="G244" t="inlineStr">
        <is>
          <t>EMMABODA</t>
        </is>
      </c>
      <c r="H244" t="inlineStr">
        <is>
          <t>Kommuner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5073-2022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44593</v>
      </c>
      <c r="E245" s="1" t="n">
        <v>46224</v>
      </c>
      <c r="F245" t="inlineStr">
        <is>
          <t>KALMAR LÄN</t>
        </is>
      </c>
      <c r="G245" t="inlineStr">
        <is>
          <t>EMMABODA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46224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45921</v>
      </c>
      <c r="E247" s="1" t="n">
        <v>46224</v>
      </c>
      <c r="F247" t="inlineStr">
        <is>
          <t>KALMAR LÄN</t>
        </is>
      </c>
      <c r="G247" t="inlineStr">
        <is>
          <t>EMMABODA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46224</v>
      </c>
      <c r="F248" t="inlineStr">
        <is>
          <t>KALMAR LÄN</t>
        </is>
      </c>
      <c r="G248" t="inlineStr">
        <is>
          <t>EMMABODA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45415</v>
      </c>
      <c r="E249" s="1" t="n">
        <v>46224</v>
      </c>
      <c r="F249" t="inlineStr">
        <is>
          <t>KALMAR LÄN</t>
        </is>
      </c>
      <c r="G249" t="inlineStr">
        <is>
          <t>EMMABODA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46224</v>
      </c>
      <c r="F250" t="inlineStr">
        <is>
          <t>KALMAR LÄN</t>
        </is>
      </c>
      <c r="G250" t="inlineStr">
        <is>
          <t>EMMABODA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46224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46224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46224</v>
      </c>
      <c r="F253" t="inlineStr">
        <is>
          <t>KALMAR LÄN</t>
        </is>
      </c>
      <c r="G253" t="inlineStr">
        <is>
          <t>EMMABODA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46224</v>
      </c>
      <c r="F254" t="inlineStr">
        <is>
          <t>KALMAR LÄN</t>
        </is>
      </c>
      <c r="G254" t="inlineStr">
        <is>
          <t>EMMABODA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46224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46224</v>
      </c>
      <c r="F256" t="inlineStr">
        <is>
          <t>KALMAR LÄN</t>
        </is>
      </c>
      <c r="G256" t="inlineStr">
        <is>
          <t>EMMABODA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46224</v>
      </c>
      <c r="F257" t="inlineStr">
        <is>
          <t>KALMAR LÄN</t>
        </is>
      </c>
      <c r="G257" t="inlineStr">
        <is>
          <t>EMMABODA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41393-2021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44424</v>
      </c>
      <c r="E258" s="1" t="n">
        <v>46224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46224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46224</v>
      </c>
      <c r="F260" t="inlineStr">
        <is>
          <t>KALMAR LÄN</t>
        </is>
      </c>
      <c r="G260" t="inlineStr">
        <is>
          <t>EMMABODA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46224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46224</v>
      </c>
      <c r="F262" t="inlineStr">
        <is>
          <t>KALMAR LÄN</t>
        </is>
      </c>
      <c r="G262" t="inlineStr">
        <is>
          <t>EMMABODA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46224</v>
      </c>
      <c r="F263" t="inlineStr">
        <is>
          <t>KALMAR LÄN</t>
        </is>
      </c>
      <c r="G263" t="inlineStr">
        <is>
          <t>EMMABODA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46224</v>
      </c>
      <c r="F264" t="inlineStr">
        <is>
          <t>KALMAR LÄN</t>
        </is>
      </c>
      <c r="G264" t="inlineStr">
        <is>
          <t>EMMABODA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44690</v>
      </c>
      <c r="E265" s="1" t="n">
        <v>46224</v>
      </c>
      <c r="F265" t="inlineStr">
        <is>
          <t>KALMAR LÄN</t>
        </is>
      </c>
      <c r="G265" t="inlineStr">
        <is>
          <t>EMMABODA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46224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46224</v>
      </c>
      <c r="F267" t="inlineStr">
        <is>
          <t>KALMAR LÄN</t>
        </is>
      </c>
      <c r="G267" t="inlineStr">
        <is>
          <t>EMMABODA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45641</v>
      </c>
      <c r="E268" s="1" t="n">
        <v>46224</v>
      </c>
      <c r="F268" t="inlineStr">
        <is>
          <t>KALMAR LÄN</t>
        </is>
      </c>
      <c r="G268" t="inlineStr">
        <is>
          <t>EMMABODA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46224</v>
      </c>
      <c r="F269" t="inlineStr">
        <is>
          <t>KALMAR LÄN</t>
        </is>
      </c>
      <c r="G269" t="inlineStr">
        <is>
          <t>EMMABODA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44593</v>
      </c>
      <c r="E270" s="1" t="n">
        <v>46224</v>
      </c>
      <c r="F270" t="inlineStr">
        <is>
          <t>KALMAR LÄN</t>
        </is>
      </c>
      <c r="G270" t="inlineStr">
        <is>
          <t>EMMABODA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62733-2021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44504</v>
      </c>
      <c r="E271" s="1" t="n">
        <v>46224</v>
      </c>
      <c r="F271" t="inlineStr">
        <is>
          <t>KALMAR LÄN</t>
        </is>
      </c>
      <c r="G271" t="inlineStr">
        <is>
          <t>EMMABODA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45126</v>
      </c>
      <c r="E272" s="1" t="n">
        <v>46224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45126</v>
      </c>
      <c r="E273" s="1" t="n">
        <v>46224</v>
      </c>
      <c r="F273" t="inlineStr">
        <is>
          <t>KALMAR LÄN</t>
        </is>
      </c>
      <c r="G273" t="inlineStr">
        <is>
          <t>EMMABODA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46224</v>
      </c>
      <c r="F274" t="inlineStr">
        <is>
          <t>KALMAR LÄN</t>
        </is>
      </c>
      <c r="G274" t="inlineStr">
        <is>
          <t>EMMABODA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46224</v>
      </c>
      <c r="F275" t="inlineStr">
        <is>
          <t>KALMAR LÄN</t>
        </is>
      </c>
      <c r="G275" t="inlineStr">
        <is>
          <t>EMMABODA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44799</v>
      </c>
      <c r="E276" s="1" t="n">
        <v>46224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46224</v>
      </c>
      <c r="F277" t="inlineStr">
        <is>
          <t>KALMAR LÄN</t>
        </is>
      </c>
      <c r="G277" t="inlineStr">
        <is>
          <t>EMMABODA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37060-2023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45155</v>
      </c>
      <c r="E278" s="1" t="n">
        <v>46224</v>
      </c>
      <c r="F278" t="inlineStr">
        <is>
          <t>KALMAR LÄN</t>
        </is>
      </c>
      <c r="G278" t="inlineStr">
        <is>
          <t>EMMABODA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46224</v>
      </c>
      <c r="F279" t="inlineStr">
        <is>
          <t>KALMAR LÄN</t>
        </is>
      </c>
      <c r="G279" t="inlineStr">
        <is>
          <t>EMMABODA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46224</v>
      </c>
      <c r="F280" t="inlineStr">
        <is>
          <t>KALMAR LÄN</t>
        </is>
      </c>
      <c r="G280" t="inlineStr">
        <is>
          <t>EMMABODA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45805</v>
      </c>
      <c r="E281" s="1" t="n">
        <v>46224</v>
      </c>
      <c r="F281" t="inlineStr">
        <is>
          <t>KALMAR LÄN</t>
        </is>
      </c>
      <c r="G281" t="inlineStr">
        <is>
          <t>EMMABODA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41446-2021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44424</v>
      </c>
      <c r="E282" s="1" t="n">
        <v>46224</v>
      </c>
      <c r="F282" t="inlineStr">
        <is>
          <t>KALMAR LÄN</t>
        </is>
      </c>
      <c r="G282" t="inlineStr">
        <is>
          <t>EMMABODA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34055-2025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45845</v>
      </c>
      <c r="E283" s="1" t="n">
        <v>46224</v>
      </c>
      <c r="F283" t="inlineStr">
        <is>
          <t>KALMAR LÄN</t>
        </is>
      </c>
      <c r="G283" t="inlineStr">
        <is>
          <t>EMMABODA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46224</v>
      </c>
      <c r="F284" t="inlineStr">
        <is>
          <t>KALMAR LÄN</t>
        </is>
      </c>
      <c r="G284" t="inlineStr">
        <is>
          <t>EMMABODA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45621</v>
      </c>
      <c r="E285" s="1" t="n">
        <v>46224</v>
      </c>
      <c r="F285" t="inlineStr">
        <is>
          <t>KALMAR LÄN</t>
        </is>
      </c>
      <c r="G285" t="inlineStr">
        <is>
          <t>EMMABODA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46224</v>
      </c>
      <c r="F286" t="inlineStr">
        <is>
          <t>KALMAR LÄN</t>
        </is>
      </c>
      <c r="G286" t="inlineStr">
        <is>
          <t>EMMABODA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44852</v>
      </c>
      <c r="E287" s="1" t="n">
        <v>46224</v>
      </c>
      <c r="F287" t="inlineStr">
        <is>
          <t>KALMAR LÄN</t>
        </is>
      </c>
      <c r="G287" t="inlineStr">
        <is>
          <t>EMMABODA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46224</v>
      </c>
      <c r="F288" t="inlineStr">
        <is>
          <t>KALMAR LÄN</t>
        </is>
      </c>
      <c r="G288" t="inlineStr">
        <is>
          <t>EMMABODA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45433</v>
      </c>
      <c r="E289" s="1" t="n">
        <v>46224</v>
      </c>
      <c r="F289" t="inlineStr">
        <is>
          <t>KALMAR LÄN</t>
        </is>
      </c>
      <c r="G289" t="inlineStr">
        <is>
          <t>EMMABODA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21798-2023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45067</v>
      </c>
      <c r="E290" s="1" t="n">
        <v>46224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46224</v>
      </c>
      <c r="F291" t="inlineStr">
        <is>
          <t>KALMAR LÄN</t>
        </is>
      </c>
      <c r="G291" t="inlineStr">
        <is>
          <t>EMMABODA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46224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46224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46224</v>
      </c>
      <c r="F294" t="inlineStr">
        <is>
          <t>KALMAR LÄN</t>
        </is>
      </c>
      <c r="G294" t="inlineStr">
        <is>
          <t>EMMABODA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46224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45851</v>
      </c>
      <c r="E296" s="1" t="n">
        <v>46224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35021-2025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45851</v>
      </c>
      <c r="E297" s="1" t="n">
        <v>46224</v>
      </c>
      <c r="F297" t="inlineStr">
        <is>
          <t>KALMAR LÄN</t>
        </is>
      </c>
      <c r="G297" t="inlineStr">
        <is>
          <t>EMMABODA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25090-2022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46224</v>
      </c>
      <c r="F298" t="inlineStr">
        <is>
          <t>KALMAR LÄN</t>
        </is>
      </c>
      <c r="G298" t="inlineStr">
        <is>
          <t>EMMABODA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45772</v>
      </c>
      <c r="E299" s="1" t="n">
        <v>46224</v>
      </c>
      <c r="F299" t="inlineStr">
        <is>
          <t>KALMAR LÄN</t>
        </is>
      </c>
      <c r="G299" t="inlineStr">
        <is>
          <t>EMMABODA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35592-2025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45857</v>
      </c>
      <c r="E300" s="1" t="n">
        <v>46224</v>
      </c>
      <c r="F300" t="inlineStr">
        <is>
          <t>KALMAR LÄN</t>
        </is>
      </c>
      <c r="G300" t="inlineStr">
        <is>
          <t>EMMABODA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44984</v>
      </c>
      <c r="E301" s="1" t="n">
        <v>46224</v>
      </c>
      <c r="F301" t="inlineStr">
        <is>
          <t>KALMAR LÄN</t>
        </is>
      </c>
      <c r="G301" t="inlineStr">
        <is>
          <t>EMMABODA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45901</v>
      </c>
      <c r="E302" s="1" t="n">
        <v>46224</v>
      </c>
      <c r="F302" t="inlineStr">
        <is>
          <t>KALMAR LÄN</t>
        </is>
      </c>
      <c r="G302" t="inlineStr">
        <is>
          <t>EMMABODA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46224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45863</v>
      </c>
      <c r="E304" s="1" t="n">
        <v>46224</v>
      </c>
      <c r="F304" t="inlineStr">
        <is>
          <t>KALMAR LÄN</t>
        </is>
      </c>
      <c r="G304" t="inlineStr">
        <is>
          <t>EMMABODA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44507</v>
      </c>
      <c r="E305" s="1" t="n">
        <v>46224</v>
      </c>
      <c r="F305" t="inlineStr">
        <is>
          <t>KALMAR LÄN</t>
        </is>
      </c>
      <c r="G305" t="inlineStr">
        <is>
          <t>EMMABODA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46224</v>
      </c>
      <c r="F306" t="inlineStr">
        <is>
          <t>KALMAR LÄN</t>
        </is>
      </c>
      <c r="G306" t="inlineStr">
        <is>
          <t>EMMABODA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45790</v>
      </c>
      <c r="E307" s="1" t="n">
        <v>46224</v>
      </c>
      <c r="F307" t="inlineStr">
        <is>
          <t>KALMAR LÄN</t>
        </is>
      </c>
      <c r="G307" t="inlineStr">
        <is>
          <t>EMMABODA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46224</v>
      </c>
      <c r="F308" t="inlineStr">
        <is>
          <t>KALMAR LÄN</t>
        </is>
      </c>
      <c r="G308" t="inlineStr">
        <is>
          <t>EMMABODA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46224</v>
      </c>
      <c r="F309" t="inlineStr">
        <is>
          <t>KALMAR LÄN</t>
        </is>
      </c>
      <c r="G309" t="inlineStr">
        <is>
          <t>EMMABODA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46224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46224</v>
      </c>
      <c r="F311" t="inlineStr">
        <is>
          <t>KALMAR LÄN</t>
        </is>
      </c>
      <c r="G311" t="inlineStr">
        <is>
          <t>EMMABODA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9775-2022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44619</v>
      </c>
      <c r="E312" s="1" t="n">
        <v>46224</v>
      </c>
      <c r="F312" t="inlineStr">
        <is>
          <t>KALMAR LÄN</t>
        </is>
      </c>
      <c r="G312" t="inlineStr">
        <is>
          <t>EMMABODA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45434</v>
      </c>
      <c r="E313" s="1" t="n">
        <v>46224</v>
      </c>
      <c r="F313" t="inlineStr">
        <is>
          <t>KALMAR LÄN</t>
        </is>
      </c>
      <c r="G313" t="inlineStr">
        <is>
          <t>EMMABODA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46224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46224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59468-2022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44907</v>
      </c>
      <c r="E316" s="1" t="n">
        <v>46224</v>
      </c>
      <c r="F316" t="inlineStr">
        <is>
          <t>KALMAR LÄN</t>
        </is>
      </c>
      <c r="G316" t="inlineStr">
        <is>
          <t>EMMABODA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46224</v>
      </c>
      <c r="F317" t="inlineStr">
        <is>
          <t>KALMAR LÄN</t>
        </is>
      </c>
      <c r="G317" t="inlineStr">
        <is>
          <t>EMMABODA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46224</v>
      </c>
      <c r="F318" t="inlineStr">
        <is>
          <t>KALMAR LÄN</t>
        </is>
      </c>
      <c r="G318" t="inlineStr">
        <is>
          <t>EMMABODA</t>
        </is>
      </c>
      <c r="H318" t="inlineStr">
        <is>
          <t>Kommuner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46224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45211</v>
      </c>
      <c r="E320" s="1" t="n">
        <v>46224</v>
      </c>
      <c r="F320" t="inlineStr">
        <is>
          <t>KALMAR LÄN</t>
        </is>
      </c>
      <c r="G320" t="inlineStr">
        <is>
          <t>EMMABODA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46224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45229</v>
      </c>
      <c r="E322" s="1" t="n">
        <v>46224</v>
      </c>
      <c r="F322" t="inlineStr">
        <is>
          <t>KALMAR LÄN</t>
        </is>
      </c>
      <c r="G322" t="inlineStr">
        <is>
          <t>EMMABODA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45132</v>
      </c>
      <c r="E323" s="1" t="n">
        <v>46224</v>
      </c>
      <c r="F323" t="inlineStr">
        <is>
          <t>KALMAR LÄN</t>
        </is>
      </c>
      <c r="G323" t="inlineStr">
        <is>
          <t>EMMABODA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54982-2025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45967</v>
      </c>
      <c r="E324" s="1" t="n">
        <v>46224</v>
      </c>
      <c r="F324" t="inlineStr">
        <is>
          <t>KALMAR LÄN</t>
        </is>
      </c>
      <c r="G324" t="inlineStr">
        <is>
          <t>EMMABODA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46224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54983-2025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45967</v>
      </c>
      <c r="E326" s="1" t="n">
        <v>46224</v>
      </c>
      <c r="F326" t="inlineStr">
        <is>
          <t>KALMAR LÄN</t>
        </is>
      </c>
      <c r="G326" t="inlineStr">
        <is>
          <t>EMMABODA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46224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66662-2021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44519</v>
      </c>
      <c r="E328" s="1" t="n">
        <v>46224</v>
      </c>
      <c r="F328" t="inlineStr">
        <is>
          <t>KALMAR LÄN</t>
        </is>
      </c>
      <c r="G328" t="inlineStr">
        <is>
          <t>EMMABODA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45102</v>
      </c>
      <c r="E329" s="1" t="n">
        <v>46224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45102</v>
      </c>
      <c r="E330" s="1" t="n">
        <v>46224</v>
      </c>
      <c r="F330" t="inlineStr">
        <is>
          <t>KALMAR LÄN</t>
        </is>
      </c>
      <c r="G330" t="inlineStr">
        <is>
          <t>EMMABODA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46224</v>
      </c>
      <c r="F331" t="inlineStr">
        <is>
          <t>KALMAR LÄN</t>
        </is>
      </c>
      <c r="G331" t="inlineStr">
        <is>
          <t>EMMABODA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46224</v>
      </c>
      <c r="F332" t="inlineStr">
        <is>
          <t>KALMAR LÄN</t>
        </is>
      </c>
      <c r="G332" t="inlineStr">
        <is>
          <t>EMMABODA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46224</v>
      </c>
      <c r="F333" t="inlineStr">
        <is>
          <t>KALMAR LÄN</t>
        </is>
      </c>
      <c r="G333" t="inlineStr">
        <is>
          <t>EMMABODA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46224</v>
      </c>
      <c r="F334" t="inlineStr">
        <is>
          <t>KALMAR LÄN</t>
        </is>
      </c>
      <c r="G334" t="inlineStr">
        <is>
          <t>EMMABODA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45317</v>
      </c>
      <c r="E335" s="1" t="n">
        <v>46224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46224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46224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46224</v>
      </c>
      <c r="F338" t="inlineStr">
        <is>
          <t>KALMAR LÄN</t>
        </is>
      </c>
      <c r="G338" t="inlineStr">
        <is>
          <t>EMMABODA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46224</v>
      </c>
      <c r="F339" t="inlineStr">
        <is>
          <t>KALMAR LÄN</t>
        </is>
      </c>
      <c r="G339" t="inlineStr">
        <is>
          <t>EMMABODA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46224</v>
      </c>
      <c r="F340" t="inlineStr">
        <is>
          <t>KALMAR LÄN</t>
        </is>
      </c>
      <c r="G340" t="inlineStr">
        <is>
          <t>EMMABODA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45716</v>
      </c>
      <c r="E341" s="1" t="n">
        <v>46224</v>
      </c>
      <c r="F341" t="inlineStr">
        <is>
          <t>KALMAR LÄN</t>
        </is>
      </c>
      <c r="G341" t="inlineStr">
        <is>
          <t>EMMABODA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46224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46224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46224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46224</v>
      </c>
      <c r="F345" t="inlineStr">
        <is>
          <t>KALMAR LÄN</t>
        </is>
      </c>
      <c r="G345" t="inlineStr">
        <is>
          <t>EMMABODA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46224</v>
      </c>
      <c r="F346" t="inlineStr">
        <is>
          <t>KALMAR LÄN</t>
        </is>
      </c>
      <c r="G346" t="inlineStr">
        <is>
          <t>EMMABODA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46224</v>
      </c>
      <c r="F347" t="inlineStr">
        <is>
          <t>KALMAR LÄN</t>
        </is>
      </c>
      <c r="G347" t="inlineStr">
        <is>
          <t>EMMABODA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45167</v>
      </c>
      <c r="E348" s="1" t="n">
        <v>46224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46224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46224</v>
      </c>
      <c r="F350" t="inlineStr">
        <is>
          <t>KALMAR LÄN</t>
        </is>
      </c>
      <c r="G350" t="inlineStr">
        <is>
          <t>EMMABODA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45069</v>
      </c>
      <c r="E351" s="1" t="n">
        <v>46224</v>
      </c>
      <c r="F351" t="inlineStr">
        <is>
          <t>KALMAR LÄN</t>
        </is>
      </c>
      <c r="G351" t="inlineStr">
        <is>
          <t>EMMABODA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45069</v>
      </c>
      <c r="E352" s="1" t="n">
        <v>46224</v>
      </c>
      <c r="F352" t="inlineStr">
        <is>
          <t>KALMAR LÄN</t>
        </is>
      </c>
      <c r="G352" t="inlineStr">
        <is>
          <t>EMMABODA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46224</v>
      </c>
      <c r="F353" t="inlineStr">
        <is>
          <t>KALMAR LÄN</t>
        </is>
      </c>
      <c r="G353" t="inlineStr">
        <is>
          <t>EMMABODA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46224</v>
      </c>
      <c r="F354" t="inlineStr">
        <is>
          <t>KALMAR LÄN</t>
        </is>
      </c>
      <c r="G354" t="inlineStr">
        <is>
          <t>EMMABODA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45408</v>
      </c>
      <c r="E355" s="1" t="n">
        <v>46224</v>
      </c>
      <c r="F355" t="inlineStr">
        <is>
          <t>KALMAR LÄN</t>
        </is>
      </c>
      <c r="G355" t="inlineStr">
        <is>
          <t>EMMABODA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46224</v>
      </c>
      <c r="F356" t="inlineStr">
        <is>
          <t>KALMAR LÄN</t>
        </is>
      </c>
      <c r="G356" t="inlineStr">
        <is>
          <t>EMMABODA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45376</v>
      </c>
      <c r="E357" s="1" t="n">
        <v>46224</v>
      </c>
      <c r="F357" t="inlineStr">
        <is>
          <t>KALMAR LÄN</t>
        </is>
      </c>
      <c r="G357" t="inlineStr">
        <is>
          <t>EMMABODA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46507-2021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44445</v>
      </c>
      <c r="E358" s="1" t="n">
        <v>46224</v>
      </c>
      <c r="F358" t="inlineStr">
        <is>
          <t>KALMAR LÄN</t>
        </is>
      </c>
      <c r="G358" t="inlineStr">
        <is>
          <t>EMMABODA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46224</v>
      </c>
      <c r="F359" t="inlineStr">
        <is>
          <t>KALMAR LÄN</t>
        </is>
      </c>
      <c r="G359" t="inlineStr">
        <is>
          <t>EMMABODA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17934-2022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44683</v>
      </c>
      <c r="E360" s="1" t="n">
        <v>46224</v>
      </c>
      <c r="F360" t="inlineStr">
        <is>
          <t>KALMAR LÄN</t>
        </is>
      </c>
      <c r="G360" t="inlineStr">
        <is>
          <t>EMMABODA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46224</v>
      </c>
      <c r="F361" t="inlineStr">
        <is>
          <t>KALMAR LÄN</t>
        </is>
      </c>
      <c r="G361" t="inlineStr">
        <is>
          <t>EMMABODA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46224</v>
      </c>
      <c r="F362" t="inlineStr">
        <is>
          <t>KALMAR LÄN</t>
        </is>
      </c>
      <c r="G362" t="inlineStr">
        <is>
          <t>EMMABODA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46224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46224</v>
      </c>
      <c r="F364" t="inlineStr">
        <is>
          <t>KALMAR LÄN</t>
        </is>
      </c>
      <c r="G364" t="inlineStr">
        <is>
          <t>EMMABODA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46224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46224</v>
      </c>
      <c r="F366" t="inlineStr">
        <is>
          <t>KALMAR LÄN</t>
        </is>
      </c>
      <c r="G366" t="inlineStr">
        <is>
          <t>EMMABODA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67543-2021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44524</v>
      </c>
      <c r="E367" s="1" t="n">
        <v>46224</v>
      </c>
      <c r="F367" t="inlineStr">
        <is>
          <t>KALMAR LÄN</t>
        </is>
      </c>
      <c r="G367" t="inlineStr">
        <is>
          <t>EMMABODA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46224</v>
      </c>
      <c r="F368" t="inlineStr">
        <is>
          <t>KALMAR LÄN</t>
        </is>
      </c>
      <c r="G368" t="inlineStr">
        <is>
          <t>EMMABODA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44897</v>
      </c>
      <c r="E369" s="1" t="n">
        <v>46224</v>
      </c>
      <c r="F369" t="inlineStr">
        <is>
          <t>KALMAR LÄN</t>
        </is>
      </c>
      <c r="G369" t="inlineStr">
        <is>
          <t>EMMABODA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46224</v>
      </c>
      <c r="F370" t="inlineStr">
        <is>
          <t>KALMAR LÄN</t>
        </is>
      </c>
      <c r="G370" t="inlineStr">
        <is>
          <t>EMMABODA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5846-2024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45335</v>
      </c>
      <c r="E371" s="1" t="n">
        <v>46224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45335</v>
      </c>
      <c r="E372" s="1" t="n">
        <v>46224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45200</v>
      </c>
      <c r="E373" s="1" t="n">
        <v>46224</v>
      </c>
      <c r="F373" t="inlineStr">
        <is>
          <t>KALMAR LÄN</t>
        </is>
      </c>
      <c r="G373" t="inlineStr">
        <is>
          <t>EMMABODA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45755</v>
      </c>
      <c r="E374" s="1" t="n">
        <v>46224</v>
      </c>
      <c r="F374" t="inlineStr">
        <is>
          <t>KALMAR LÄN</t>
        </is>
      </c>
      <c r="G374" t="inlineStr">
        <is>
          <t>EMMABODA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45070</v>
      </c>
      <c r="E375" s="1" t="n">
        <v>46224</v>
      </c>
      <c r="F375" t="inlineStr">
        <is>
          <t>KALMAR LÄN</t>
        </is>
      </c>
      <c r="G375" t="inlineStr">
        <is>
          <t>EMMABODA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46224</v>
      </c>
      <c r="F376" t="inlineStr">
        <is>
          <t>KALMAR LÄN</t>
        </is>
      </c>
      <c r="G376" t="inlineStr">
        <is>
          <t>EMMABODA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46224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45222</v>
      </c>
      <c r="E378" s="1" t="n">
        <v>46224</v>
      </c>
      <c r="F378" t="inlineStr">
        <is>
          <t>KALMAR LÄN</t>
        </is>
      </c>
      <c r="G378" t="inlineStr">
        <is>
          <t>EMMABODA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44944</v>
      </c>
      <c r="E379" s="1" t="n">
        <v>46224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46224</v>
      </c>
      <c r="F380" t="inlineStr">
        <is>
          <t>KALMAR LÄN</t>
        </is>
      </c>
      <c r="G380" t="inlineStr">
        <is>
          <t>EMMABODA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45400</v>
      </c>
      <c r="E381" s="1" t="n">
        <v>46224</v>
      </c>
      <c r="F381" t="inlineStr">
        <is>
          <t>KALMAR LÄN</t>
        </is>
      </c>
      <c r="G381" t="inlineStr">
        <is>
          <t>EMMABODA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45021</v>
      </c>
      <c r="E382" s="1" t="n">
        <v>46224</v>
      </c>
      <c r="F382" t="inlineStr">
        <is>
          <t>KALMAR LÄN</t>
        </is>
      </c>
      <c r="G382" t="inlineStr">
        <is>
          <t>EMMABODA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46224</v>
      </c>
      <c r="F383" t="inlineStr">
        <is>
          <t>KALMAR LÄN</t>
        </is>
      </c>
      <c r="G383" t="inlineStr">
        <is>
          <t>EMMABODA</t>
        </is>
      </c>
      <c r="H383" t="inlineStr">
        <is>
          <t>Kyrkan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46224</v>
      </c>
      <c r="F384" t="inlineStr">
        <is>
          <t>KALMAR LÄN</t>
        </is>
      </c>
      <c r="G384" t="inlineStr">
        <is>
          <t>EMMABODA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44922</v>
      </c>
      <c r="E385" s="1" t="n">
        <v>46224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46224</v>
      </c>
      <c r="F386" t="inlineStr">
        <is>
          <t>KALMAR LÄN</t>
        </is>
      </c>
      <c r="G386" t="inlineStr">
        <is>
          <t>EMMABODA</t>
        </is>
      </c>
      <c r="H386" t="inlineStr">
        <is>
          <t>Kyrkan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46224</v>
      </c>
      <c r="F387" t="inlineStr">
        <is>
          <t>KALMAR LÄN</t>
        </is>
      </c>
      <c r="G387" t="inlineStr">
        <is>
          <t>EMMABODA</t>
        </is>
      </c>
      <c r="H387" t="inlineStr">
        <is>
          <t>Kyrkan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9704-2026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46072</v>
      </c>
      <c r="E388" s="1" t="n">
        <v>46224</v>
      </c>
      <c r="F388" t="inlineStr">
        <is>
          <t>KALMAR LÄN</t>
        </is>
      </c>
      <c r="G388" t="inlineStr">
        <is>
          <t>EMMABODA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46072</v>
      </c>
      <c r="E389" s="1" t="n">
        <v>46224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46224</v>
      </c>
      <c r="F390" t="inlineStr">
        <is>
          <t>KALMAR LÄN</t>
        </is>
      </c>
      <c r="G390" t="inlineStr">
        <is>
          <t>EMMABODA</t>
        </is>
      </c>
      <c r="H390" t="inlineStr">
        <is>
          <t>Kyrkan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32242-2022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44781</v>
      </c>
      <c r="E391" s="1" t="n">
        <v>46224</v>
      </c>
      <c r="F391" t="inlineStr">
        <is>
          <t>KALMAR LÄN</t>
        </is>
      </c>
      <c r="G391" t="inlineStr">
        <is>
          <t>EMMABODA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46224</v>
      </c>
      <c r="F392" t="inlineStr">
        <is>
          <t>KALMAR LÄN</t>
        </is>
      </c>
      <c r="G392" t="inlineStr">
        <is>
          <t>EMMABODA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45466</v>
      </c>
      <c r="E393" s="1" t="n">
        <v>46224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46224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46224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46224</v>
      </c>
      <c r="F396" t="inlineStr">
        <is>
          <t>KALMAR LÄN</t>
        </is>
      </c>
      <c r="G396" t="inlineStr">
        <is>
          <t>EMMABODA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46224</v>
      </c>
      <c r="F397" t="inlineStr">
        <is>
          <t>KALMAR LÄN</t>
        </is>
      </c>
      <c r="G397" t="inlineStr">
        <is>
          <t>EMMABODA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46224</v>
      </c>
      <c r="F398" t="inlineStr">
        <is>
          <t>KALMAR LÄN</t>
        </is>
      </c>
      <c r="G398" t="inlineStr">
        <is>
          <t>EMMABODA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46224</v>
      </c>
      <c r="F399" t="inlineStr">
        <is>
          <t>KALMAR LÄN</t>
        </is>
      </c>
      <c r="G399" t="inlineStr">
        <is>
          <t>EMMABODA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46224</v>
      </c>
      <c r="F400" t="inlineStr">
        <is>
          <t>KALMAR LÄN</t>
        </is>
      </c>
      <c r="G400" t="inlineStr">
        <is>
          <t>EMMABODA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46224</v>
      </c>
      <c r="F401" t="inlineStr">
        <is>
          <t>KALMAR LÄN</t>
        </is>
      </c>
      <c r="G401" t="inlineStr">
        <is>
          <t>EMMABODA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46224</v>
      </c>
      <c r="F402" t="inlineStr">
        <is>
          <t>KALMAR LÄN</t>
        </is>
      </c>
      <c r="G402" t="inlineStr">
        <is>
          <t>EMMABODA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46224</v>
      </c>
      <c r="F403" t="inlineStr">
        <is>
          <t>KALMAR LÄN</t>
        </is>
      </c>
      <c r="G403" t="inlineStr">
        <is>
          <t>EMMABODA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46224</v>
      </c>
      <c r="F404" t="inlineStr">
        <is>
          <t>KALMAR LÄN</t>
        </is>
      </c>
      <c r="G404" t="inlineStr">
        <is>
          <t>EMMABODA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46224</v>
      </c>
      <c r="F405" t="inlineStr">
        <is>
          <t>KALMAR LÄN</t>
        </is>
      </c>
      <c r="G405" t="inlineStr">
        <is>
          <t>EMMABODA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45204</v>
      </c>
      <c r="E406" s="1" t="n">
        <v>46224</v>
      </c>
      <c r="F406" t="inlineStr">
        <is>
          <t>KALMAR LÄN</t>
        </is>
      </c>
      <c r="G406" t="inlineStr">
        <is>
          <t>EMMABODA</t>
        </is>
      </c>
      <c r="H406" t="inlineStr">
        <is>
          <t>Övriga Aktiebolag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41948-2024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46224</v>
      </c>
      <c r="F407" t="inlineStr">
        <is>
          <t>KALMAR LÄN</t>
        </is>
      </c>
      <c r="G407" t="inlineStr">
        <is>
          <t>EMMABODA</t>
        </is>
      </c>
      <c r="H407" t="inlineStr">
        <is>
          <t>Övriga Aktiebolag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43616-2021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44433</v>
      </c>
      <c r="E408" s="1" t="n">
        <v>46224</v>
      </c>
      <c r="F408" t="inlineStr">
        <is>
          <t>KALMAR LÄN</t>
        </is>
      </c>
      <c r="G408" t="inlineStr">
        <is>
          <t>EMMABODA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46224</v>
      </c>
      <c r="F409" t="inlineStr">
        <is>
          <t>KALMAR LÄN</t>
        </is>
      </c>
      <c r="G409" t="inlineStr">
        <is>
          <t>EMMABODA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46224</v>
      </c>
      <c r="F410" t="inlineStr">
        <is>
          <t>KALMAR LÄN</t>
        </is>
      </c>
      <c r="G410" t="inlineStr">
        <is>
          <t>EMMABODA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45349</v>
      </c>
      <c r="E411" s="1" t="n">
        <v>46224</v>
      </c>
      <c r="F411" t="inlineStr">
        <is>
          <t>KALMAR LÄN</t>
        </is>
      </c>
      <c r="G411" t="inlineStr">
        <is>
          <t>EMMABODA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45310</v>
      </c>
      <c r="E412" s="1" t="n">
        <v>46224</v>
      </c>
      <c r="F412" t="inlineStr">
        <is>
          <t>KALMAR LÄN</t>
        </is>
      </c>
      <c r="G412" t="inlineStr">
        <is>
          <t>EMMABODA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45740</v>
      </c>
      <c r="E413" s="1" t="n">
        <v>46224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45573</v>
      </c>
      <c r="E414" s="1" t="n">
        <v>46224</v>
      </c>
      <c r="F414" t="inlineStr">
        <is>
          <t>KALMAR LÄN</t>
        </is>
      </c>
      <c r="G414" t="inlineStr">
        <is>
          <t>EMMABODA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24779-2022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44728</v>
      </c>
      <c r="E415" s="1" t="n">
        <v>46224</v>
      </c>
      <c r="F415" t="inlineStr">
        <is>
          <t>KALMAR LÄN</t>
        </is>
      </c>
      <c r="G415" t="inlineStr">
        <is>
          <t>EMMABODA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46224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46224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45600</v>
      </c>
      <c r="E418" s="1" t="n">
        <v>46224</v>
      </c>
      <c r="F418" t="inlineStr">
        <is>
          <t>KALMAR LÄN</t>
        </is>
      </c>
      <c r="G418" t="inlineStr">
        <is>
          <t>EMMABODA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46224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15292-2024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45400</v>
      </c>
      <c r="E420" s="1" t="n">
        <v>46224</v>
      </c>
      <c r="F420" t="inlineStr">
        <is>
          <t>KALMAR LÄN</t>
        </is>
      </c>
      <c r="G420" t="inlineStr">
        <is>
          <t>EMMABODA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46224</v>
      </c>
      <c r="F421" t="inlineStr">
        <is>
          <t>KALMAR LÄN</t>
        </is>
      </c>
      <c r="G421" t="inlineStr">
        <is>
          <t>EMMABODA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46224</v>
      </c>
      <c r="F422" t="inlineStr">
        <is>
          <t>KALMAR LÄN</t>
        </is>
      </c>
      <c r="G422" t="inlineStr">
        <is>
          <t>EMMABODA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46224</v>
      </c>
      <c r="F423" t="inlineStr">
        <is>
          <t>KALMAR LÄN</t>
        </is>
      </c>
      <c r="G423" t="inlineStr">
        <is>
          <t>EMMABODA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16236-2023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45028</v>
      </c>
      <c r="E424" s="1" t="n">
        <v>46224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45392</v>
      </c>
      <c r="E425" s="1" t="n">
        <v>46224</v>
      </c>
      <c r="F425" t="inlineStr">
        <is>
          <t>KALMAR LÄN</t>
        </is>
      </c>
      <c r="G425" t="inlineStr">
        <is>
          <t>EMMABODA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46224</v>
      </c>
      <c r="F426" t="inlineStr">
        <is>
          <t>KALMAR LÄN</t>
        </is>
      </c>
      <c r="G426" t="inlineStr">
        <is>
          <t>EMMABODA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57916-2022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44900</v>
      </c>
      <c r="E427" s="1" t="n">
        <v>46224</v>
      </c>
      <c r="F427" t="inlineStr">
        <is>
          <t>KALMAR LÄN</t>
        </is>
      </c>
      <c r="G427" t="inlineStr">
        <is>
          <t>EMMABODA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46224</v>
      </c>
      <c r="F428" t="inlineStr">
        <is>
          <t>KALMAR LÄN</t>
        </is>
      </c>
      <c r="G428" t="inlineStr">
        <is>
          <t>EMMABODA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46224</v>
      </c>
      <c r="F429" t="inlineStr">
        <is>
          <t>KALMAR LÄN</t>
        </is>
      </c>
      <c r="G429" t="inlineStr">
        <is>
          <t>EMMABODA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44586</v>
      </c>
      <c r="E430" s="1" t="n">
        <v>46224</v>
      </c>
      <c r="F430" t="inlineStr">
        <is>
          <t>KALMAR LÄN</t>
        </is>
      </c>
      <c r="G430" t="inlineStr">
        <is>
          <t>EMMABODA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38123-2023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45161</v>
      </c>
      <c r="E431" s="1" t="n">
        <v>46224</v>
      </c>
      <c r="F431" t="inlineStr">
        <is>
          <t>KALMAR LÄN</t>
        </is>
      </c>
      <c r="G431" t="inlineStr">
        <is>
          <t>EMMABODA</t>
        </is>
      </c>
      <c r="H431" t="inlineStr">
        <is>
          <t>Kommuner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46224</v>
      </c>
      <c r="F432" t="inlineStr">
        <is>
          <t>KALMAR LÄN</t>
        </is>
      </c>
      <c r="G432" t="inlineStr">
        <is>
          <t>EMMABODA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40013-2021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44418</v>
      </c>
      <c r="E433" s="1" t="n">
        <v>46224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46224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46224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46224</v>
      </c>
      <c r="F436" t="inlineStr">
        <is>
          <t>KALMAR LÄN</t>
        </is>
      </c>
      <c r="G436" t="inlineStr">
        <is>
          <t>EMMABODA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46120</v>
      </c>
      <c r="E437" s="1" t="n">
        <v>46224</v>
      </c>
      <c r="F437" t="inlineStr">
        <is>
          <t>KALMAR LÄN</t>
        </is>
      </c>
      <c r="G437" t="inlineStr">
        <is>
          <t>EMMABODA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11621-2025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46224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46224</v>
      </c>
      <c r="F439" t="inlineStr">
        <is>
          <t>KALMAR LÄN</t>
        </is>
      </c>
      <c r="G439" t="inlineStr">
        <is>
          <t>EMMABODA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46224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46224</v>
      </c>
      <c r="F441" t="inlineStr">
        <is>
          <t>KALMAR LÄN</t>
        </is>
      </c>
      <c r="G441" t="inlineStr">
        <is>
          <t>EMMABODA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44897</v>
      </c>
      <c r="E442" s="1" t="n">
        <v>46224</v>
      </c>
      <c r="F442" t="inlineStr">
        <is>
          <t>KALMAR LÄN</t>
        </is>
      </c>
      <c r="G442" t="inlineStr">
        <is>
          <t>EMMABODA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46224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50467-2021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46224</v>
      </c>
      <c r="F444" t="inlineStr">
        <is>
          <t>KALMAR LÄN</t>
        </is>
      </c>
      <c r="G444" t="inlineStr">
        <is>
          <t>EMMABODA</t>
        </is>
      </c>
      <c r="H444" t="inlineStr">
        <is>
          <t>Övriga Aktiebolag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53704-2023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46224</v>
      </c>
      <c r="F445" t="inlineStr">
        <is>
          <t>KALMAR LÄN</t>
        </is>
      </c>
      <c r="G445" t="inlineStr">
        <is>
          <t>EMMABODA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44977</v>
      </c>
      <c r="E446" s="1" t="n">
        <v>46224</v>
      </c>
      <c r="F446" t="inlineStr">
        <is>
          <t>KALMAR LÄN</t>
        </is>
      </c>
      <c r="G446" t="inlineStr">
        <is>
          <t>EMMABODA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46127</v>
      </c>
      <c r="E447" s="1" t="n">
        <v>46224</v>
      </c>
      <c r="F447" t="inlineStr">
        <is>
          <t>KALMAR LÄN</t>
        </is>
      </c>
      <c r="G447" t="inlineStr">
        <is>
          <t>EMMABODA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46224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18444-2026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46127</v>
      </c>
      <c r="E449" s="1" t="n">
        <v>46224</v>
      </c>
      <c r="F449" t="inlineStr">
        <is>
          <t>KALMAR LÄN</t>
        </is>
      </c>
      <c r="G449" t="inlineStr">
        <is>
          <t>EMMABODA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18437-2026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46127</v>
      </c>
      <c r="E450" s="1" t="n">
        <v>46224</v>
      </c>
      <c r="F450" t="inlineStr">
        <is>
          <t>KALMAR LÄN</t>
        </is>
      </c>
      <c r="G450" t="inlineStr">
        <is>
          <t>EMMABODA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46224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37650-2021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44400</v>
      </c>
      <c r="E452" s="1" t="n">
        <v>46224</v>
      </c>
      <c r="F452" t="inlineStr">
        <is>
          <t>KALMAR LÄN</t>
        </is>
      </c>
      <c r="G452" t="inlineStr">
        <is>
          <t>EMMABODA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46224</v>
      </c>
      <c r="F453" t="inlineStr">
        <is>
          <t>KALMAR LÄN</t>
        </is>
      </c>
      <c r="G453" t="inlineStr">
        <is>
          <t>EMMABODA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55590-2024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45622</v>
      </c>
      <c r="E454" s="1" t="n">
        <v>46224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46224</v>
      </c>
      <c r="F455" t="inlineStr">
        <is>
          <t>KALMAR LÄN</t>
        </is>
      </c>
      <c r="G455" t="inlineStr">
        <is>
          <t>EMMABODA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26923-2023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45093</v>
      </c>
      <c r="E456" s="1" t="n">
        <v>46224</v>
      </c>
      <c r="F456" t="inlineStr">
        <is>
          <t>KALMAR LÄN</t>
        </is>
      </c>
      <c r="G456" t="inlineStr">
        <is>
          <t>EMMABODA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11437-2023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44993</v>
      </c>
      <c r="E457" s="1" t="n">
        <v>46224</v>
      </c>
      <c r="F457" t="inlineStr">
        <is>
          <t>KALMAR LÄN</t>
        </is>
      </c>
      <c r="G457" t="inlineStr">
        <is>
          <t>EMMABODA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44965</v>
      </c>
      <c r="E458" s="1" t="n">
        <v>46224</v>
      </c>
      <c r="F458" t="inlineStr">
        <is>
          <t>KALMAR LÄN</t>
        </is>
      </c>
      <c r="G458" t="inlineStr">
        <is>
          <t>EMMABODA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27676-2022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44743</v>
      </c>
      <c r="E459" s="1" t="n">
        <v>46224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46139</v>
      </c>
      <c r="E460" s="1" t="n">
        <v>46224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46224</v>
      </c>
      <c r="F461" t="inlineStr">
        <is>
          <t>KALMAR LÄN</t>
        </is>
      </c>
      <c r="G461" t="inlineStr">
        <is>
          <t>EMMABODA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29023-2022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46224</v>
      </c>
      <c r="F462" t="inlineStr">
        <is>
          <t>KALMAR LÄN</t>
        </is>
      </c>
      <c r="G462" t="inlineStr">
        <is>
          <t>EMMABODA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46224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45905</v>
      </c>
      <c r="E464" s="1" t="n">
        <v>46224</v>
      </c>
      <c r="F464" t="inlineStr">
        <is>
          <t>KALMAR LÄN</t>
        </is>
      </c>
      <c r="G464" t="inlineStr">
        <is>
          <t>EMMABODA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46224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45327</v>
      </c>
      <c r="E466" s="1" t="n">
        <v>46224</v>
      </c>
      <c r="F466" t="inlineStr">
        <is>
          <t>KALMAR LÄN</t>
        </is>
      </c>
      <c r="G466" t="inlineStr">
        <is>
          <t>EMMABODA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45901</v>
      </c>
      <c r="E467" s="1" t="n">
        <v>46224</v>
      </c>
      <c r="F467" t="inlineStr">
        <is>
          <t>KALMAR LÄN</t>
        </is>
      </c>
      <c r="G467" t="inlineStr">
        <is>
          <t>EMMABODA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45909</v>
      </c>
      <c r="E468" s="1" t="n">
        <v>46224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46224</v>
      </c>
      <c r="F469" t="inlineStr">
        <is>
          <t>KALMAR LÄN</t>
        </is>
      </c>
      <c r="G469" t="inlineStr">
        <is>
          <t>EMMABODA</t>
        </is>
      </c>
      <c r="H469" t="inlineStr">
        <is>
          <t>Övriga Aktiebolag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46224</v>
      </c>
      <c r="F470" t="inlineStr">
        <is>
          <t>KALMAR LÄN</t>
        </is>
      </c>
      <c r="G470" t="inlineStr">
        <is>
          <t>EMMABODA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19881-2024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45433</v>
      </c>
      <c r="E471" s="1" t="n">
        <v>46224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39411-2024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45551</v>
      </c>
      <c r="E472" s="1" t="n">
        <v>46224</v>
      </c>
      <c r="F472" t="inlineStr">
        <is>
          <t>KALMAR LÄN</t>
        </is>
      </c>
      <c r="G472" t="inlineStr">
        <is>
          <t>EMMABODA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46224</v>
      </c>
      <c r="F473" t="inlineStr">
        <is>
          <t>KALMAR LÄN</t>
        </is>
      </c>
      <c r="G473" t="inlineStr">
        <is>
          <t>EMMABODA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46224</v>
      </c>
      <c r="F474" t="inlineStr">
        <is>
          <t>KALMAR LÄN</t>
        </is>
      </c>
      <c r="G474" t="inlineStr">
        <is>
          <t>EMMABODA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46224</v>
      </c>
      <c r="F475" t="inlineStr">
        <is>
          <t>KALMAR LÄN</t>
        </is>
      </c>
      <c r="G475" t="inlineStr">
        <is>
          <t>EMMABODA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46224</v>
      </c>
      <c r="F476" t="inlineStr">
        <is>
          <t>KALMAR LÄN</t>
        </is>
      </c>
      <c r="G476" t="inlineStr">
        <is>
          <t>EMMABODA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45007</v>
      </c>
      <c r="E477" s="1" t="n">
        <v>46224</v>
      </c>
      <c r="F477" t="inlineStr">
        <is>
          <t>KALMAR LÄN</t>
        </is>
      </c>
      <c r="G477" t="inlineStr">
        <is>
          <t>EMMABODA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58640-2024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46224</v>
      </c>
      <c r="F478" t="inlineStr">
        <is>
          <t>KALMAR LÄN</t>
        </is>
      </c>
      <c r="G478" t="inlineStr">
        <is>
          <t>EMMABODA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46224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46224</v>
      </c>
      <c r="F480" t="inlineStr">
        <is>
          <t>KALMAR LÄN</t>
        </is>
      </c>
      <c r="G480" t="inlineStr">
        <is>
          <t>EMMABODA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46224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46224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45537</v>
      </c>
      <c r="E483" s="1" t="n">
        <v>46224</v>
      </c>
      <c r="F483" t="inlineStr">
        <is>
          <t>KALMAR LÄN</t>
        </is>
      </c>
      <c r="G483" t="inlineStr">
        <is>
          <t>EMMABODA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46224</v>
      </c>
      <c r="F484" t="inlineStr">
        <is>
          <t>KALMAR LÄN</t>
        </is>
      </c>
      <c r="G484" t="inlineStr">
        <is>
          <t>EMMABODA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46224</v>
      </c>
      <c r="F485" t="inlineStr">
        <is>
          <t>KALMAR LÄN</t>
        </is>
      </c>
      <c r="G485" t="inlineStr">
        <is>
          <t>EMMABODA</t>
        </is>
      </c>
      <c r="H485" t="inlineStr">
        <is>
          <t>Övriga Aktiebolag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46224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46224</v>
      </c>
      <c r="F487" t="inlineStr">
        <is>
          <t>KALMAR LÄN</t>
        </is>
      </c>
      <c r="G487" t="inlineStr">
        <is>
          <t>EMMABODA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46224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68940-2021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46224</v>
      </c>
      <c r="F489" t="inlineStr">
        <is>
          <t>KALMAR LÄN</t>
        </is>
      </c>
      <c r="G489" t="inlineStr">
        <is>
          <t>EMMABODA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46224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45819</v>
      </c>
      <c r="E491" s="1" t="n">
        <v>46224</v>
      </c>
      <c r="F491" t="inlineStr">
        <is>
          <t>KALMAR LÄN</t>
        </is>
      </c>
      <c r="G491" t="inlineStr">
        <is>
          <t>EMMABODA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46224</v>
      </c>
      <c r="F492" t="inlineStr">
        <is>
          <t>KALMAR LÄN</t>
        </is>
      </c>
      <c r="G492" t="inlineStr">
        <is>
          <t>EMMABODA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34245-2024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46224</v>
      </c>
      <c r="F493" t="inlineStr">
        <is>
          <t>KALMAR LÄN</t>
        </is>
      </c>
      <c r="G493" t="inlineStr">
        <is>
          <t>EMMABODA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28212-2025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46224</v>
      </c>
      <c r="F494" t="inlineStr">
        <is>
          <t>KALMAR LÄN</t>
        </is>
      </c>
      <c r="G494" t="inlineStr">
        <is>
          <t>EMMABODA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46224</v>
      </c>
      <c r="F495" t="inlineStr">
        <is>
          <t>KALMAR LÄN</t>
        </is>
      </c>
      <c r="G495" t="inlineStr">
        <is>
          <t>EMMABODA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46775-2022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44851</v>
      </c>
      <c r="E496" s="1" t="n">
        <v>46224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46224</v>
      </c>
      <c r="F497" t="inlineStr">
        <is>
          <t>KALMAR LÄN</t>
        </is>
      </c>
      <c r="G497" t="inlineStr">
        <is>
          <t>EMMABODA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45972</v>
      </c>
      <c r="E498" s="1" t="n">
        <v>46224</v>
      </c>
      <c r="F498" t="inlineStr">
        <is>
          <t>KALMAR LÄN</t>
        </is>
      </c>
      <c r="G498" t="inlineStr">
        <is>
          <t>EMMABODA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46224</v>
      </c>
      <c r="F499" t="inlineStr">
        <is>
          <t>KALMAR LÄN</t>
        </is>
      </c>
      <c r="G499" t="inlineStr">
        <is>
          <t>EMMABODA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59737-2021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44494</v>
      </c>
      <c r="E500" s="1" t="n">
        <v>46224</v>
      </c>
      <c r="F500" t="inlineStr">
        <is>
          <t>KALMAR LÄN</t>
        </is>
      </c>
      <c r="G500" t="inlineStr">
        <is>
          <t>EMMABODA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56549-2022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46224</v>
      </c>
      <c r="F501" t="inlineStr">
        <is>
          <t>KALMAR LÄN</t>
        </is>
      </c>
      <c r="G501" t="inlineStr">
        <is>
          <t>EMMABODA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38104-2021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44405</v>
      </c>
      <c r="E502" s="1" t="n">
        <v>46224</v>
      </c>
      <c r="F502" t="inlineStr">
        <is>
          <t>KALMAR LÄN</t>
        </is>
      </c>
      <c r="G502" t="inlineStr">
        <is>
          <t>EMMABODA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66333-2021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44518</v>
      </c>
      <c r="E503" s="1" t="n">
        <v>46224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24776-2022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44728</v>
      </c>
      <c r="E504" s="1" t="n">
        <v>46224</v>
      </c>
      <c r="F504" t="inlineStr">
        <is>
          <t>KALMAR LÄN</t>
        </is>
      </c>
      <c r="G504" t="inlineStr">
        <is>
          <t>EMMABODA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46224</v>
      </c>
      <c r="F505" t="inlineStr">
        <is>
          <t>KALMAR LÄN</t>
        </is>
      </c>
      <c r="G505" t="inlineStr">
        <is>
          <t>EMMABODA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46224</v>
      </c>
      <c r="F506" t="inlineStr">
        <is>
          <t>KALMAR LÄN</t>
        </is>
      </c>
      <c r="G506" t="inlineStr">
        <is>
          <t>EMMABODA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46224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46224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45966</v>
      </c>
      <c r="E509" s="1" t="n">
        <v>46224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46224</v>
      </c>
      <c r="F510" t="inlineStr">
        <is>
          <t>KALMAR LÄN</t>
        </is>
      </c>
      <c r="G510" t="inlineStr">
        <is>
          <t>EMMABODA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46224</v>
      </c>
      <c r="F511" t="inlineStr">
        <is>
          <t>KALMAR LÄN</t>
        </is>
      </c>
      <c r="G511" t="inlineStr">
        <is>
          <t>EMMABODA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46224</v>
      </c>
      <c r="F512" t="inlineStr">
        <is>
          <t>KALMAR LÄN</t>
        </is>
      </c>
      <c r="G512" t="inlineStr">
        <is>
          <t>EMMABODA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61791-2022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44911</v>
      </c>
      <c r="E513" s="1" t="n">
        <v>46224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37630-2023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46224</v>
      </c>
      <c r="F514" t="inlineStr">
        <is>
          <t>KALMAR LÄN</t>
        </is>
      </c>
      <c r="G514" t="inlineStr">
        <is>
          <t>EMMABODA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49274-2025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45938</v>
      </c>
      <c r="E515" s="1" t="n">
        <v>46224</v>
      </c>
      <c r="F515" t="inlineStr">
        <is>
          <t>KALMAR LÄN</t>
        </is>
      </c>
      <c r="G515" t="inlineStr">
        <is>
          <t>EMMABODA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45514</v>
      </c>
      <c r="E516" s="1" t="n">
        <v>46224</v>
      </c>
      <c r="F516" t="inlineStr">
        <is>
          <t>KALMAR LÄN</t>
        </is>
      </c>
      <c r="G516" t="inlineStr">
        <is>
          <t>EMMABODA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45514</v>
      </c>
      <c r="E517" s="1" t="n">
        <v>46224</v>
      </c>
      <c r="F517" t="inlineStr">
        <is>
          <t>KALMAR LÄN</t>
        </is>
      </c>
      <c r="G517" t="inlineStr">
        <is>
          <t>EMMABODA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45976</v>
      </c>
      <c r="E518" s="1" t="n">
        <v>46224</v>
      </c>
      <c r="F518" t="inlineStr">
        <is>
          <t>KALMAR LÄN</t>
        </is>
      </c>
      <c r="G518" t="inlineStr">
        <is>
          <t>EMMABODA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47291-2023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45202</v>
      </c>
      <c r="E519" s="1" t="n">
        <v>46224</v>
      </c>
      <c r="F519" t="inlineStr">
        <is>
          <t>KALMAR LÄN</t>
        </is>
      </c>
      <c r="G519" t="inlineStr">
        <is>
          <t>EMMABODA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46224</v>
      </c>
      <c r="F520" t="inlineStr">
        <is>
          <t>KALMAR LÄN</t>
        </is>
      </c>
      <c r="G520" t="inlineStr">
        <is>
          <t>EMMABODA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46224</v>
      </c>
      <c r="F521" t="inlineStr">
        <is>
          <t>KALMAR LÄN</t>
        </is>
      </c>
      <c r="G521" t="inlineStr">
        <is>
          <t>EMMABODA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53350-2022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44879</v>
      </c>
      <c r="E522" s="1" t="n">
        <v>46224</v>
      </c>
      <c r="F522" t="inlineStr">
        <is>
          <t>KALMAR LÄN</t>
        </is>
      </c>
      <c r="G522" t="inlineStr">
        <is>
          <t>EMMABODA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46224</v>
      </c>
      <c r="F523" t="inlineStr">
        <is>
          <t>KALMAR LÄN</t>
        </is>
      </c>
      <c r="G523" t="inlineStr">
        <is>
          <t>EMMABODA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45976</v>
      </c>
      <c r="E524" s="1" t="n">
        <v>46224</v>
      </c>
      <c r="F524" t="inlineStr">
        <is>
          <t>KALMAR LÄN</t>
        </is>
      </c>
      <c r="G524" t="inlineStr">
        <is>
          <t>EMMABODA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46224</v>
      </c>
      <c r="F525" t="inlineStr">
        <is>
          <t>KALMAR LÄN</t>
        </is>
      </c>
      <c r="G525" t="inlineStr">
        <is>
          <t>EMMABODA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45126</v>
      </c>
      <c r="E526" s="1" t="n">
        <v>46224</v>
      </c>
      <c r="F526" t="inlineStr">
        <is>
          <t>KALMAR LÄN</t>
        </is>
      </c>
      <c r="G526" t="inlineStr">
        <is>
          <t>EMMABODA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45126</v>
      </c>
      <c r="E527" s="1" t="n">
        <v>46224</v>
      </c>
      <c r="F527" t="inlineStr">
        <is>
          <t>KALMAR LÄN</t>
        </is>
      </c>
      <c r="G527" t="inlineStr">
        <is>
          <t>EMMABODA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45155</v>
      </c>
      <c r="E528" s="1" t="n">
        <v>46224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46224</v>
      </c>
      <c r="F529" t="inlineStr">
        <is>
          <t>KALMAR LÄN</t>
        </is>
      </c>
      <c r="G529" t="inlineStr">
        <is>
          <t>EMMABODA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44953</v>
      </c>
      <c r="E530" s="1" t="n">
        <v>46224</v>
      </c>
      <c r="F530" t="inlineStr">
        <is>
          <t>KALMAR LÄN</t>
        </is>
      </c>
      <c r="G530" t="inlineStr">
        <is>
          <t>EMMABODA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46224</v>
      </c>
      <c r="F531" t="inlineStr">
        <is>
          <t>KALMAR LÄN</t>
        </is>
      </c>
      <c r="G531" t="inlineStr">
        <is>
          <t>EMMABODA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45362</v>
      </c>
      <c r="E532" s="1" t="n">
        <v>46224</v>
      </c>
      <c r="F532" t="inlineStr">
        <is>
          <t>KALMAR LÄN</t>
        </is>
      </c>
      <c r="G532" t="inlineStr">
        <is>
          <t>EMMABODA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44665</v>
      </c>
      <c r="E533" s="1" t="n">
        <v>46224</v>
      </c>
      <c r="F533" t="inlineStr">
        <is>
          <t>KALMAR LÄN</t>
        </is>
      </c>
      <c r="G533" t="inlineStr">
        <is>
          <t>EMMABODA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46224</v>
      </c>
      <c r="F534" t="inlineStr">
        <is>
          <t>KALMAR LÄN</t>
        </is>
      </c>
      <c r="G534" t="inlineStr">
        <is>
          <t>EMMABODA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46224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44700</v>
      </c>
      <c r="E536" s="1" t="n">
        <v>46224</v>
      </c>
      <c r="F536" t="inlineStr">
        <is>
          <t>KALMAR LÄN</t>
        </is>
      </c>
      <c r="G536" t="inlineStr">
        <is>
          <t>EMMABODA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46224</v>
      </c>
      <c r="F537" t="inlineStr">
        <is>
          <t>KALMAR LÄN</t>
        </is>
      </c>
      <c r="G537" t="inlineStr">
        <is>
          <t>EMMABODA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14970-2025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46224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45296</v>
      </c>
      <c r="E539" s="1" t="n">
        <v>46224</v>
      </c>
      <c r="F539" t="inlineStr">
        <is>
          <t>KALMAR LÄN</t>
        </is>
      </c>
      <c r="G539" t="inlineStr">
        <is>
          <t>EMMABODA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68947-2021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44530</v>
      </c>
      <c r="E540" s="1" t="n">
        <v>46224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46224</v>
      </c>
      <c r="F541" t="inlineStr">
        <is>
          <t>KALMAR LÄN</t>
        </is>
      </c>
      <c r="G541" t="inlineStr">
        <is>
          <t>EMMABODA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46224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46224</v>
      </c>
      <c r="F543" t="inlineStr">
        <is>
          <t>KALMAR LÄN</t>
        </is>
      </c>
      <c r="G543" t="inlineStr">
        <is>
          <t>EMMABODA</t>
        </is>
      </c>
      <c r="I543" t="n">
        <v>9.1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46224</v>
      </c>
      <c r="F544" t="inlineStr">
        <is>
          <t>KALMAR LÄN</t>
        </is>
      </c>
      <c r="G544" t="inlineStr">
        <is>
          <t>EMMABODA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44777</v>
      </c>
      <c r="E545" s="1" t="n">
        <v>46224</v>
      </c>
      <c r="F545" t="inlineStr">
        <is>
          <t>KALMAR LÄN</t>
        </is>
      </c>
      <c r="G545" t="inlineStr">
        <is>
          <t>EMMABODA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60674-2024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45644</v>
      </c>
      <c r="E546" s="1" t="n">
        <v>46224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45181</v>
      </c>
      <c r="E547" s="1" t="n">
        <v>46224</v>
      </c>
      <c r="F547" t="inlineStr">
        <is>
          <t>KALMAR LÄN</t>
        </is>
      </c>
      <c r="G547" t="inlineStr">
        <is>
          <t>EMMABODA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46224</v>
      </c>
      <c r="F548" t="inlineStr">
        <is>
          <t>KALMAR LÄN</t>
        </is>
      </c>
      <c r="G548" t="inlineStr">
        <is>
          <t>EMMABODA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45164</v>
      </c>
      <c r="E549" s="1" t="n">
        <v>46224</v>
      </c>
      <c r="F549" t="inlineStr">
        <is>
          <t>KALMAR LÄN</t>
        </is>
      </c>
      <c r="G549" t="inlineStr">
        <is>
          <t>EMMABODA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46224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44993</v>
      </c>
      <c r="E551" s="1" t="n">
        <v>46224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46224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46224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46224</v>
      </c>
      <c r="F554" t="inlineStr">
        <is>
          <t>KALMAR LÄN</t>
        </is>
      </c>
      <c r="G554" t="inlineStr">
        <is>
          <t>EMMABODA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46224</v>
      </c>
      <c r="F555" t="inlineStr">
        <is>
          <t>KALMAR LÄN</t>
        </is>
      </c>
      <c r="G555" t="inlineStr">
        <is>
          <t>EMMABODA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27646-2026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46224</v>
      </c>
      <c r="F556" t="inlineStr">
        <is>
          <t>KALMAR LÄN</t>
        </is>
      </c>
      <c r="G556" t="inlineStr">
        <is>
          <t>EMMABODA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45126</v>
      </c>
      <c r="E557" s="1" t="n">
        <v>46224</v>
      </c>
      <c r="F557" t="inlineStr">
        <is>
          <t>KALMAR LÄN</t>
        </is>
      </c>
      <c r="G557" t="inlineStr">
        <is>
          <t>EMMABODA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50500-2022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44861</v>
      </c>
      <c r="E558" s="1" t="n">
        <v>46224</v>
      </c>
      <c r="F558" t="inlineStr">
        <is>
          <t>KALMAR LÄN</t>
        </is>
      </c>
      <c r="G558" t="inlineStr">
        <is>
          <t>EMMABODA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46224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46224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46224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46224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37996-2021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44404</v>
      </c>
      <c r="E563" s="1" t="n">
        <v>46224</v>
      </c>
      <c r="F563" t="inlineStr">
        <is>
          <t>KALMAR LÄN</t>
        </is>
      </c>
      <c r="G563" t="inlineStr">
        <is>
          <t>EMMABODA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46224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33084-2023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46224</v>
      </c>
      <c r="F565" t="inlineStr">
        <is>
          <t>KALMAR LÄN</t>
        </is>
      </c>
      <c r="G565" t="inlineStr">
        <is>
          <t>EMMABODA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44490-2024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45574</v>
      </c>
      <c r="E566" s="1" t="n">
        <v>46224</v>
      </c>
      <c r="F566" t="inlineStr">
        <is>
          <t>KALMAR LÄN</t>
        </is>
      </c>
      <c r="G566" t="inlineStr">
        <is>
          <t>EMMABODA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48918-2023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45204</v>
      </c>
      <c r="E567" s="1" t="n">
        <v>46224</v>
      </c>
      <c r="F567" t="inlineStr">
        <is>
          <t>KALMAR LÄN</t>
        </is>
      </c>
      <c r="G567" t="inlineStr">
        <is>
          <t>EMMABODA</t>
        </is>
      </c>
      <c r="H567" t="inlineStr">
        <is>
          <t>Övriga Aktiebolag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54230-2023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45232</v>
      </c>
      <c r="E568" s="1" t="n">
        <v>46224</v>
      </c>
      <c r="F568" t="inlineStr">
        <is>
          <t>KALMAR LÄN</t>
        </is>
      </c>
      <c r="G568" t="inlineStr">
        <is>
          <t>EMMABODA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46224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14071-2024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45392</v>
      </c>
      <c r="E570" s="1" t="n">
        <v>46224</v>
      </c>
      <c r="F570" t="inlineStr">
        <is>
          <t>KALMAR LÄN</t>
        </is>
      </c>
      <c r="G570" t="inlineStr">
        <is>
          <t>EMMABODA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46224</v>
      </c>
      <c r="F571" t="inlineStr">
        <is>
          <t>KALMAR LÄN</t>
        </is>
      </c>
      <c r="G571" t="inlineStr">
        <is>
          <t>EMMABODA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46224</v>
      </c>
      <c r="F572" t="inlineStr">
        <is>
          <t>KALMAR LÄN</t>
        </is>
      </c>
      <c r="G572" t="inlineStr">
        <is>
          <t>EMMABODA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8058-2025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46224</v>
      </c>
      <c r="F573" t="inlineStr">
        <is>
          <t>KALMAR LÄN</t>
        </is>
      </c>
      <c r="G573" t="inlineStr">
        <is>
          <t>EMMABODA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46069</v>
      </c>
      <c r="E574" s="1" t="n">
        <v>46224</v>
      </c>
      <c r="F574" t="inlineStr">
        <is>
          <t>KALMAR LÄN</t>
        </is>
      </c>
      <c r="G574" t="inlineStr">
        <is>
          <t>EMMABODA</t>
        </is>
      </c>
      <c r="H574" t="inlineStr">
        <is>
          <t>Kyrkan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46224</v>
      </c>
      <c r="F575" t="inlineStr">
        <is>
          <t>KALMAR LÄN</t>
        </is>
      </c>
      <c r="G575" t="inlineStr">
        <is>
          <t>EMMABODA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45341</v>
      </c>
      <c r="E576" s="1" t="n">
        <v>46224</v>
      </c>
      <c r="F576" t="inlineStr">
        <is>
          <t>KALMAR LÄN</t>
        </is>
      </c>
      <c r="G576" t="inlineStr">
        <is>
          <t>EMMABODA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46224</v>
      </c>
      <c r="F577" t="inlineStr">
        <is>
          <t>KALMAR LÄN</t>
        </is>
      </c>
      <c r="G577" t="inlineStr">
        <is>
          <t>EMMABODA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44995</v>
      </c>
      <c r="E578" s="1" t="n">
        <v>46224</v>
      </c>
      <c r="F578" t="inlineStr">
        <is>
          <t>KALMAR LÄN</t>
        </is>
      </c>
      <c r="G578" t="inlineStr">
        <is>
          <t>EMMABODA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28448-2026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46224</v>
      </c>
      <c r="F579" t="inlineStr">
        <is>
          <t>KALMAR LÄN</t>
        </is>
      </c>
      <c r="G579" t="inlineStr">
        <is>
          <t>EMMABODA</t>
        </is>
      </c>
      <c r="H579" t="inlineStr">
        <is>
          <t>Sveaskog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13276-2023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45003</v>
      </c>
      <c r="E580" s="1" t="n">
        <v>46224</v>
      </c>
      <c r="F580" t="inlineStr">
        <is>
          <t>KALMAR LÄN</t>
        </is>
      </c>
      <c r="G580" t="inlineStr">
        <is>
          <t>EMMABODA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46197</v>
      </c>
      <c r="E581" s="1" t="n">
        <v>46224</v>
      </c>
      <c r="F581" t="inlineStr">
        <is>
          <t>KALMAR LÄN</t>
        </is>
      </c>
      <c r="G581" t="inlineStr">
        <is>
          <t>EMMABODA</t>
        </is>
      </c>
      <c r="H581" t="inlineStr">
        <is>
          <t>Sveaskog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28442-2026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46197</v>
      </c>
      <c r="E582" s="1" t="n">
        <v>46224</v>
      </c>
      <c r="F582" t="inlineStr">
        <is>
          <t>KALMAR LÄN</t>
        </is>
      </c>
      <c r="G582" t="inlineStr">
        <is>
          <t>EMMABODA</t>
        </is>
      </c>
      <c r="H582" t="inlineStr">
        <is>
          <t>Sveaskog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46224</v>
      </c>
      <c r="F583" t="inlineStr">
        <is>
          <t>KALMAR LÄN</t>
        </is>
      </c>
      <c r="G583" t="inlineStr">
        <is>
          <t>EMMABODA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12014-2023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44995</v>
      </c>
      <c r="E584" s="1" t="n">
        <v>46224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46224</v>
      </c>
      <c r="F585" t="inlineStr">
        <is>
          <t>KALMAR LÄN</t>
        </is>
      </c>
      <c r="G585" t="inlineStr">
        <is>
          <t>EMMABODA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33050-2023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45126</v>
      </c>
      <c r="E586" s="1" t="n">
        <v>46224</v>
      </c>
      <c r="F586" t="inlineStr">
        <is>
          <t>KALMAR LÄN</t>
        </is>
      </c>
      <c r="G586" t="inlineStr">
        <is>
          <t>EMMABODA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46224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45514</v>
      </c>
      <c r="E588" s="1" t="n">
        <v>46224</v>
      </c>
      <c r="F588" t="inlineStr">
        <is>
          <t>KALMAR LÄN</t>
        </is>
      </c>
      <c r="G588" t="inlineStr">
        <is>
          <t>EMMABODA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45146</v>
      </c>
      <c r="E589" s="1" t="n">
        <v>46224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46196</v>
      </c>
      <c r="E590" s="1" t="n">
        <v>46224</v>
      </c>
      <c r="F590" t="inlineStr">
        <is>
          <t>KALMAR LÄN</t>
        </is>
      </c>
      <c r="G590" t="inlineStr">
        <is>
          <t>EMMABODA</t>
        </is>
      </c>
      <c r="H590" t="inlineStr">
        <is>
          <t>Kyrkan</t>
        </is>
      </c>
      <c r="I590" t="n">
        <v>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46224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5345-2023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44959</v>
      </c>
      <c r="E592" s="1" t="n">
        <v>46224</v>
      </c>
      <c r="F592" t="inlineStr">
        <is>
          <t>KALMAR LÄN</t>
        </is>
      </c>
      <c r="G592" t="inlineStr">
        <is>
          <t>EMMABODA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21844-2023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45068</v>
      </c>
      <c r="E593" s="1" t="n">
        <v>46224</v>
      </c>
      <c r="F593" t="inlineStr">
        <is>
          <t>KALMAR LÄN</t>
        </is>
      </c>
      <c r="G593" t="inlineStr">
        <is>
          <t>EMMABODA</t>
        </is>
      </c>
      <c r="H593" t="inlineStr">
        <is>
          <t>Kommuner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45707</v>
      </c>
      <c r="E594" s="1" t="n">
        <v>46224</v>
      </c>
      <c r="F594" t="inlineStr">
        <is>
          <t>KALMAR LÄN</t>
        </is>
      </c>
      <c r="G594" t="inlineStr">
        <is>
          <t>EMMABODA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44851</v>
      </c>
      <c r="E595" s="1" t="n">
        <v>46224</v>
      </c>
      <c r="F595" t="inlineStr">
        <is>
          <t>KALMAR LÄN</t>
        </is>
      </c>
      <c r="G595" t="inlineStr">
        <is>
          <t>EMMABODA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7760-2022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44608</v>
      </c>
      <c r="E596" s="1" t="n">
        <v>46224</v>
      </c>
      <c r="F596" t="inlineStr">
        <is>
          <t>KALMAR LÄN</t>
        </is>
      </c>
      <c r="G596" t="inlineStr">
        <is>
          <t>EMMABODA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27028-2023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45095</v>
      </c>
      <c r="E597" s="1" t="n">
        <v>46224</v>
      </c>
      <c r="F597" t="inlineStr">
        <is>
          <t>KALMAR LÄN</t>
        </is>
      </c>
      <c r="G597" t="inlineStr">
        <is>
          <t>EMMABODA</t>
        </is>
      </c>
      <c r="I597" t="n">
        <v>11.3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46161</v>
      </c>
      <c r="E598" s="1" t="n">
        <v>46224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2713-2022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44580</v>
      </c>
      <c r="E599" s="1" t="n">
        <v>46224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46224</v>
      </c>
      <c r="F600" t="inlineStr">
        <is>
          <t>KALMAR LÄN</t>
        </is>
      </c>
      <c r="G600" t="inlineStr">
        <is>
          <t>EMMABODA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11636-2024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45373</v>
      </c>
      <c r="E601" s="1" t="n">
        <v>46224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22841-2026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46224</v>
      </c>
      <c r="F602" t="inlineStr">
        <is>
          <t>KALMAR LÄN</t>
        </is>
      </c>
      <c r="G602" t="inlineStr">
        <is>
          <t>EMMABODA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46224</v>
      </c>
      <c r="F603" t="inlineStr">
        <is>
          <t>KALMAR LÄN</t>
        </is>
      </c>
      <c r="G603" t="inlineStr">
        <is>
          <t>EMMABODA</t>
        </is>
      </c>
      <c r="H603" t="inlineStr">
        <is>
          <t>Kommuner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9755-2023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44984</v>
      </c>
      <c r="E604" s="1" t="n">
        <v>46224</v>
      </c>
      <c r="F604" t="inlineStr">
        <is>
          <t>KALMAR LÄN</t>
        </is>
      </c>
      <c r="G604" t="inlineStr">
        <is>
          <t>EMMABODA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58839-2023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45252</v>
      </c>
      <c r="E605" s="1" t="n">
        <v>46224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30460-2022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44761</v>
      </c>
      <c r="E606" s="1" t="n">
        <v>46224</v>
      </c>
      <c r="F606" t="inlineStr">
        <is>
          <t>KALMAR LÄN</t>
        </is>
      </c>
      <c r="G606" t="inlineStr">
        <is>
          <t>EMMABODA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44802</v>
      </c>
      <c r="E607" s="1" t="n">
        <v>46224</v>
      </c>
      <c r="F607" t="inlineStr">
        <is>
          <t>KALMAR LÄN</t>
        </is>
      </c>
      <c r="G607" t="inlineStr">
        <is>
          <t>EMMABODA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18310-2024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45422</v>
      </c>
      <c r="E608" s="1" t="n">
        <v>46224</v>
      </c>
      <c r="F608" t="inlineStr">
        <is>
          <t>KALMAR LÄN</t>
        </is>
      </c>
      <c r="G608" t="inlineStr">
        <is>
          <t>EMMABODA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37296-2022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44808</v>
      </c>
      <c r="E609" s="1" t="n">
        <v>46224</v>
      </c>
      <c r="F609" t="inlineStr">
        <is>
          <t>KALMAR LÄN</t>
        </is>
      </c>
      <c r="G609" t="inlineStr">
        <is>
          <t>EMMABODA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46202</v>
      </c>
      <c r="E610" s="1" t="n">
        <v>46224</v>
      </c>
      <c r="F610" t="inlineStr">
        <is>
          <t>KALMAR LÄN</t>
        </is>
      </c>
      <c r="G610" t="inlineStr">
        <is>
          <t>EMMABODA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46160</v>
      </c>
      <c r="E611" s="1" t="n">
        <v>46224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45902</v>
      </c>
      <c r="E612" s="1" t="n">
        <v>46224</v>
      </c>
      <c r="F612" t="inlineStr">
        <is>
          <t>KALMAR LÄN</t>
        </is>
      </c>
      <c r="G612" t="inlineStr">
        <is>
          <t>EMMABODA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46224</v>
      </c>
      <c r="F613" t="inlineStr">
        <is>
          <t>KALMAR LÄN</t>
        </is>
      </c>
      <c r="G613" t="inlineStr">
        <is>
          <t>EMMABODA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48113-2021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44449</v>
      </c>
      <c r="E614" s="1" t="n">
        <v>46224</v>
      </c>
      <c r="F614" t="inlineStr">
        <is>
          <t>KALMAR LÄN</t>
        </is>
      </c>
      <c r="G614" t="inlineStr">
        <is>
          <t>EMMABODA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45189</v>
      </c>
      <c r="E615" s="1" t="n">
        <v>46224</v>
      </c>
      <c r="F615" t="inlineStr">
        <is>
          <t>KALMAR LÄN</t>
        </is>
      </c>
      <c r="G615" t="inlineStr">
        <is>
          <t>EMMABODA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45772</v>
      </c>
      <c r="E616" s="1" t="n">
        <v>46224</v>
      </c>
      <c r="F616" t="inlineStr">
        <is>
          <t>KALMAR LÄN</t>
        </is>
      </c>
      <c r="G616" t="inlineStr">
        <is>
          <t>EMMABODA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46224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19359-2023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45049</v>
      </c>
      <c r="E618" s="1" t="n">
        <v>46224</v>
      </c>
      <c r="F618" t="inlineStr">
        <is>
          <t>KALMAR LÄN</t>
        </is>
      </c>
      <c r="G618" t="inlineStr">
        <is>
          <t>EMMABODA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29943-2026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46205</v>
      </c>
      <c r="E619" s="1" t="n">
        <v>46224</v>
      </c>
      <c r="F619" t="inlineStr">
        <is>
          <t>KALMAR LÄN</t>
        </is>
      </c>
      <c r="G619" t="inlineStr">
        <is>
          <t>EMMABODA</t>
        </is>
      </c>
      <c r="H619" t="inlineStr">
        <is>
          <t>Sveaskog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69464-2021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44531</v>
      </c>
      <c r="E620" s="1" t="n">
        <v>46224</v>
      </c>
      <c r="F620" t="inlineStr">
        <is>
          <t>KALMAR LÄN</t>
        </is>
      </c>
      <c r="G620" t="inlineStr">
        <is>
          <t>EMMABODA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19686-2023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46224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19695-2023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45051</v>
      </c>
      <c r="E622" s="1" t="n">
        <v>46224</v>
      </c>
      <c r="F622" t="inlineStr">
        <is>
          <t>KALMAR LÄN</t>
        </is>
      </c>
      <c r="G622" t="inlineStr">
        <is>
          <t>EMMABODA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33067-2023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45126</v>
      </c>
      <c r="E623" s="1" t="n">
        <v>46224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33081-2023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45126</v>
      </c>
      <c r="E624" s="1" t="n">
        <v>46224</v>
      </c>
      <c r="F624" t="inlineStr">
        <is>
          <t>KALMAR LÄN</t>
        </is>
      </c>
      <c r="G624" t="inlineStr">
        <is>
          <t>EMMABODA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45323</v>
      </c>
      <c r="E625" s="1" t="n">
        <v>46224</v>
      </c>
      <c r="F625" t="inlineStr">
        <is>
          <t>KALMAR LÄN</t>
        </is>
      </c>
      <c r="G625" t="inlineStr">
        <is>
          <t>EMMABODA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16703-2022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44673</v>
      </c>
      <c r="E626" s="1" t="n">
        <v>46224</v>
      </c>
      <c r="F626" t="inlineStr">
        <is>
          <t>KALMAR LÄN</t>
        </is>
      </c>
      <c r="G626" t="inlineStr">
        <is>
          <t>EMMABODA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49726-2024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45596</v>
      </c>
      <c r="E627" s="1" t="n">
        <v>46224</v>
      </c>
      <c r="F627" t="inlineStr">
        <is>
          <t>KALMAR LÄN</t>
        </is>
      </c>
      <c r="G627" t="inlineStr">
        <is>
          <t>EMMABODA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56606-2022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44893</v>
      </c>
      <c r="E628" s="1" t="n">
        <v>46224</v>
      </c>
      <c r="F628" t="inlineStr">
        <is>
          <t>KALMAR LÄN</t>
        </is>
      </c>
      <c r="G628" t="inlineStr">
        <is>
          <t>EMMABODA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45668</v>
      </c>
      <c r="E629" s="1" t="n">
        <v>46224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30262-2022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44759</v>
      </c>
      <c r="E630" s="1" t="n">
        <v>46224</v>
      </c>
      <c r="F630" t="inlineStr">
        <is>
          <t>KALMAR LÄN</t>
        </is>
      </c>
      <c r="G630" t="inlineStr">
        <is>
          <t>EMMABODA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5182-2022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44594</v>
      </c>
      <c r="E631" s="1" t="n">
        <v>46224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46224</v>
      </c>
      <c r="F632" t="inlineStr">
        <is>
          <t>KALMAR LÄN</t>
        </is>
      </c>
      <c r="G632" t="inlineStr">
        <is>
          <t>EMMABODA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46224</v>
      </c>
      <c r="F633" t="inlineStr">
        <is>
          <t>KALMAR LÄN</t>
        </is>
      </c>
      <c r="G633" t="inlineStr">
        <is>
          <t>EMMABODA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46224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45111</v>
      </c>
      <c r="E635" s="1" t="n">
        <v>46224</v>
      </c>
      <c r="F635" t="inlineStr">
        <is>
          <t>KALMAR LÄN</t>
        </is>
      </c>
      <c r="G635" t="inlineStr">
        <is>
          <t>EMMABODA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46224</v>
      </c>
      <c r="F636" t="inlineStr">
        <is>
          <t>KALMAR LÄN</t>
        </is>
      </c>
      <c r="G636" t="inlineStr">
        <is>
          <t>EMMABODA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46211</v>
      </c>
      <c r="E637" s="1" t="n">
        <v>46224</v>
      </c>
      <c r="F637" t="inlineStr">
        <is>
          <t>KALMAR LÄN</t>
        </is>
      </c>
      <c r="G637" t="inlineStr">
        <is>
          <t>EMMABODA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48926-2023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46224</v>
      </c>
      <c r="F638" t="inlineStr">
        <is>
          <t>KALMAR LÄN</t>
        </is>
      </c>
      <c r="G638" t="inlineStr">
        <is>
          <t>EMMABODA</t>
        </is>
      </c>
      <c r="H638" t="inlineStr">
        <is>
          <t>Övriga Aktiebolag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21291-2023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45062</v>
      </c>
      <c r="E639" s="1" t="n">
        <v>46224</v>
      </c>
      <c r="F639" t="inlineStr">
        <is>
          <t>KALMAR LÄN</t>
        </is>
      </c>
      <c r="G639" t="inlineStr">
        <is>
          <t>EMMABODA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46224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42194-2024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45562</v>
      </c>
      <c r="E641" s="1" t="n">
        <v>46224</v>
      </c>
      <c r="F641" t="inlineStr">
        <is>
          <t>KALMAR LÄN</t>
        </is>
      </c>
      <c r="G641" t="inlineStr">
        <is>
          <t>EMMABODA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46224</v>
      </c>
      <c r="F642" t="inlineStr">
        <is>
          <t>KALMAR LÄN</t>
        </is>
      </c>
      <c r="G642" t="inlineStr">
        <is>
          <t>EMMABODA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27155-2026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46188</v>
      </c>
      <c r="E643" s="1" t="n">
        <v>46224</v>
      </c>
      <c r="F643" t="inlineStr">
        <is>
          <t>KALMAR LÄN</t>
        </is>
      </c>
      <c r="G643" t="inlineStr">
        <is>
          <t>EMMABODA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45103</v>
      </c>
      <c r="E644" s="1" t="n">
        <v>46224</v>
      </c>
      <c r="F644" t="inlineStr">
        <is>
          <t>KALMAR LÄN</t>
        </is>
      </c>
      <c r="G644" t="inlineStr">
        <is>
          <t>EMMABODA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46224</v>
      </c>
      <c r="F645" t="inlineStr">
        <is>
          <t>KALMAR LÄN</t>
        </is>
      </c>
      <c r="G645" t="inlineStr">
        <is>
          <t>EMMABODA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18424-2026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46127</v>
      </c>
      <c r="E646" s="1" t="n">
        <v>46224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44589</v>
      </c>
      <c r="E647" s="1" t="n">
        <v>46224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46224</v>
      </c>
      <c r="F648" t="inlineStr">
        <is>
          <t>KALMAR LÄN</t>
        </is>
      </c>
      <c r="G648" t="inlineStr">
        <is>
          <t>EMMABODA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44726</v>
      </c>
      <c r="E649" s="1" t="n">
        <v>46224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45742</v>
      </c>
      <c r="E650" s="1" t="n">
        <v>46224</v>
      </c>
      <c r="F650" t="inlineStr">
        <is>
          <t>KALMAR LÄN</t>
        </is>
      </c>
      <c r="G650" t="inlineStr">
        <is>
          <t>EMMABODA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46224</v>
      </c>
      <c r="F651" t="inlineStr">
        <is>
          <t>KALMAR LÄN</t>
        </is>
      </c>
      <c r="G651" t="inlineStr">
        <is>
          <t>EMMABODA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46224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67538-2021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44524</v>
      </c>
      <c r="E653" s="1" t="n">
        <v>46224</v>
      </c>
      <c r="F653" t="inlineStr">
        <is>
          <t>KALMAR LÄN</t>
        </is>
      </c>
      <c r="G653" t="inlineStr">
        <is>
          <t>EMMABODA</t>
        </is>
      </c>
      <c r="I653" t="n">
        <v>11.6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44728</v>
      </c>
      <c r="E654" s="1" t="n">
        <v>46224</v>
      </c>
      <c r="F654" t="inlineStr">
        <is>
          <t>KALMAR LÄN</t>
        </is>
      </c>
      <c r="G654" t="inlineStr">
        <is>
          <t>EMMABODA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42943-2023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45182</v>
      </c>
      <c r="E655" s="1" t="n">
        <v>46224</v>
      </c>
      <c r="F655" t="inlineStr">
        <is>
          <t>KALMAR LÄN</t>
        </is>
      </c>
      <c r="G655" t="inlineStr">
        <is>
          <t>EMMABODA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38924-2022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44816</v>
      </c>
      <c r="E656" s="1" t="n">
        <v>46224</v>
      </c>
      <c r="F656" t="inlineStr">
        <is>
          <t>KALMAR LÄN</t>
        </is>
      </c>
      <c r="G656" t="inlineStr">
        <is>
          <t>EMMABODA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44924-2022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44840</v>
      </c>
      <c r="E657" s="1" t="n">
        <v>46224</v>
      </c>
      <c r="F657" t="inlineStr">
        <is>
          <t>KALMAR LÄN</t>
        </is>
      </c>
      <c r="G657" t="inlineStr">
        <is>
          <t>EMMABODA</t>
        </is>
      </c>
      <c r="H657" t="inlineStr">
        <is>
          <t>Övriga Aktiebolag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49284-2024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45595</v>
      </c>
      <c r="E658" s="1" t="n">
        <v>46224</v>
      </c>
      <c r="F658" t="inlineStr">
        <is>
          <t>KALMAR LÄN</t>
        </is>
      </c>
      <c r="G658" t="inlineStr">
        <is>
          <t>EMMABODA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57794-2022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44897</v>
      </c>
      <c r="E659" s="1" t="n">
        <v>46224</v>
      </c>
      <c r="F659" t="inlineStr">
        <is>
          <t>KALMAR LÄN</t>
        </is>
      </c>
      <c r="G659" t="inlineStr">
        <is>
          <t>EMMABODA</t>
        </is>
      </c>
      <c r="I659" t="n">
        <v>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19551-2026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46134</v>
      </c>
      <c r="E660" s="1" t="n">
        <v>46224</v>
      </c>
      <c r="F660" t="inlineStr">
        <is>
          <t>KALMAR LÄN</t>
        </is>
      </c>
      <c r="G660" t="inlineStr">
        <is>
          <t>EMMABODA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63215-2023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45273</v>
      </c>
      <c r="E661" s="1" t="n">
        <v>46224</v>
      </c>
      <c r="F661" t="inlineStr">
        <is>
          <t>KALMAR LÄN</t>
        </is>
      </c>
      <c r="G661" t="inlineStr">
        <is>
          <t>EMMABODA</t>
        </is>
      </c>
      <c r="H661" t="inlineStr">
        <is>
          <t>Kommuner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46224</v>
      </c>
      <c r="F662" t="inlineStr">
        <is>
          <t>KALMAR LÄN</t>
        </is>
      </c>
      <c r="G662" t="inlineStr">
        <is>
          <t>EMMABODA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44827</v>
      </c>
      <c r="E663" s="1" t="n">
        <v>46224</v>
      </c>
      <c r="F663" t="inlineStr">
        <is>
          <t>KALMAR LÄN</t>
        </is>
      </c>
      <c r="G663" t="inlineStr">
        <is>
          <t>EMMABODA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45092</v>
      </c>
      <c r="E664" s="1" t="n">
        <v>46224</v>
      </c>
      <c r="F664" t="inlineStr">
        <is>
          <t>KALMAR LÄN</t>
        </is>
      </c>
      <c r="G664" t="inlineStr">
        <is>
          <t>EMMABODA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45706-2025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45923</v>
      </c>
      <c r="E665" s="1" t="n">
        <v>46224</v>
      </c>
      <c r="F665" t="inlineStr">
        <is>
          <t>KALMAR LÄN</t>
        </is>
      </c>
      <c r="G665" t="inlineStr">
        <is>
          <t>EMMABODA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73058-2021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44550</v>
      </c>
      <c r="E666" s="1" t="n">
        <v>46224</v>
      </c>
      <c r="F666" t="inlineStr">
        <is>
          <t>KALMAR LÄN</t>
        </is>
      </c>
      <c r="G666" t="inlineStr">
        <is>
          <t>EMMABODA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23437-2023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45076</v>
      </c>
      <c r="E667" s="1" t="n">
        <v>46224</v>
      </c>
      <c r="F667" t="inlineStr">
        <is>
          <t>KALMAR LÄN</t>
        </is>
      </c>
      <c r="G667" t="inlineStr">
        <is>
          <t>EMMABODA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45385</v>
      </c>
      <c r="E668" s="1" t="n">
        <v>46224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32687-2024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45515</v>
      </c>
      <c r="E669" s="1" t="n">
        <v>46224</v>
      </c>
      <c r="F669" t="inlineStr">
        <is>
          <t>KALMAR LÄN</t>
        </is>
      </c>
      <c r="G669" t="inlineStr">
        <is>
          <t>EMMABODA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45307</v>
      </c>
      <c r="E670" s="1" t="n">
        <v>46224</v>
      </c>
      <c r="F670" t="inlineStr">
        <is>
          <t>KALMAR LÄN</t>
        </is>
      </c>
      <c r="G670" t="inlineStr">
        <is>
          <t>EMMABODA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45317</v>
      </c>
      <c r="E671" s="1" t="n">
        <v>46224</v>
      </c>
      <c r="F671" t="inlineStr">
        <is>
          <t>KALMAR LÄN</t>
        </is>
      </c>
      <c r="G671" t="inlineStr">
        <is>
          <t>EMMABODA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43719-2023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45187</v>
      </c>
      <c r="E672" s="1" t="n">
        <v>46224</v>
      </c>
      <c r="F672" t="inlineStr">
        <is>
          <t>KALMAR LÄN</t>
        </is>
      </c>
      <c r="G672" t="inlineStr">
        <is>
          <t>EMMABODA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28600-2022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44748</v>
      </c>
      <c r="E673" s="1" t="n">
        <v>46224</v>
      </c>
      <c r="F673" t="inlineStr">
        <is>
          <t>KALMAR LÄN</t>
        </is>
      </c>
      <c r="G673" t="inlineStr">
        <is>
          <t>EMMABODA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20505-2022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44699</v>
      </c>
      <c r="E674" s="1" t="n">
        <v>46224</v>
      </c>
      <c r="F674" t="inlineStr">
        <is>
          <t>KALMAR LÄN</t>
        </is>
      </c>
      <c r="G674" t="inlineStr">
        <is>
          <t>EMMABODA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15362-2024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46224</v>
      </c>
      <c r="F675" t="inlineStr">
        <is>
          <t>KALMAR LÄN</t>
        </is>
      </c>
      <c r="G675" t="inlineStr">
        <is>
          <t>EMMABODA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53373-2023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45229</v>
      </c>
      <c r="E676" s="1" t="n">
        <v>46224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45293-2023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45188</v>
      </c>
      <c r="E677" s="1" t="n">
        <v>46224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19350-2025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46224</v>
      </c>
      <c r="F678" t="inlineStr">
        <is>
          <t>KALMAR LÄN</t>
        </is>
      </c>
      <c r="G678" t="inlineStr">
        <is>
          <t>EMMABODA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31070-2022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44769</v>
      </c>
      <c r="E679" s="1" t="n">
        <v>46224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58592-2021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44488</v>
      </c>
      <c r="E680" s="1" t="n">
        <v>46224</v>
      </c>
      <c r="F680" t="inlineStr">
        <is>
          <t>KALMAR LÄN</t>
        </is>
      </c>
      <c r="G680" t="inlineStr">
        <is>
          <t>EMMABODA</t>
        </is>
      </c>
      <c r="H680" t="inlineStr">
        <is>
          <t>Kommuner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45769</v>
      </c>
      <c r="E681" s="1" t="n">
        <v>46224</v>
      </c>
      <c r="F681" t="inlineStr">
        <is>
          <t>KALMAR LÄN</t>
        </is>
      </c>
      <c r="G681" t="inlineStr">
        <is>
          <t>EMMABODA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14467-2024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45394</v>
      </c>
      <c r="E682" s="1" t="n">
        <v>46224</v>
      </c>
      <c r="F682" t="inlineStr">
        <is>
          <t>KALMAR LÄN</t>
        </is>
      </c>
      <c r="G682" t="inlineStr">
        <is>
          <t>EMMABODA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4885-2023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44955</v>
      </c>
      <c r="E683" s="1" t="n">
        <v>46224</v>
      </c>
      <c r="F683" t="inlineStr">
        <is>
          <t>KALMAR LÄN</t>
        </is>
      </c>
      <c r="G683" t="inlineStr">
        <is>
          <t>EMMABODA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19098-2023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45048</v>
      </c>
      <c r="E684" s="1" t="n">
        <v>46224</v>
      </c>
      <c r="F684" t="inlineStr">
        <is>
          <t>KALMAR LÄN</t>
        </is>
      </c>
      <c r="G684" t="inlineStr">
        <is>
          <t>EMMABODA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8151-2024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45351</v>
      </c>
      <c r="E685" s="1" t="n">
        <v>46224</v>
      </c>
      <c r="F685" t="inlineStr">
        <is>
          <t>KALMAR LÄN</t>
        </is>
      </c>
      <c r="G685" t="inlineStr">
        <is>
          <t>EMMABODA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36367-2024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45534</v>
      </c>
      <c r="E686" s="1" t="n">
        <v>46224</v>
      </c>
      <c r="F686" t="inlineStr">
        <is>
          <t>KALMAR LÄN</t>
        </is>
      </c>
      <c r="G686" t="inlineStr">
        <is>
          <t>EMMABODA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49953-2023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45215</v>
      </c>
      <c r="E687" s="1" t="n">
        <v>46224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39521-2024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45551</v>
      </c>
      <c r="E688" s="1" t="n">
        <v>46224</v>
      </c>
      <c r="F688" t="inlineStr">
        <is>
          <t>KALMAR LÄN</t>
        </is>
      </c>
      <c r="G688" t="inlineStr">
        <is>
          <t>EMMABODA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33980-2024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45523</v>
      </c>
      <c r="E689" s="1" t="n">
        <v>46224</v>
      </c>
      <c r="F689" t="inlineStr">
        <is>
          <t>KALMAR LÄN</t>
        </is>
      </c>
      <c r="G689" t="inlineStr">
        <is>
          <t>EMMABODA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44949</v>
      </c>
      <c r="E690" s="1" t="n">
        <v>46224</v>
      </c>
      <c r="F690" t="inlineStr">
        <is>
          <t>KALMAR LÄN</t>
        </is>
      </c>
      <c r="G690" t="inlineStr">
        <is>
          <t>EMMABODA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45684</v>
      </c>
      <c r="E691" s="1" t="n">
        <v>46224</v>
      </c>
      <c r="F691" t="inlineStr">
        <is>
          <t>KALMAR LÄN</t>
        </is>
      </c>
      <c r="G691" t="inlineStr">
        <is>
          <t>EMMABODA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56254-2024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45624</v>
      </c>
      <c r="E692" s="1" t="n">
        <v>46224</v>
      </c>
      <c r="F692" t="inlineStr">
        <is>
          <t>KALMAR LÄN</t>
        </is>
      </c>
      <c r="G692" t="inlineStr">
        <is>
          <t>EMMABODA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29539-2024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45484</v>
      </c>
      <c r="E693" s="1" t="n">
        <v>46224</v>
      </c>
      <c r="F693" t="inlineStr">
        <is>
          <t>KALMAR LÄN</t>
        </is>
      </c>
      <c r="G693" t="inlineStr">
        <is>
          <t>EMMABODA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29782-2023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46224</v>
      </c>
      <c r="F694" t="inlineStr">
        <is>
          <t>KALMAR LÄN</t>
        </is>
      </c>
      <c r="G694" t="inlineStr">
        <is>
          <t>EMMABODA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22145-2024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45445</v>
      </c>
      <c r="E695" s="1" t="n">
        <v>46224</v>
      </c>
      <c r="F695" t="inlineStr">
        <is>
          <t>KALMAR LÄN</t>
        </is>
      </c>
      <c r="G695" t="inlineStr">
        <is>
          <t>EMMABODA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3291-2024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45317</v>
      </c>
      <c r="E696" s="1" t="n">
        <v>46224</v>
      </c>
      <c r="F696" t="inlineStr">
        <is>
          <t>KALMAR LÄN</t>
        </is>
      </c>
      <c r="G696" t="inlineStr">
        <is>
          <t>EMMABODA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39169-2024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45548</v>
      </c>
      <c r="E697" s="1" t="n">
        <v>46224</v>
      </c>
      <c r="F697" t="inlineStr">
        <is>
          <t>KALMAR LÄN</t>
        </is>
      </c>
      <c r="G697" t="inlineStr">
        <is>
          <t>EMMABODA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17527-2024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45415</v>
      </c>
      <c r="E698" s="1" t="n">
        <v>46224</v>
      </c>
      <c r="F698" t="inlineStr">
        <is>
          <t>KALMAR LÄN</t>
        </is>
      </c>
      <c r="G698" t="inlineStr">
        <is>
          <t>EMMABODA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59413-2024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45638</v>
      </c>
      <c r="E699" s="1" t="n">
        <v>46224</v>
      </c>
      <c r="F699" t="inlineStr">
        <is>
          <t>KALMAR LÄN</t>
        </is>
      </c>
      <c r="G699" t="inlineStr">
        <is>
          <t>EMMABODA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42448-2024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45565</v>
      </c>
      <c r="E700" s="1" t="n">
        <v>46224</v>
      </c>
      <c r="F700" t="inlineStr">
        <is>
          <t>KALMAR LÄN</t>
        </is>
      </c>
      <c r="G700" t="inlineStr">
        <is>
          <t>EMMABODA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13148-2024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45386</v>
      </c>
      <c r="E701" s="1" t="n">
        <v>46224</v>
      </c>
      <c r="F701" t="inlineStr">
        <is>
          <t>KALMAR LÄN</t>
        </is>
      </c>
      <c r="G701" t="inlineStr">
        <is>
          <t>EMMABODA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7596-2021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44476</v>
      </c>
      <c r="E702" s="1" t="n">
        <v>46224</v>
      </c>
      <c r="F702" t="inlineStr">
        <is>
          <t>KALMAR LÄN</t>
        </is>
      </c>
      <c r="G702" t="inlineStr">
        <is>
          <t>EMMABODA</t>
        </is>
      </c>
      <c r="I702" t="n">
        <v>35.3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3248-2023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46224</v>
      </c>
      <c r="F703" t="inlineStr">
        <is>
          <t>KALMAR LÄN</t>
        </is>
      </c>
      <c r="G703" t="inlineStr">
        <is>
          <t>EMMABODA</t>
        </is>
      </c>
      <c r="I703" t="n">
        <v>30.4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7095-2021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44462</v>
      </c>
      <c r="E704" s="1" t="n">
        <v>46224</v>
      </c>
      <c r="F704" t="inlineStr">
        <is>
          <t>KALMAR LÄN</t>
        </is>
      </c>
      <c r="G704" t="inlineStr">
        <is>
          <t>EMMABODA</t>
        </is>
      </c>
      <c r="I704" t="n">
        <v>129.3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393-2023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44959</v>
      </c>
      <c r="E705" s="1" t="n">
        <v>46224</v>
      </c>
      <c r="F705" t="inlineStr">
        <is>
          <t>KALMAR LÄN</t>
        </is>
      </c>
      <c r="G705" t="inlineStr">
        <is>
          <t>EMMABODA</t>
        </is>
      </c>
      <c r="I705" t="n">
        <v>14.2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3275-2023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45194</v>
      </c>
      <c r="E706" s="1" t="n">
        <v>46224</v>
      </c>
      <c r="F706" t="inlineStr">
        <is>
          <t>KALMAR LÄN</t>
        </is>
      </c>
      <c r="G706" t="inlineStr">
        <is>
          <t>EMMABODA</t>
        </is>
      </c>
      <c r="I706" t="n">
        <v>18.8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916-2024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46224</v>
      </c>
      <c r="F707" t="inlineStr">
        <is>
          <t>KALMAR LÄN</t>
        </is>
      </c>
      <c r="G707" t="inlineStr">
        <is>
          <t>EMMABODA</t>
        </is>
      </c>
      <c r="I707" t="n">
        <v>34.2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1064-2024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46224</v>
      </c>
      <c r="F708" t="inlineStr">
        <is>
          <t>KALMAR LÄN</t>
        </is>
      </c>
      <c r="G708" t="inlineStr">
        <is>
          <t>EMMABODA</t>
        </is>
      </c>
      <c r="I708" t="n">
        <v>14.4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7020-2022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44903</v>
      </c>
      <c r="E709" s="1" t="n">
        <v>46224</v>
      </c>
      <c r="F709" t="inlineStr">
        <is>
          <t>KALMAR LÄN</t>
        </is>
      </c>
      <c r="G709" t="inlineStr">
        <is>
          <t>EMMABODA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6951-2022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46224</v>
      </c>
      <c r="F710" t="inlineStr">
        <is>
          <t>KALMAR LÄN</t>
        </is>
      </c>
      <c r="G710" t="inlineStr">
        <is>
          <t>EMMABODA</t>
        </is>
      </c>
      <c r="I710" t="n">
        <v>16.2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5811-2022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44852</v>
      </c>
      <c r="E711" s="1" t="n">
        <v>46224</v>
      </c>
      <c r="F711" t="inlineStr">
        <is>
          <t>KALMAR LÄN</t>
        </is>
      </c>
      <c r="G711" t="inlineStr">
        <is>
          <t>EMMABODA</t>
        </is>
      </c>
      <c r="I711" t="n">
        <v>20.2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3326-2023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46224</v>
      </c>
      <c r="F712" t="inlineStr">
        <is>
          <t>KALMAR LÄN</t>
        </is>
      </c>
      <c r="G712" t="inlineStr">
        <is>
          <t>EMMABODA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3397-2024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45534</v>
      </c>
      <c r="E713" s="1" t="n">
        <v>46224</v>
      </c>
      <c r="F713" t="inlineStr">
        <is>
          <t>KALMAR LÄN</t>
        </is>
      </c>
      <c r="G713" t="inlineStr">
        <is>
          <t>EMMABODA</t>
        </is>
      </c>
      <c r="I713" t="n">
        <v>49.9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3244-2023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45191</v>
      </c>
      <c r="E714" s="1" t="n">
        <v>46224</v>
      </c>
      <c r="F714" t="inlineStr">
        <is>
          <t>KALMAR LÄN</t>
        </is>
      </c>
      <c r="G714" t="inlineStr">
        <is>
          <t>EMMABODA</t>
        </is>
      </c>
      <c r="I714" t="n">
        <v>86.2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1011-2024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45386</v>
      </c>
      <c r="E715" s="1" t="n">
        <v>46224</v>
      </c>
      <c r="F715" t="inlineStr">
        <is>
          <t>KALMAR LÄN</t>
        </is>
      </c>
      <c r="G715" t="inlineStr">
        <is>
          <t>EMMABODA</t>
        </is>
      </c>
      <c r="I715" t="n">
        <v>25.2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4594-2023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45287</v>
      </c>
      <c r="E716" s="1" t="n">
        <v>46224</v>
      </c>
      <c r="F716" t="inlineStr">
        <is>
          <t>KALMAR LÄN</t>
        </is>
      </c>
      <c r="G716" t="inlineStr">
        <is>
          <t>EMMABODA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1017-2024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46224</v>
      </c>
      <c r="F717" t="inlineStr">
        <is>
          <t>KALMAR LÄN</t>
        </is>
      </c>
      <c r="G717" t="inlineStr">
        <is>
          <t>EMMABODA</t>
        </is>
      </c>
      <c r="I717" t="n">
        <v>70.90000000000001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1014-2024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46224</v>
      </c>
      <c r="F718" t="inlineStr">
        <is>
          <t>KALMAR LÄN</t>
        </is>
      </c>
      <c r="G718" t="inlineStr">
        <is>
          <t>EMMABODA</t>
        </is>
      </c>
      <c r="I718" t="n">
        <v>21.8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4430-2021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44399</v>
      </c>
      <c r="E719" s="1" t="n">
        <v>46224</v>
      </c>
      <c r="F719" t="inlineStr">
        <is>
          <t>KALMAR LÄN</t>
        </is>
      </c>
      <c r="G719" t="inlineStr">
        <is>
          <t>EMMABODA</t>
        </is>
      </c>
      <c r="I719" t="n">
        <v>96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1018-2024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45386</v>
      </c>
      <c r="E720" s="1" t="n">
        <v>46224</v>
      </c>
      <c r="F720" t="inlineStr">
        <is>
          <t>KALMAR LÄN</t>
        </is>
      </c>
      <c r="G720" t="inlineStr">
        <is>
          <t>EMMABODA</t>
        </is>
      </c>
      <c r="I720" t="n">
        <v>17.9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6935-2021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44460</v>
      </c>
      <c r="E721" s="1" t="n">
        <v>46224</v>
      </c>
      <c r="F721" t="inlineStr">
        <is>
          <t>KALMAR LÄN</t>
        </is>
      </c>
      <c r="G721" t="inlineStr">
        <is>
          <t>EMMABODA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1028-2024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45387</v>
      </c>
      <c r="E722" s="1" t="n">
        <v>46224</v>
      </c>
      <c r="F722" t="inlineStr">
        <is>
          <t>KALMAR LÄN</t>
        </is>
      </c>
      <c r="G722" t="inlineStr">
        <is>
          <t>EMMABODA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9363-2021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44519</v>
      </c>
      <c r="E723" s="1" t="n">
        <v>46224</v>
      </c>
      <c r="F723" t="inlineStr">
        <is>
          <t>KALMAR LÄN</t>
        </is>
      </c>
      <c r="G723" t="inlineStr">
        <is>
          <t>EMMABODA</t>
        </is>
      </c>
      <c r="I723" t="n">
        <v>9.199999999999999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3393-2024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45534</v>
      </c>
      <c r="E724" s="1" t="n">
        <v>46224</v>
      </c>
      <c r="F724" t="inlineStr">
        <is>
          <t>KALMAR LÄN</t>
        </is>
      </c>
      <c r="G724" t="inlineStr">
        <is>
          <t>EMMABODA</t>
        </is>
      </c>
      <c r="I724" t="n">
        <v>48.6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918-2024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46224</v>
      </c>
      <c r="F725" t="inlineStr">
        <is>
          <t>KALMAR LÄN</t>
        </is>
      </c>
      <c r="G725" t="inlineStr">
        <is>
          <t>EMMABODA</t>
        </is>
      </c>
      <c r="I725" t="n">
        <v>30.6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4432-2021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44399</v>
      </c>
      <c r="E726" s="1" t="n">
        <v>46224</v>
      </c>
      <c r="F726" t="inlineStr">
        <is>
          <t>KALMAR LÄN</t>
        </is>
      </c>
      <c r="G726" t="inlineStr">
        <is>
          <t>EMMABODA</t>
        </is>
      </c>
      <c r="I726" t="n">
        <v>51.9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66-2023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44928</v>
      </c>
      <c r="E727" s="1" t="n">
        <v>46224</v>
      </c>
      <c r="F727" t="inlineStr">
        <is>
          <t>KALMAR LÄN</t>
        </is>
      </c>
      <c r="G727" t="inlineStr">
        <is>
          <t>EMMABODA</t>
        </is>
      </c>
      <c r="I727" t="n">
        <v>29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921-2024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45377</v>
      </c>
      <c r="E728" s="1" t="n">
        <v>46224</v>
      </c>
      <c r="F728" t="inlineStr">
        <is>
          <t>KALMAR LÄN</t>
        </is>
      </c>
      <c r="G728" t="inlineStr">
        <is>
          <t>EMMABODA</t>
        </is>
      </c>
      <c r="I728" t="n">
        <v>15.6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9386-2021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44519</v>
      </c>
      <c r="E729" s="1" t="n">
        <v>46224</v>
      </c>
      <c r="F729" t="inlineStr">
        <is>
          <t>KALMAR LÄN</t>
        </is>
      </c>
      <c r="G729" t="inlineStr">
        <is>
          <t>EMMABODA</t>
        </is>
      </c>
      <c r="I729" t="n">
        <v>18.7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3325-2023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45200</v>
      </c>
      <c r="E730" s="1" t="n">
        <v>46224</v>
      </c>
      <c r="F730" t="inlineStr">
        <is>
          <t>KALMAR LÄN</t>
        </is>
      </c>
      <c r="G730" t="inlineStr">
        <is>
          <t>EMMABODA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6949-2022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44900</v>
      </c>
      <c r="E731" s="1" t="n">
        <v>46224</v>
      </c>
      <c r="F731" t="inlineStr">
        <is>
          <t>KALMAR LÄN</t>
        </is>
      </c>
      <c r="G731" t="inlineStr">
        <is>
          <t>EMMABODA</t>
        </is>
      </c>
      <c r="I731" t="n">
        <v>11.9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361-2024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45330</v>
      </c>
      <c r="E732" s="1" t="n">
        <v>46224</v>
      </c>
      <c r="F732" t="inlineStr">
        <is>
          <t>KALMAR LÄN</t>
        </is>
      </c>
      <c r="G732" t="inlineStr">
        <is>
          <t>EMMABODA</t>
        </is>
      </c>
      <c r="I732" t="n">
        <v>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388-2023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44959</v>
      </c>
      <c r="E733" s="1" t="n">
        <v>46224</v>
      </c>
      <c r="F733" t="inlineStr">
        <is>
          <t>KALMAR LÄN</t>
        </is>
      </c>
      <c r="G733" t="inlineStr">
        <is>
          <t>EMMABODA</t>
        </is>
      </c>
      <c r="I733" t="n">
        <v>13.7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919-2024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45348</v>
      </c>
      <c r="E734" s="1" t="n">
        <v>46224</v>
      </c>
      <c r="F734" t="inlineStr">
        <is>
          <t>KALMAR LÄN</t>
        </is>
      </c>
      <c r="G734" t="inlineStr">
        <is>
          <t>EMMABODA</t>
        </is>
      </c>
      <c r="I734" t="n">
        <v>12.3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1775-2025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45813</v>
      </c>
      <c r="E735" s="1" t="n">
        <v>46224</v>
      </c>
      <c r="F735" t="inlineStr">
        <is>
          <t>KALMAR LÄN</t>
        </is>
      </c>
      <c r="G735" t="inlineStr">
        <is>
          <t>EMMABODA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1774-2025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46224</v>
      </c>
      <c r="F736" t="inlineStr">
        <is>
          <t>KALMAR LÄN</t>
        </is>
      </c>
      <c r="G736" t="inlineStr">
        <is>
          <t>EMMABODA</t>
        </is>
      </c>
      <c r="I736" t="n">
        <v>21.5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2164-2025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45849</v>
      </c>
      <c r="E737" s="1" t="n">
        <v>46224</v>
      </c>
      <c r="F737" t="inlineStr">
        <is>
          <t>KALMAR LÄN</t>
        </is>
      </c>
      <c r="G737" t="inlineStr">
        <is>
          <t>EMMABODA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2433-2025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45898</v>
      </c>
      <c r="E738" s="1" t="n">
        <v>46224</v>
      </c>
      <c r="F738" t="inlineStr">
        <is>
          <t>KALMAR LÄN</t>
        </is>
      </c>
      <c r="G738" t="inlineStr">
        <is>
          <t>EMMABODA</t>
        </is>
      </c>
      <c r="I738" t="n">
        <v>16.5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2757-2025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45935</v>
      </c>
      <c r="E739" s="1" t="n">
        <v>46224</v>
      </c>
      <c r="F739" t="inlineStr">
        <is>
          <t>KALMAR LÄN</t>
        </is>
      </c>
      <c r="G739" t="inlineStr">
        <is>
          <t>EMMABODA</t>
        </is>
      </c>
      <c r="I739" t="n">
        <v>17.8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3189-2025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45978</v>
      </c>
      <c r="E740" s="1" t="n">
        <v>46224</v>
      </c>
      <c r="F740" t="inlineStr">
        <is>
          <t>KALMAR LÄN</t>
        </is>
      </c>
      <c r="G740" t="inlineStr">
        <is>
          <t>EMMABODA</t>
        </is>
      </c>
      <c r="I740" t="n">
        <v>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46034</v>
      </c>
      <c r="E741" s="1" t="n">
        <v>46224</v>
      </c>
      <c r="F741" t="inlineStr">
        <is>
          <t>KALMAR LÄN</t>
        </is>
      </c>
      <c r="G741" t="inlineStr">
        <is>
          <t>EMMABODA</t>
        </is>
      </c>
      <c r="I741" t="n">
        <v>47.8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193-2026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46049</v>
      </c>
      <c r="E742" s="1" t="n">
        <v>46224</v>
      </c>
      <c r="F742" t="inlineStr">
        <is>
          <t>KALMAR LÄN</t>
        </is>
      </c>
      <c r="G742" t="inlineStr">
        <is>
          <t>EMMABODA</t>
        </is>
      </c>
      <c r="I742" t="n">
        <v>12.9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194-2026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46224</v>
      </c>
      <c r="F743" t="inlineStr">
        <is>
          <t>KALMAR LÄN</t>
        </is>
      </c>
      <c r="G743" t="inlineStr">
        <is>
          <t>EMMABODA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374-2026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46065</v>
      </c>
      <c r="E744" s="1" t="n">
        <v>46224</v>
      </c>
      <c r="F744" t="inlineStr">
        <is>
          <t>KALMAR LÄN</t>
        </is>
      </c>
      <c r="G744" t="inlineStr">
        <is>
          <t>EMMABODA</t>
        </is>
      </c>
      <c r="I744" t="n">
        <v>22.4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700-2026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46092</v>
      </c>
      <c r="E745" s="1" t="n">
        <v>46224</v>
      </c>
      <c r="F745" t="inlineStr">
        <is>
          <t>KALMAR LÄN</t>
        </is>
      </c>
      <c r="G745" t="inlineStr">
        <is>
          <t>EMMABODA</t>
        </is>
      </c>
      <c r="I745" t="n">
        <v>22.1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337-2026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46062</v>
      </c>
      <c r="E746" s="1" t="n">
        <v>46224</v>
      </c>
      <c r="F746" t="inlineStr">
        <is>
          <t>KALMAR LÄN</t>
        </is>
      </c>
      <c r="G746" t="inlineStr">
        <is>
          <t>EMMABODA</t>
        </is>
      </c>
      <c r="I746" t="n">
        <v>38.4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978-2026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46119</v>
      </c>
      <c r="E747" s="1" t="n">
        <v>46224</v>
      </c>
      <c r="F747" t="inlineStr">
        <is>
          <t>KALMAR LÄN</t>
        </is>
      </c>
      <c r="G747" t="inlineStr">
        <is>
          <t>EMMABODA</t>
        </is>
      </c>
      <c r="I747" t="n">
        <v>14.1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988-2026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46224</v>
      </c>
      <c r="F748" t="inlineStr">
        <is>
          <t>KALMAR LÄN</t>
        </is>
      </c>
      <c r="G748" t="inlineStr">
        <is>
          <t>EMMABODA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1058-2026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46127</v>
      </c>
      <c r="E749" s="1" t="n">
        <v>46224</v>
      </c>
      <c r="F749" t="inlineStr">
        <is>
          <t>KALMAR LÄN</t>
        </is>
      </c>
      <c r="G749" t="inlineStr">
        <is>
          <t>EMMABODA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46224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1771-2026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46191</v>
      </c>
      <c r="E751" s="1" t="n">
        <v>46224</v>
      </c>
      <c r="F751" t="inlineStr">
        <is>
          <t>KALMAR LÄN</t>
        </is>
      </c>
      <c r="G751" t="inlineStr">
        <is>
          <t>EMMABODA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1527-2026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46167</v>
      </c>
      <c r="E752" s="1" t="n">
        <v>46224</v>
      </c>
      <c r="F752" t="inlineStr">
        <is>
          <t>KALMAR LÄN</t>
        </is>
      </c>
      <c r="G752" t="inlineStr">
        <is>
          <t>EMMABODA</t>
        </is>
      </c>
      <c r="I752" t="n">
        <v>12.7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1430-2026</t>
        </is>
      </c>
      <c r="B753" t="inlineStr">
        <is>
          <t>samrådsanmälan</t>
        </is>
      </c>
      <c r="C753" t="inlineStr">
        <is>
          <t>Skogsgödsling</t>
        </is>
      </c>
      <c r="D753" s="1" t="n">
        <v>46156</v>
      </c>
      <c r="E753" s="1" t="n">
        <v>46224</v>
      </c>
      <c r="F753" t="inlineStr">
        <is>
          <t>KALMAR LÄN</t>
        </is>
      </c>
      <c r="G753" t="inlineStr">
        <is>
          <t>EMMABODA</t>
        </is>
      </c>
      <c r="I753" t="n">
        <v>17.1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2026-07-21T01:40:15Z</dcterms:created>
  <dcterms:modified xmlns:dcterms="http://purl.org/dc/terms/" xmlns:xsi="http://www.w3.org/2001/XMLSchema-instance" xsi:type="dcterms:W3CDTF">2026-07-21T01:40:16Z</dcterms:modified>
</cp:coreProperties>
</file>