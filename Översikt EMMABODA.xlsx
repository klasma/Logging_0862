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45799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45799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45799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45799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51594-2023</t>
        </is>
      </c>
      <c r="B6" s="1" t="n">
        <v>45222</v>
      </c>
      <c r="C6" s="1" t="n">
        <v>45799</v>
      </c>
      <c r="D6" t="inlineStr">
        <is>
          <t>KALMAR LÄN</t>
        </is>
      </c>
      <c r="E6" t="inlineStr">
        <is>
          <t>EMMABODA</t>
        </is>
      </c>
      <c r="G6" t="n">
        <v>3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Stenfalk
Talltita</t>
        </is>
      </c>
      <c r="S6">
        <f>HYPERLINK("https://klasma.github.io/Logging_0862/artfynd/A 51594-2023 artfynd.xlsx", "A 51594-2023")</f>
        <v/>
      </c>
      <c r="T6">
        <f>HYPERLINK("https://klasma.github.io/Logging_0862/kartor/A 51594-2023 karta.png", "A 51594-2023")</f>
        <v/>
      </c>
      <c r="V6">
        <f>HYPERLINK("https://klasma.github.io/Logging_0862/klagomål/A 51594-2023 FSC-klagomål.docx", "A 51594-2023")</f>
        <v/>
      </c>
      <c r="W6">
        <f>HYPERLINK("https://klasma.github.io/Logging_0862/klagomålsmail/A 51594-2023 FSC-klagomål mail.docx", "A 51594-2023")</f>
        <v/>
      </c>
      <c r="X6">
        <f>HYPERLINK("https://klasma.github.io/Logging_0862/tillsyn/A 51594-2023 tillsynsbegäran.docx", "A 51594-2023")</f>
        <v/>
      </c>
      <c r="Y6">
        <f>HYPERLINK("https://klasma.github.io/Logging_0862/tillsynsmail/A 51594-2023 tillsynsbegäran mail.docx", "A 51594-2023")</f>
        <v/>
      </c>
      <c r="Z6">
        <f>HYPERLINK("https://klasma.github.io/Logging_0862/fåglar/A 51594-2023 prioriterade fågelarter.docx", "A 51594-2023")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45799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12086-2024</t>
        </is>
      </c>
      <c r="B8" s="1" t="n">
        <v>45377</v>
      </c>
      <c r="C8" s="1" t="n">
        <v>45799</v>
      </c>
      <c r="D8" t="inlineStr">
        <is>
          <t>KALMAR LÄN</t>
        </is>
      </c>
      <c r="E8" t="inlineStr">
        <is>
          <t>EMMABODA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HYPERLINK("https://klasma.github.io/Logging_0862/artfynd/A 12086-2024 artfynd.xlsx", "A 12086-2024")</f>
        <v/>
      </c>
      <c r="T8">
        <f>HYPERLINK("https://klasma.github.io/Logging_0862/kartor/A 12086-2024 karta.png", "A 12086-2024")</f>
        <v/>
      </c>
      <c r="V8">
        <f>HYPERLINK("https://klasma.github.io/Logging_0862/klagomål/A 12086-2024 FSC-klagomål.docx", "A 12086-2024")</f>
        <v/>
      </c>
      <c r="W8">
        <f>HYPERLINK("https://klasma.github.io/Logging_0862/klagomålsmail/A 12086-2024 FSC-klagomål mail.docx", "A 12086-2024")</f>
        <v/>
      </c>
      <c r="X8">
        <f>HYPERLINK("https://klasma.github.io/Logging_0862/tillsyn/A 12086-2024 tillsynsbegäran.docx", "A 12086-2024")</f>
        <v/>
      </c>
      <c r="Y8">
        <f>HYPERLINK("https://klasma.github.io/Logging_0862/tillsynsmail/A 12086-2024 tillsynsbegäran mail.docx", "A 12086-2024")</f>
        <v/>
      </c>
    </row>
    <row r="9" ht="15" customHeight="1">
      <c r="A9" t="inlineStr">
        <is>
          <t>A 61674-2019</t>
        </is>
      </c>
      <c r="B9" s="1" t="n">
        <v>43784</v>
      </c>
      <c r="C9" s="1" t="n">
        <v>45799</v>
      </c>
      <c r="D9" t="inlineStr">
        <is>
          <t>KALMAR LÄN</t>
        </is>
      </c>
      <c r="E9" t="inlineStr">
        <is>
          <t>EMMABODA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Skogsduva</t>
        </is>
      </c>
      <c r="S9">
        <f>HYPERLINK("https://klasma.github.io/Logging_0862/artfynd/A 61674-2019 artfynd.xlsx", "A 61674-2019")</f>
        <v/>
      </c>
      <c r="T9">
        <f>HYPERLINK("https://klasma.github.io/Logging_0862/kartor/A 61674-2019 karta.png", "A 61674-2019")</f>
        <v/>
      </c>
      <c r="V9">
        <f>HYPERLINK("https://klasma.github.io/Logging_0862/klagomål/A 61674-2019 FSC-klagomål.docx", "A 61674-2019")</f>
        <v/>
      </c>
      <c r="W9">
        <f>HYPERLINK("https://klasma.github.io/Logging_0862/klagomålsmail/A 61674-2019 FSC-klagomål mail.docx", "A 61674-2019")</f>
        <v/>
      </c>
      <c r="X9">
        <f>HYPERLINK("https://klasma.github.io/Logging_0862/tillsyn/A 61674-2019 tillsynsbegäran.docx", "A 61674-2019")</f>
        <v/>
      </c>
      <c r="Y9">
        <f>HYPERLINK("https://klasma.github.io/Logging_0862/tillsynsmail/A 61674-2019 tillsynsbegäran mail.docx", "A 61674-2019")</f>
        <v/>
      </c>
      <c r="Z9">
        <f>HYPERLINK("https://klasma.github.io/Logging_0862/fåglar/A 61674-2019 prioriterade fågelarter.docx", "A 61674-2019")</f>
        <v/>
      </c>
    </row>
    <row r="10" ht="15" customHeight="1">
      <c r="A10" t="inlineStr">
        <is>
          <t>A 37170-2020</t>
        </is>
      </c>
      <c r="B10" s="1" t="n">
        <v>44054</v>
      </c>
      <c r="C10" s="1" t="n">
        <v>45799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HYPERLINK("https://klasma.github.io/Logging_0862/artfynd/A 37170-2020 artfynd.xlsx", "A 37170-2020")</f>
        <v/>
      </c>
      <c r="T10">
        <f>HYPERLINK("https://klasma.github.io/Logging_0862/kartor/A 37170-2020 karta.png", "A 37170-2020")</f>
        <v/>
      </c>
      <c r="V10">
        <f>HYPERLINK("https://klasma.github.io/Logging_0862/klagomål/A 37170-2020 FSC-klagomål.docx", "A 37170-2020")</f>
        <v/>
      </c>
      <c r="W10">
        <f>HYPERLINK("https://klasma.github.io/Logging_0862/klagomålsmail/A 37170-2020 FSC-klagomål mail.docx", "A 37170-2020")</f>
        <v/>
      </c>
      <c r="X10">
        <f>HYPERLINK("https://klasma.github.io/Logging_0862/tillsyn/A 37170-2020 tillsynsbegäran.docx", "A 37170-2020")</f>
        <v/>
      </c>
      <c r="Y10">
        <f>HYPERLINK("https://klasma.github.io/Logging_0862/tillsynsmail/A 37170-2020 tillsynsbegäran mail.docx", "A 37170-2020")</f>
        <v/>
      </c>
    </row>
    <row r="11" ht="15" customHeight="1">
      <c r="A11" t="inlineStr">
        <is>
          <t>A 52954-2020</t>
        </is>
      </c>
      <c r="B11" s="1" t="n">
        <v>44120</v>
      </c>
      <c r="C11" s="1" t="n">
        <v>45799</v>
      </c>
      <c r="D11" t="inlineStr">
        <is>
          <t>KALMAR LÄN</t>
        </is>
      </c>
      <c r="E11" t="inlineStr">
        <is>
          <t>EMMABODA</t>
        </is>
      </c>
      <c r="F11" t="inlineStr">
        <is>
          <t>Sveaskog</t>
        </is>
      </c>
      <c r="G11" t="n">
        <v>2.2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HYPERLINK("https://klasma.github.io/Logging_0862/artfynd/A 52954-2020 artfynd.xlsx", "A 52954-2020")</f>
        <v/>
      </c>
      <c r="T11">
        <f>HYPERLINK("https://klasma.github.io/Logging_0862/kartor/A 52954-2020 karta.png", "A 52954-2020")</f>
        <v/>
      </c>
      <c r="U11">
        <f>HYPERLINK("https://klasma.github.io/Logging_0862/knärot/A 52954-2020 karta knärot.png", "A 52954-2020")</f>
        <v/>
      </c>
      <c r="V11">
        <f>HYPERLINK("https://klasma.github.io/Logging_0862/klagomål/A 52954-2020 FSC-klagomål.docx", "A 52954-2020")</f>
        <v/>
      </c>
      <c r="W11">
        <f>HYPERLINK("https://klasma.github.io/Logging_0862/klagomålsmail/A 52954-2020 FSC-klagomål mail.docx", "A 52954-2020")</f>
        <v/>
      </c>
      <c r="X11">
        <f>HYPERLINK("https://klasma.github.io/Logging_0862/tillsyn/A 52954-2020 tillsynsbegäran.docx", "A 52954-2020")</f>
        <v/>
      </c>
      <c r="Y11">
        <f>HYPERLINK("https://klasma.github.io/Logging_0862/tillsynsmail/A 52954-2020 tillsynsbegäran mail.docx", "A 52954-2020")</f>
        <v/>
      </c>
    </row>
    <row r="12" ht="15" customHeight="1">
      <c r="A12" t="inlineStr">
        <is>
          <t>A 7490-2021</t>
        </is>
      </c>
      <c r="B12" s="1" t="n">
        <v>44238</v>
      </c>
      <c r="C12" s="1" t="n">
        <v>45799</v>
      </c>
      <c r="D12" t="inlineStr">
        <is>
          <t>KALMAR LÄN</t>
        </is>
      </c>
      <c r="E12" t="inlineStr">
        <is>
          <t>EMMABODA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HYPERLINK("https://klasma.github.io/Logging_0862/artfynd/A 7490-2021 artfynd.xlsx", "A 7490-2021")</f>
        <v/>
      </c>
      <c r="T12">
        <f>HYPERLINK("https://klasma.github.io/Logging_0862/kartor/A 7490-2021 karta.png", "A 7490-2021")</f>
        <v/>
      </c>
      <c r="V12">
        <f>HYPERLINK("https://klasma.github.io/Logging_0862/klagomål/A 7490-2021 FSC-klagomål.docx", "A 7490-2021")</f>
        <v/>
      </c>
      <c r="W12">
        <f>HYPERLINK("https://klasma.github.io/Logging_0862/klagomålsmail/A 7490-2021 FSC-klagomål mail.docx", "A 7490-2021")</f>
        <v/>
      </c>
      <c r="X12">
        <f>HYPERLINK("https://klasma.github.io/Logging_0862/tillsyn/A 7490-2021 tillsynsbegäran.docx", "A 7490-2021")</f>
        <v/>
      </c>
      <c r="Y12">
        <f>HYPERLINK("https://klasma.github.io/Logging_0862/tillsynsmail/A 7490-2021 tillsynsbegäran mail.docx", "A 7490-2021")</f>
        <v/>
      </c>
    </row>
    <row r="13" ht="15" customHeight="1">
      <c r="A13" t="inlineStr">
        <is>
          <t>A 46550-2021</t>
        </is>
      </c>
      <c r="B13" s="1" t="n">
        <v>44445</v>
      </c>
      <c r="C13" s="1" t="n">
        <v>45799</v>
      </c>
      <c r="D13" t="inlineStr">
        <is>
          <t>KALMAR LÄN</t>
        </is>
      </c>
      <c r="E13" t="inlineStr">
        <is>
          <t>EMMABODA</t>
        </is>
      </c>
      <c r="G13" t="n">
        <v>3.7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HYPERLINK("https://klasma.github.io/Logging_0862/artfynd/A 46550-2021 artfynd.xlsx", "A 46550-2021")</f>
        <v/>
      </c>
      <c r="T13">
        <f>HYPERLINK("https://klasma.github.io/Logging_0862/kartor/A 46550-2021 karta.png", "A 46550-2021")</f>
        <v/>
      </c>
      <c r="V13">
        <f>HYPERLINK("https://klasma.github.io/Logging_0862/klagomål/A 46550-2021 FSC-klagomål.docx", "A 46550-2021")</f>
        <v/>
      </c>
      <c r="W13">
        <f>HYPERLINK("https://klasma.github.io/Logging_0862/klagomålsmail/A 46550-2021 FSC-klagomål mail.docx", "A 46550-2021")</f>
        <v/>
      </c>
      <c r="X13">
        <f>HYPERLINK("https://klasma.github.io/Logging_0862/tillsyn/A 46550-2021 tillsynsbegäran.docx", "A 46550-2021")</f>
        <v/>
      </c>
      <c r="Y13">
        <f>HYPERLINK("https://klasma.github.io/Logging_0862/tillsynsmail/A 46550-2021 tillsynsbegäran mail.docx", "A 46550-2021")</f>
        <v/>
      </c>
    </row>
    <row r="14" ht="15" customHeight="1">
      <c r="A14" t="inlineStr">
        <is>
          <t>A 58297-2021</t>
        </is>
      </c>
      <c r="B14" s="1" t="n">
        <v>44488</v>
      </c>
      <c r="C14" s="1" t="n">
        <v>45799</v>
      </c>
      <c r="D14" t="inlineStr">
        <is>
          <t>KALMAR LÄN</t>
        </is>
      </c>
      <c r="E14" t="inlineStr">
        <is>
          <t>EMMABODA</t>
        </is>
      </c>
      <c r="F14" t="inlineStr">
        <is>
          <t>Kommuner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Åkerkål</t>
        </is>
      </c>
      <c r="S14">
        <f>HYPERLINK("https://klasma.github.io/Logging_0862/artfynd/A 58297-2021 artfynd.xlsx", "A 58297-2021")</f>
        <v/>
      </c>
      <c r="T14">
        <f>HYPERLINK("https://klasma.github.io/Logging_0862/kartor/A 58297-2021 karta.png", "A 58297-2021")</f>
        <v/>
      </c>
      <c r="V14">
        <f>HYPERLINK("https://klasma.github.io/Logging_0862/klagomål/A 58297-2021 FSC-klagomål.docx", "A 58297-2021")</f>
        <v/>
      </c>
      <c r="W14">
        <f>HYPERLINK("https://klasma.github.io/Logging_0862/klagomålsmail/A 58297-2021 FSC-klagomål mail.docx", "A 58297-2021")</f>
        <v/>
      </c>
      <c r="X14">
        <f>HYPERLINK("https://klasma.github.io/Logging_0862/tillsyn/A 58297-2021 tillsynsbegäran.docx", "A 58297-2021")</f>
        <v/>
      </c>
      <c r="Y14">
        <f>HYPERLINK("https://klasma.github.io/Logging_0862/tillsynsmail/A 58297-2021 tillsynsbegäran mail.docx", "A 58297-2021")</f>
        <v/>
      </c>
    </row>
    <row r="15" ht="15" customHeight="1">
      <c r="A15" t="inlineStr">
        <is>
          <t>A 60257-2021</t>
        </is>
      </c>
      <c r="B15" s="1" t="n">
        <v>44495</v>
      </c>
      <c r="C15" s="1" t="n">
        <v>45799</v>
      </c>
      <c r="D15" t="inlineStr">
        <is>
          <t>KALMAR LÄN</t>
        </is>
      </c>
      <c r="E15" t="inlineStr">
        <is>
          <t>EMMABODA</t>
        </is>
      </c>
      <c r="G15" t="n">
        <v>0.7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HYPERLINK("https://klasma.github.io/Logging_0862/artfynd/A 60257-2021 artfynd.xlsx", "A 60257-2021")</f>
        <v/>
      </c>
      <c r="T15">
        <f>HYPERLINK("https://klasma.github.io/Logging_0862/kartor/A 60257-2021 karta.png", "A 60257-2021")</f>
        <v/>
      </c>
      <c r="U15">
        <f>HYPERLINK("https://klasma.github.io/Logging_0862/knärot/A 60257-2021 karta knärot.png", "A 60257-2021")</f>
        <v/>
      </c>
      <c r="V15">
        <f>HYPERLINK("https://klasma.github.io/Logging_0862/klagomål/A 60257-2021 FSC-klagomål.docx", "A 60257-2021")</f>
        <v/>
      </c>
      <c r="W15">
        <f>HYPERLINK("https://klasma.github.io/Logging_0862/klagomålsmail/A 60257-2021 FSC-klagomål mail.docx", "A 60257-2021")</f>
        <v/>
      </c>
      <c r="X15">
        <f>HYPERLINK("https://klasma.github.io/Logging_0862/tillsyn/A 60257-2021 tillsynsbegäran.docx", "A 60257-2021")</f>
        <v/>
      </c>
      <c r="Y15">
        <f>HYPERLINK("https://klasma.github.io/Logging_0862/tillsynsmail/A 60257-2021 tillsynsbegäran mail.docx", "A 60257-2021")</f>
        <v/>
      </c>
    </row>
    <row r="16" ht="15" customHeight="1">
      <c r="A16" t="inlineStr">
        <is>
          <t>A 770-2022</t>
        </is>
      </c>
      <c r="B16" s="1" t="n">
        <v>44570</v>
      </c>
      <c r="C16" s="1" t="n">
        <v>45799</v>
      </c>
      <c r="D16" t="inlineStr">
        <is>
          <t>KALMAR LÄN</t>
        </is>
      </c>
      <c r="E16" t="inlineStr">
        <is>
          <t>EMMABODA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HYPERLINK("https://klasma.github.io/Logging_0862/artfynd/A 770-2022 artfynd.xlsx", "A 770-2022")</f>
        <v/>
      </c>
      <c r="T16">
        <f>HYPERLINK("https://klasma.github.io/Logging_0862/kartor/A 770-2022 karta.png", "A 770-2022")</f>
        <v/>
      </c>
      <c r="V16">
        <f>HYPERLINK("https://klasma.github.io/Logging_0862/klagomål/A 770-2022 FSC-klagomål.docx", "A 770-2022")</f>
        <v/>
      </c>
      <c r="W16">
        <f>HYPERLINK("https://klasma.github.io/Logging_0862/klagomålsmail/A 770-2022 FSC-klagomål mail.docx", "A 770-2022")</f>
        <v/>
      </c>
      <c r="X16">
        <f>HYPERLINK("https://klasma.github.io/Logging_0862/tillsyn/A 770-2022 tillsynsbegäran.docx", "A 770-2022")</f>
        <v/>
      </c>
      <c r="Y16">
        <f>HYPERLINK("https://klasma.github.io/Logging_0862/tillsynsmail/A 770-2022 tillsynsbegäran mail.docx", "A 770-2022")</f>
        <v/>
      </c>
    </row>
    <row r="17" ht="15" customHeight="1">
      <c r="A17" t="inlineStr">
        <is>
          <t>A 30597-2022</t>
        </is>
      </c>
      <c r="B17" s="1" t="n">
        <v>44762</v>
      </c>
      <c r="C17" s="1" t="n">
        <v>45799</v>
      </c>
      <c r="D17" t="inlineStr">
        <is>
          <t>KALMAR LÄN</t>
        </is>
      </c>
      <c r="E17" t="inlineStr">
        <is>
          <t>EMMABODA</t>
        </is>
      </c>
      <c r="G17" t="n">
        <v>0.9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HYPERLINK("https://klasma.github.io/Logging_0862/artfynd/A 30597-2022 artfynd.xlsx", "A 30597-2022")</f>
        <v/>
      </c>
      <c r="T17">
        <f>HYPERLINK("https://klasma.github.io/Logging_0862/kartor/A 30597-2022 karta.png", "A 30597-2022")</f>
        <v/>
      </c>
      <c r="V17">
        <f>HYPERLINK("https://klasma.github.io/Logging_0862/klagomål/A 30597-2022 FSC-klagomål.docx", "A 30597-2022")</f>
        <v/>
      </c>
      <c r="W17">
        <f>HYPERLINK("https://klasma.github.io/Logging_0862/klagomålsmail/A 30597-2022 FSC-klagomål mail.docx", "A 30597-2022")</f>
        <v/>
      </c>
      <c r="X17">
        <f>HYPERLINK("https://klasma.github.io/Logging_0862/tillsyn/A 30597-2022 tillsynsbegäran.docx", "A 30597-2022")</f>
        <v/>
      </c>
      <c r="Y17">
        <f>HYPERLINK("https://klasma.github.io/Logging_0862/tillsynsmail/A 30597-2022 tillsynsbegäran mail.docx", "A 30597-2022")</f>
        <v/>
      </c>
    </row>
    <row r="18" ht="15" customHeight="1">
      <c r="A18" t="inlineStr">
        <is>
          <t>A 6612-2023</t>
        </is>
      </c>
      <c r="B18" s="1" t="n">
        <v>44966</v>
      </c>
      <c r="C18" s="1" t="n">
        <v>45799</v>
      </c>
      <c r="D18" t="inlineStr">
        <is>
          <t>KALMAR LÄN</t>
        </is>
      </c>
      <c r="E18" t="inlineStr">
        <is>
          <t>EMMABODA</t>
        </is>
      </c>
      <c r="G18" t="n">
        <v>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HYPERLINK("https://klasma.github.io/Logging_0862/artfynd/A 6612-2023 artfynd.xlsx", "A 6612-2023")</f>
        <v/>
      </c>
      <c r="T18">
        <f>HYPERLINK("https://klasma.github.io/Logging_0862/kartor/A 6612-2023 karta.png", "A 6612-2023")</f>
        <v/>
      </c>
      <c r="V18">
        <f>HYPERLINK("https://klasma.github.io/Logging_0862/klagomål/A 6612-2023 FSC-klagomål.docx", "A 6612-2023")</f>
        <v/>
      </c>
      <c r="W18">
        <f>HYPERLINK("https://klasma.github.io/Logging_0862/klagomålsmail/A 6612-2023 FSC-klagomål mail.docx", "A 6612-2023")</f>
        <v/>
      </c>
      <c r="X18">
        <f>HYPERLINK("https://klasma.github.io/Logging_0862/tillsyn/A 6612-2023 tillsynsbegäran.docx", "A 6612-2023")</f>
        <v/>
      </c>
      <c r="Y18">
        <f>HYPERLINK("https://klasma.github.io/Logging_0862/tillsynsmail/A 6612-2023 tillsynsbegäran mail.docx", "A 6612-2023")</f>
        <v/>
      </c>
    </row>
    <row r="19" ht="15" customHeight="1">
      <c r="A19" t="inlineStr">
        <is>
          <t>A 9633-2023</t>
        </is>
      </c>
      <c r="B19" s="1" t="n">
        <v>44984</v>
      </c>
      <c r="C19" s="1" t="n">
        <v>45799</v>
      </c>
      <c r="D19" t="inlineStr">
        <is>
          <t>KALMAR LÄN</t>
        </is>
      </c>
      <c r="E19" t="inlineStr">
        <is>
          <t>EMMABODA</t>
        </is>
      </c>
      <c r="G19" t="n">
        <v>3.5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Småjungfrukam</t>
        </is>
      </c>
      <c r="S19">
        <f>HYPERLINK("https://klasma.github.io/Logging_0862/artfynd/A 9633-2023 artfynd.xlsx", "A 9633-2023")</f>
        <v/>
      </c>
      <c r="T19">
        <f>HYPERLINK("https://klasma.github.io/Logging_0862/kartor/A 9633-2023 karta.png", "A 9633-2023")</f>
        <v/>
      </c>
      <c r="V19">
        <f>HYPERLINK("https://klasma.github.io/Logging_0862/klagomål/A 9633-2023 FSC-klagomål.docx", "A 9633-2023")</f>
        <v/>
      </c>
      <c r="W19">
        <f>HYPERLINK("https://klasma.github.io/Logging_0862/klagomålsmail/A 9633-2023 FSC-klagomål mail.docx", "A 9633-2023")</f>
        <v/>
      </c>
      <c r="X19">
        <f>HYPERLINK("https://klasma.github.io/Logging_0862/tillsyn/A 9633-2023 tillsynsbegäran.docx", "A 9633-2023")</f>
        <v/>
      </c>
      <c r="Y19">
        <f>HYPERLINK("https://klasma.github.io/Logging_0862/tillsynsmail/A 9633-2023 tillsynsbegäran mail.docx", "A 9633-2023")</f>
        <v/>
      </c>
    </row>
    <row r="20" ht="15" customHeight="1">
      <c r="A20" t="inlineStr">
        <is>
          <t>A 21846-2023</t>
        </is>
      </c>
      <c r="B20" s="1" t="n">
        <v>45068</v>
      </c>
      <c r="C20" s="1" t="n">
        <v>45799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21846-2023 artfynd.xlsx", "A 21846-2023")</f>
        <v/>
      </c>
      <c r="T20">
        <f>HYPERLINK("https://klasma.github.io/Logging_0862/kartor/A 21846-2023 karta.png", "A 21846-2023")</f>
        <v/>
      </c>
      <c r="V20">
        <f>HYPERLINK("https://klasma.github.io/Logging_0862/klagomål/A 21846-2023 FSC-klagomål.docx", "A 21846-2023")</f>
        <v/>
      </c>
      <c r="W20">
        <f>HYPERLINK("https://klasma.github.io/Logging_0862/klagomålsmail/A 21846-2023 FSC-klagomål mail.docx", "A 21846-2023")</f>
        <v/>
      </c>
      <c r="X20">
        <f>HYPERLINK("https://klasma.github.io/Logging_0862/tillsyn/A 21846-2023 tillsynsbegäran.docx", "A 21846-2023")</f>
        <v/>
      </c>
      <c r="Y20">
        <f>HYPERLINK("https://klasma.github.io/Logging_0862/tillsynsmail/A 21846-2023 tillsynsbegäran mail.docx", "A 21846-2023")</f>
        <v/>
      </c>
    </row>
    <row r="21" ht="15" customHeight="1">
      <c r="A21" t="inlineStr">
        <is>
          <t>A 38119-2023</t>
        </is>
      </c>
      <c r="B21" s="1" t="n">
        <v>45161</v>
      </c>
      <c r="C21" s="1" t="n">
        <v>45799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38119-2023 artfynd.xlsx", "A 38119-2023")</f>
        <v/>
      </c>
      <c r="T21">
        <f>HYPERLINK("https://klasma.github.io/Logging_0862/kartor/A 38119-2023 karta.png", "A 38119-2023")</f>
        <v/>
      </c>
      <c r="V21">
        <f>HYPERLINK("https://klasma.github.io/Logging_0862/klagomål/A 38119-2023 FSC-klagomål.docx", "A 38119-2023")</f>
        <v/>
      </c>
      <c r="W21">
        <f>HYPERLINK("https://klasma.github.io/Logging_0862/klagomålsmail/A 38119-2023 FSC-klagomål mail.docx", "A 38119-2023")</f>
        <v/>
      </c>
      <c r="X21">
        <f>HYPERLINK("https://klasma.github.io/Logging_0862/tillsyn/A 38119-2023 tillsynsbegäran.docx", "A 38119-2023")</f>
        <v/>
      </c>
      <c r="Y21">
        <f>HYPERLINK("https://klasma.github.io/Logging_0862/tillsynsmail/A 38119-2023 tillsynsbegäran mail.docx", "A 38119-2023")</f>
        <v/>
      </c>
    </row>
    <row r="22" ht="15" customHeight="1">
      <c r="A22" t="inlineStr">
        <is>
          <t>A 38813-2023</t>
        </is>
      </c>
      <c r="B22" s="1" t="n">
        <v>45163</v>
      </c>
      <c r="C22" s="1" t="n">
        <v>45799</v>
      </c>
      <c r="D22" t="inlineStr">
        <is>
          <t>KALMAR LÄN</t>
        </is>
      </c>
      <c r="E22" t="inlineStr">
        <is>
          <t>EMMABODA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HYPERLINK("https://klasma.github.io/Logging_0862/artfynd/A 38813-2023 artfynd.xlsx", "A 38813-2023")</f>
        <v/>
      </c>
      <c r="T22">
        <f>HYPERLINK("https://klasma.github.io/Logging_0862/kartor/A 38813-2023 karta.png", "A 38813-2023")</f>
        <v/>
      </c>
      <c r="V22">
        <f>HYPERLINK("https://klasma.github.io/Logging_0862/klagomål/A 38813-2023 FSC-klagomål.docx", "A 38813-2023")</f>
        <v/>
      </c>
      <c r="W22">
        <f>HYPERLINK("https://klasma.github.io/Logging_0862/klagomålsmail/A 38813-2023 FSC-klagomål mail.docx", "A 38813-2023")</f>
        <v/>
      </c>
      <c r="X22">
        <f>HYPERLINK("https://klasma.github.io/Logging_0862/tillsyn/A 38813-2023 tillsynsbegäran.docx", "A 38813-2023")</f>
        <v/>
      </c>
      <c r="Y22">
        <f>HYPERLINK("https://klasma.github.io/Logging_0862/tillsynsmail/A 38813-2023 tillsynsbegäran mail.docx", "A 38813-2023")</f>
        <v/>
      </c>
    </row>
    <row r="23" ht="15" customHeight="1">
      <c r="A23" t="inlineStr">
        <is>
          <t>A 53370-2023</t>
        </is>
      </c>
      <c r="B23" s="1" t="n">
        <v>45229</v>
      </c>
      <c r="C23" s="1" t="n">
        <v>45799</v>
      </c>
      <c r="D23" t="inlineStr">
        <is>
          <t>KALMAR LÄN</t>
        </is>
      </c>
      <c r="E23" t="inlineStr">
        <is>
          <t>EMMABODA</t>
        </is>
      </c>
      <c r="G23" t="n">
        <v>2.4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HYPERLINK("https://klasma.github.io/Logging_0862/artfynd/A 53370-2023 artfynd.xlsx", "A 53370-2023")</f>
        <v/>
      </c>
      <c r="T23">
        <f>HYPERLINK("https://klasma.github.io/Logging_0862/kartor/A 53370-2023 karta.png", "A 53370-2023")</f>
        <v/>
      </c>
      <c r="U23">
        <f>HYPERLINK("https://klasma.github.io/Logging_0862/knärot/A 53370-2023 karta knärot.png", "A 53370-2023")</f>
        <v/>
      </c>
      <c r="V23">
        <f>HYPERLINK("https://klasma.github.io/Logging_0862/klagomål/A 53370-2023 FSC-klagomål.docx", "A 53370-2023")</f>
        <v/>
      </c>
      <c r="W23">
        <f>HYPERLINK("https://klasma.github.io/Logging_0862/klagomålsmail/A 53370-2023 FSC-klagomål mail.docx", "A 53370-2023")</f>
        <v/>
      </c>
      <c r="X23">
        <f>HYPERLINK("https://klasma.github.io/Logging_0862/tillsyn/A 53370-2023 tillsynsbegäran.docx", "A 53370-2023")</f>
        <v/>
      </c>
      <c r="Y23">
        <f>HYPERLINK("https://klasma.github.io/Logging_0862/tillsynsmail/A 53370-2023 tillsynsbegäran mail.docx", "A 53370-2023")</f>
        <v/>
      </c>
    </row>
    <row r="24" ht="15" customHeight="1">
      <c r="A24" t="inlineStr">
        <is>
          <t>A 5884-2024</t>
        </is>
      </c>
      <c r="B24" s="1" t="n">
        <v>45335</v>
      </c>
      <c r="C24" s="1" t="n">
        <v>45799</v>
      </c>
      <c r="D24" t="inlineStr">
        <is>
          <t>KALMAR LÄN</t>
        </is>
      </c>
      <c r="E24" t="inlineStr">
        <is>
          <t>EMMABODA</t>
        </is>
      </c>
      <c r="G24" t="n">
        <v>4.7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HYPERLINK("https://klasma.github.io/Logging_0862/artfynd/A 5884-2024 artfynd.xlsx", "A 5884-2024")</f>
        <v/>
      </c>
      <c r="T24">
        <f>HYPERLINK("https://klasma.github.io/Logging_0862/kartor/A 5884-2024 karta.png", "A 5884-2024")</f>
        <v/>
      </c>
      <c r="V24">
        <f>HYPERLINK("https://klasma.github.io/Logging_0862/klagomål/A 5884-2024 FSC-klagomål.docx", "A 5884-2024")</f>
        <v/>
      </c>
      <c r="W24">
        <f>HYPERLINK("https://klasma.github.io/Logging_0862/klagomålsmail/A 5884-2024 FSC-klagomål mail.docx", "A 5884-2024")</f>
        <v/>
      </c>
      <c r="X24">
        <f>HYPERLINK("https://klasma.github.io/Logging_0862/tillsyn/A 5884-2024 tillsynsbegäran.docx", "A 5884-2024")</f>
        <v/>
      </c>
      <c r="Y24">
        <f>HYPERLINK("https://klasma.github.io/Logging_0862/tillsynsmail/A 5884-2024 tillsynsbegäran mail.docx", "A 5884-2024")</f>
        <v/>
      </c>
    </row>
    <row r="25" ht="15" customHeight="1">
      <c r="A25" t="inlineStr">
        <is>
          <t>A 18290-2019</t>
        </is>
      </c>
      <c r="B25" s="1" t="n">
        <v>43558</v>
      </c>
      <c r="C25" s="1" t="n">
        <v>45799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18293-2019</t>
        </is>
      </c>
      <c r="B26" s="1" t="n">
        <v>43558</v>
      </c>
      <c r="C26" s="1" t="n">
        <v>45799</v>
      </c>
      <c r="D26" t="inlineStr">
        <is>
          <t>KALMAR LÄN</t>
        </is>
      </c>
      <c r="E26" t="inlineStr">
        <is>
          <t>EMMABODA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18505-2019</t>
        </is>
      </c>
      <c r="B27" s="1" t="n">
        <v>43559</v>
      </c>
      <c r="C27" s="1" t="n">
        <v>45799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18673-2019</t>
        </is>
      </c>
      <c r="B28" s="1" t="n">
        <v>43559</v>
      </c>
      <c r="C28" s="1" t="n">
        <v>45799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18735-2019</t>
        </is>
      </c>
      <c r="B29" s="1" t="n">
        <v>43560</v>
      </c>
      <c r="C29" s="1" t="n">
        <v>45799</v>
      </c>
      <c r="D29" t="inlineStr">
        <is>
          <t>KALMAR LÄN</t>
        </is>
      </c>
      <c r="E29" t="inlineStr">
        <is>
          <t>EMMABODA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19036-2019</t>
        </is>
      </c>
      <c r="B30" s="1" t="n">
        <v>43563</v>
      </c>
      <c r="C30" s="1" t="n">
        <v>45799</v>
      </c>
      <c r="D30" t="inlineStr">
        <is>
          <t>KALMAR LÄN</t>
        </is>
      </c>
      <c r="E30" t="inlineStr">
        <is>
          <t>EMMABODA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19678-2019</t>
        </is>
      </c>
      <c r="B31" s="1" t="n">
        <v>43566</v>
      </c>
      <c r="C31" s="1" t="n">
        <v>45799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19959-2019</t>
        </is>
      </c>
      <c r="B32" s="1" t="n">
        <v>43569</v>
      </c>
      <c r="C32" s="1" t="n">
        <v>45799</v>
      </c>
      <c r="D32" t="inlineStr">
        <is>
          <t>KALMAR LÄN</t>
        </is>
      </c>
      <c r="E32" t="inlineStr">
        <is>
          <t>EMMABODA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19960-2019</t>
        </is>
      </c>
      <c r="B33" s="1" t="n">
        <v>43569</v>
      </c>
      <c r="C33" s="1" t="n">
        <v>45799</v>
      </c>
      <c r="D33" t="inlineStr">
        <is>
          <t>KALMAR LÄN</t>
        </is>
      </c>
      <c r="E33" t="inlineStr">
        <is>
          <t>EMMABODA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19982-2019</t>
        </is>
      </c>
      <c r="B34" s="1" t="n">
        <v>43570</v>
      </c>
      <c r="C34" s="1" t="n">
        <v>45799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20835-2019</t>
        </is>
      </c>
      <c r="B35" s="1" t="n">
        <v>43575</v>
      </c>
      <c r="C35" s="1" t="n">
        <v>45799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20900-2019</t>
        </is>
      </c>
      <c r="B36" s="1" t="n">
        <v>43578</v>
      </c>
      <c r="C36" s="1" t="n">
        <v>45799</v>
      </c>
      <c r="D36" t="inlineStr">
        <is>
          <t>KALMAR LÄN</t>
        </is>
      </c>
      <c r="E36" t="inlineStr">
        <is>
          <t>EMMABODA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20912-2019</t>
        </is>
      </c>
      <c r="B37" s="1" t="n">
        <v>43578</v>
      </c>
      <c r="C37" s="1" t="n">
        <v>45799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21133-2019</t>
        </is>
      </c>
      <c r="B38" s="1" t="n">
        <v>43579</v>
      </c>
      <c r="C38" s="1" t="n">
        <v>45799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21134-2019</t>
        </is>
      </c>
      <c r="B39" s="1" t="n">
        <v>43579</v>
      </c>
      <c r="C39" s="1" t="n">
        <v>45799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21197-2019</t>
        </is>
      </c>
      <c r="B40" s="1" t="n">
        <v>43579</v>
      </c>
      <c r="C40" s="1" t="n">
        <v>45799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21439-2019</t>
        </is>
      </c>
      <c r="B41" s="1" t="n">
        <v>43580</v>
      </c>
      <c r="C41" s="1" t="n">
        <v>45799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21443-2019</t>
        </is>
      </c>
      <c r="B42" s="1" t="n">
        <v>43580</v>
      </c>
      <c r="C42" s="1" t="n">
        <v>45799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21657-2019</t>
        </is>
      </c>
      <c r="B43" s="1" t="n">
        <v>43581</v>
      </c>
      <c r="C43" s="1" t="n">
        <v>45799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22402-2019</t>
        </is>
      </c>
      <c r="B44" s="1" t="n">
        <v>43587</v>
      </c>
      <c r="C44" s="1" t="n">
        <v>45799</v>
      </c>
      <c r="D44" t="inlineStr">
        <is>
          <t>KALMAR LÄN</t>
        </is>
      </c>
      <c r="E44" t="inlineStr">
        <is>
          <t>EMMABODA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22798-2019</t>
        </is>
      </c>
      <c r="B45" s="1" t="n">
        <v>43589</v>
      </c>
      <c r="C45" s="1" t="n">
        <v>45799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22882-2019</t>
        </is>
      </c>
      <c r="B46" s="1" t="n">
        <v>43591</v>
      </c>
      <c r="C46" s="1" t="n">
        <v>45799</v>
      </c>
      <c r="D46" t="inlineStr">
        <is>
          <t>KALMAR LÄN</t>
        </is>
      </c>
      <c r="E46" t="inlineStr">
        <is>
          <t>EMMABODA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24538-2019</t>
        </is>
      </c>
      <c r="B47" s="1" t="n">
        <v>43600</v>
      </c>
      <c r="C47" s="1" t="n">
        <v>45799</v>
      </c>
      <c r="D47" t="inlineStr">
        <is>
          <t>KALMAR LÄN</t>
        </is>
      </c>
      <c r="E47" t="inlineStr">
        <is>
          <t>EMMABODA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24531-2019</t>
        </is>
      </c>
      <c r="B48" s="1" t="n">
        <v>43600</v>
      </c>
      <c r="C48" s="1" t="n">
        <v>45799</v>
      </c>
      <c r="D48" t="inlineStr">
        <is>
          <t>KALMAR LÄN</t>
        </is>
      </c>
      <c r="E48" t="inlineStr">
        <is>
          <t>EMMABODA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24540-2019</t>
        </is>
      </c>
      <c r="B49" s="1" t="n">
        <v>43600</v>
      </c>
      <c r="C49" s="1" t="n">
        <v>45799</v>
      </c>
      <c r="D49" t="inlineStr">
        <is>
          <t>KALMAR LÄN</t>
        </is>
      </c>
      <c r="E49" t="inlineStr">
        <is>
          <t>EMMABODA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24536-2019</t>
        </is>
      </c>
      <c r="B50" s="1" t="n">
        <v>43600</v>
      </c>
      <c r="C50" s="1" t="n">
        <v>45799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25095-2019</t>
        </is>
      </c>
      <c r="B51" s="1" t="n">
        <v>43605</v>
      </c>
      <c r="C51" s="1" t="n">
        <v>45799</v>
      </c>
      <c r="D51" t="inlineStr">
        <is>
          <t>KALMAR LÄN</t>
        </is>
      </c>
      <c r="E51" t="inlineStr">
        <is>
          <t>EMMABODA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25204-2019</t>
        </is>
      </c>
      <c r="B52" s="1" t="n">
        <v>43605</v>
      </c>
      <c r="C52" s="1" t="n">
        <v>45799</v>
      </c>
      <c r="D52" t="inlineStr">
        <is>
          <t>KALMAR LÄN</t>
        </is>
      </c>
      <c r="E52" t="inlineStr">
        <is>
          <t>EMMABODA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25835-2019</t>
        </is>
      </c>
      <c r="B53" s="1" t="n">
        <v>43608</v>
      </c>
      <c r="C53" s="1" t="n">
        <v>45799</v>
      </c>
      <c r="D53" t="inlineStr">
        <is>
          <t>KALMAR LÄN</t>
        </is>
      </c>
      <c r="E53" t="inlineStr">
        <is>
          <t>EMMABODA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26582-2019</t>
        </is>
      </c>
      <c r="B54" s="1" t="n">
        <v>43612</v>
      </c>
      <c r="C54" s="1" t="n">
        <v>45799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26576-2019</t>
        </is>
      </c>
      <c r="B55" s="1" t="n">
        <v>43612</v>
      </c>
      <c r="C55" s="1" t="n">
        <v>45799</v>
      </c>
      <c r="D55" t="inlineStr">
        <is>
          <t>KALMAR LÄN</t>
        </is>
      </c>
      <c r="E55" t="inlineStr">
        <is>
          <t>EMMABODA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26579-2019</t>
        </is>
      </c>
      <c r="B56" s="1" t="n">
        <v>43612</v>
      </c>
      <c r="C56" s="1" t="n">
        <v>45799</v>
      </c>
      <c r="D56" t="inlineStr">
        <is>
          <t>KALMAR LÄN</t>
        </is>
      </c>
      <c r="E56" t="inlineStr">
        <is>
          <t>EMMABODA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26820-2019</t>
        </is>
      </c>
      <c r="B57" s="1" t="n">
        <v>43613</v>
      </c>
      <c r="C57" s="1" t="n">
        <v>45799</v>
      </c>
      <c r="D57" t="inlineStr">
        <is>
          <t>KALMAR LÄN</t>
        </is>
      </c>
      <c r="E57" t="inlineStr">
        <is>
          <t>EMMABODA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26695-2019</t>
        </is>
      </c>
      <c r="B58" s="1" t="n">
        <v>43613</v>
      </c>
      <c r="C58" s="1" t="n">
        <v>45799</v>
      </c>
      <c r="D58" t="inlineStr">
        <is>
          <t>KALMAR LÄN</t>
        </is>
      </c>
      <c r="E58" t="inlineStr">
        <is>
          <t>EMMABODA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27459-2019</t>
        </is>
      </c>
      <c r="B59" s="1" t="n">
        <v>43618</v>
      </c>
      <c r="C59" s="1" t="n">
        <v>45799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27460-2019</t>
        </is>
      </c>
      <c r="B60" s="1" t="n">
        <v>43618</v>
      </c>
      <c r="C60" s="1" t="n">
        <v>45799</v>
      </c>
      <c r="D60" t="inlineStr">
        <is>
          <t>KALMAR LÄN</t>
        </is>
      </c>
      <c r="E60" t="inlineStr">
        <is>
          <t>EMMABODA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27863-2019</t>
        </is>
      </c>
      <c r="B61" s="1" t="n">
        <v>43620</v>
      </c>
      <c r="C61" s="1" t="n">
        <v>45799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28540-2019</t>
        </is>
      </c>
      <c r="B62" s="1" t="n">
        <v>43626</v>
      </c>
      <c r="C62" s="1" t="n">
        <v>45799</v>
      </c>
      <c r="D62" t="inlineStr">
        <is>
          <t>KALMAR LÄN</t>
        </is>
      </c>
      <c r="E62" t="inlineStr">
        <is>
          <t>EMMABODA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28539-2019</t>
        </is>
      </c>
      <c r="B63" s="1" t="n">
        <v>43626</v>
      </c>
      <c r="C63" s="1" t="n">
        <v>45799</v>
      </c>
      <c r="D63" t="inlineStr">
        <is>
          <t>KALMAR LÄN</t>
        </is>
      </c>
      <c r="E63" t="inlineStr">
        <is>
          <t>EMMABODA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28797-2019</t>
        </is>
      </c>
      <c r="B64" s="1" t="n">
        <v>43627</v>
      </c>
      <c r="C64" s="1" t="n">
        <v>45799</v>
      </c>
      <c r="D64" t="inlineStr">
        <is>
          <t>KALMAR LÄN</t>
        </is>
      </c>
      <c r="E64" t="inlineStr">
        <is>
          <t>EMMABODA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29464-2019</t>
        </is>
      </c>
      <c r="B65" s="1" t="n">
        <v>43629</v>
      </c>
      <c r="C65" s="1" t="n">
        <v>45799</v>
      </c>
      <c r="D65" t="inlineStr">
        <is>
          <t>KALMAR LÄN</t>
        </is>
      </c>
      <c r="E65" t="inlineStr">
        <is>
          <t>EMMABODA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29465-2019</t>
        </is>
      </c>
      <c r="B66" s="1" t="n">
        <v>43629</v>
      </c>
      <c r="C66" s="1" t="n">
        <v>45799</v>
      </c>
      <c r="D66" t="inlineStr">
        <is>
          <t>KALMAR LÄN</t>
        </is>
      </c>
      <c r="E66" t="inlineStr">
        <is>
          <t>EMMABODA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29463-2019</t>
        </is>
      </c>
      <c r="B67" s="1" t="n">
        <v>43629</v>
      </c>
      <c r="C67" s="1" t="n">
        <v>45799</v>
      </c>
      <c r="D67" t="inlineStr">
        <is>
          <t>KALMAR LÄN</t>
        </is>
      </c>
      <c r="E67" t="inlineStr">
        <is>
          <t>EMMABODA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29618-2019</t>
        </is>
      </c>
      <c r="B68" s="1" t="n">
        <v>43630</v>
      </c>
      <c r="C68" s="1" t="n">
        <v>45799</v>
      </c>
      <c r="D68" t="inlineStr">
        <is>
          <t>KALMAR LÄN</t>
        </is>
      </c>
      <c r="E68" t="inlineStr">
        <is>
          <t>EMMABODA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29597-2019</t>
        </is>
      </c>
      <c r="B69" s="1" t="n">
        <v>43630</v>
      </c>
      <c r="C69" s="1" t="n">
        <v>45799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29602-2019</t>
        </is>
      </c>
      <c r="B70" s="1" t="n">
        <v>43630</v>
      </c>
      <c r="C70" s="1" t="n">
        <v>45799</v>
      </c>
      <c r="D70" t="inlineStr">
        <is>
          <t>KALMAR LÄN</t>
        </is>
      </c>
      <c r="E70" t="inlineStr">
        <is>
          <t>EMMABODA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29599-2019</t>
        </is>
      </c>
      <c r="B71" s="1" t="n">
        <v>43630</v>
      </c>
      <c r="C71" s="1" t="n">
        <v>45799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29763-2019</t>
        </is>
      </c>
      <c r="B72" s="1" t="n">
        <v>43632</v>
      </c>
      <c r="C72" s="1" t="n">
        <v>45799</v>
      </c>
      <c r="D72" t="inlineStr">
        <is>
          <t>KALMAR LÄN</t>
        </is>
      </c>
      <c r="E72" t="inlineStr">
        <is>
          <t>EMMABODA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30906-2019</t>
        </is>
      </c>
      <c r="B73" s="1" t="n">
        <v>43636</v>
      </c>
      <c r="C73" s="1" t="n">
        <v>45799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31820-2019</t>
        </is>
      </c>
      <c r="B74" s="1" t="n">
        <v>43641</v>
      </c>
      <c r="C74" s="1" t="n">
        <v>45799</v>
      </c>
      <c r="D74" t="inlineStr">
        <is>
          <t>KALMAR LÄN</t>
        </is>
      </c>
      <c r="E74" t="inlineStr">
        <is>
          <t>EMMABODA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31541-2019</t>
        </is>
      </c>
      <c r="B75" s="1" t="n">
        <v>43641</v>
      </c>
      <c r="C75" s="1" t="n">
        <v>45799</v>
      </c>
      <c r="D75" t="inlineStr">
        <is>
          <t>KALMAR LÄN</t>
        </is>
      </c>
      <c r="E75" t="inlineStr">
        <is>
          <t>EMMABODA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31646-2019</t>
        </is>
      </c>
      <c r="B76" s="1" t="n">
        <v>43642</v>
      </c>
      <c r="C76" s="1" t="n">
        <v>45799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31856-2019</t>
        </is>
      </c>
      <c r="B77" s="1" t="n">
        <v>43642</v>
      </c>
      <c r="C77" s="1" t="n">
        <v>45799</v>
      </c>
      <c r="D77" t="inlineStr">
        <is>
          <t>KALMAR LÄN</t>
        </is>
      </c>
      <c r="E77" t="inlineStr">
        <is>
          <t>EMMABODA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32727-2019</t>
        </is>
      </c>
      <c r="B78" s="1" t="n">
        <v>43647</v>
      </c>
      <c r="C78" s="1" t="n">
        <v>45799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35407-2019</t>
        </is>
      </c>
      <c r="B79" s="1" t="n">
        <v>43654</v>
      </c>
      <c r="C79" s="1" t="n">
        <v>45799</v>
      </c>
      <c r="D79" t="inlineStr">
        <is>
          <t>KALMAR LÄN</t>
        </is>
      </c>
      <c r="E79" t="inlineStr">
        <is>
          <t>EMMABODA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34813-2019</t>
        </is>
      </c>
      <c r="B80" s="1" t="n">
        <v>43658</v>
      </c>
      <c r="C80" s="1" t="n">
        <v>45799</v>
      </c>
      <c r="D80" t="inlineStr">
        <is>
          <t>KALMAR LÄN</t>
        </is>
      </c>
      <c r="E80" t="inlineStr">
        <is>
          <t>EMMABODA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34815-2019</t>
        </is>
      </c>
      <c r="B81" s="1" t="n">
        <v>43658</v>
      </c>
      <c r="C81" s="1" t="n">
        <v>45799</v>
      </c>
      <c r="D81" t="inlineStr">
        <is>
          <t>KALMAR LÄN</t>
        </is>
      </c>
      <c r="E81" t="inlineStr">
        <is>
          <t>EMMABODA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36367-2019</t>
        </is>
      </c>
      <c r="B82" s="1" t="n">
        <v>43661</v>
      </c>
      <c r="C82" s="1" t="n">
        <v>45799</v>
      </c>
      <c r="D82" t="inlineStr">
        <is>
          <t>KALMAR LÄN</t>
        </is>
      </c>
      <c r="E82" t="inlineStr">
        <is>
          <t>EMMABODA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36249-2019</t>
        </is>
      </c>
      <c r="B83" s="1" t="n">
        <v>43669</v>
      </c>
      <c r="C83" s="1" t="n">
        <v>45799</v>
      </c>
      <c r="D83" t="inlineStr">
        <is>
          <t>KALMAR LÄN</t>
        </is>
      </c>
      <c r="E83" t="inlineStr">
        <is>
          <t>EMMABODA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36756-2019</t>
        </is>
      </c>
      <c r="B84" s="1" t="n">
        <v>43672</v>
      </c>
      <c r="C84" s="1" t="n">
        <v>45799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36777-2019</t>
        </is>
      </c>
      <c r="B85" s="1" t="n">
        <v>43672</v>
      </c>
      <c r="C85" s="1" t="n">
        <v>45799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36759-2019</t>
        </is>
      </c>
      <c r="B86" s="1" t="n">
        <v>43672</v>
      </c>
      <c r="C86" s="1" t="n">
        <v>45799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36898-2019</t>
        </is>
      </c>
      <c r="B87" s="1" t="n">
        <v>43675</v>
      </c>
      <c r="C87" s="1" t="n">
        <v>45799</v>
      </c>
      <c r="D87" t="inlineStr">
        <is>
          <t>KALMAR LÄN</t>
        </is>
      </c>
      <c r="E87" t="inlineStr">
        <is>
          <t>EMMABODA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36839-2019</t>
        </is>
      </c>
      <c r="B88" s="1" t="n">
        <v>43675</v>
      </c>
      <c r="C88" s="1" t="n">
        <v>45799</v>
      </c>
      <c r="D88" t="inlineStr">
        <is>
          <t>KALMAR LÄN</t>
        </is>
      </c>
      <c r="E88" t="inlineStr">
        <is>
          <t>EMMABODA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37108-2019</t>
        </is>
      </c>
      <c r="B89" s="1" t="n">
        <v>43676</v>
      </c>
      <c r="C89" s="1" t="n">
        <v>45799</v>
      </c>
      <c r="D89" t="inlineStr">
        <is>
          <t>KALMAR LÄN</t>
        </is>
      </c>
      <c r="E89" t="inlineStr">
        <is>
          <t>EMMABODA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37386-2019</t>
        </is>
      </c>
      <c r="B90" s="1" t="n">
        <v>43678</v>
      </c>
      <c r="C90" s="1" t="n">
        <v>45799</v>
      </c>
      <c r="D90" t="inlineStr">
        <is>
          <t>KALMAR LÄN</t>
        </is>
      </c>
      <c r="E90" t="inlineStr">
        <is>
          <t>EMMABODA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37387-2019</t>
        </is>
      </c>
      <c r="B91" s="1" t="n">
        <v>43678</v>
      </c>
      <c r="C91" s="1" t="n">
        <v>45799</v>
      </c>
      <c r="D91" t="inlineStr">
        <is>
          <t>KALMAR LÄN</t>
        </is>
      </c>
      <c r="E91" t="inlineStr">
        <is>
          <t>EMMABODA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37384-2019</t>
        </is>
      </c>
      <c r="B92" s="1" t="n">
        <v>43678</v>
      </c>
      <c r="C92" s="1" t="n">
        <v>45799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37601-2019</t>
        </is>
      </c>
      <c r="B93" s="1" t="n">
        <v>43680</v>
      </c>
      <c r="C93" s="1" t="n">
        <v>45799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37724-2019</t>
        </is>
      </c>
      <c r="B94" s="1" t="n">
        <v>43682</v>
      </c>
      <c r="C94" s="1" t="n">
        <v>45799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37798-2019</t>
        </is>
      </c>
      <c r="B95" s="1" t="n">
        <v>43682</v>
      </c>
      <c r="C95" s="1" t="n">
        <v>45799</v>
      </c>
      <c r="D95" t="inlineStr">
        <is>
          <t>KALMAR LÄN</t>
        </is>
      </c>
      <c r="E95" t="inlineStr">
        <is>
          <t>EMMABODA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37862-2019</t>
        </is>
      </c>
      <c r="B96" s="1" t="n">
        <v>43682</v>
      </c>
      <c r="C96" s="1" t="n">
        <v>45799</v>
      </c>
      <c r="D96" t="inlineStr">
        <is>
          <t>KALMAR LÄN</t>
        </is>
      </c>
      <c r="E96" t="inlineStr">
        <is>
          <t>EMMABODA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37913-2019</t>
        </is>
      </c>
      <c r="B97" s="1" t="n">
        <v>43683</v>
      </c>
      <c r="C97" s="1" t="n">
        <v>45799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37944-2019</t>
        </is>
      </c>
      <c r="B98" s="1" t="n">
        <v>43683</v>
      </c>
      <c r="C98" s="1" t="n">
        <v>45799</v>
      </c>
      <c r="D98" t="inlineStr">
        <is>
          <t>KALMAR LÄN</t>
        </is>
      </c>
      <c r="E98" t="inlineStr">
        <is>
          <t>EMMABODA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38463-2019</t>
        </is>
      </c>
      <c r="B99" s="1" t="n">
        <v>43685</v>
      </c>
      <c r="C99" s="1" t="n">
        <v>45799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38459-2019</t>
        </is>
      </c>
      <c r="B100" s="1" t="n">
        <v>43685</v>
      </c>
      <c r="C100" s="1" t="n">
        <v>45799</v>
      </c>
      <c r="D100" t="inlineStr">
        <is>
          <t>KALMAR LÄN</t>
        </is>
      </c>
      <c r="E100" t="inlineStr">
        <is>
          <t>EMMABODA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38469-2019</t>
        </is>
      </c>
      <c r="B101" s="1" t="n">
        <v>43685</v>
      </c>
      <c r="C101" s="1" t="n">
        <v>45799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38464-2019</t>
        </is>
      </c>
      <c r="B102" s="1" t="n">
        <v>43685</v>
      </c>
      <c r="C102" s="1" t="n">
        <v>45799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38520-2019</t>
        </is>
      </c>
      <c r="B103" s="1" t="n">
        <v>43685</v>
      </c>
      <c r="C103" s="1" t="n">
        <v>45799</v>
      </c>
      <c r="D103" t="inlineStr">
        <is>
          <t>KALMAR LÄN</t>
        </is>
      </c>
      <c r="E103" t="inlineStr">
        <is>
          <t>EMMABODA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38557-2019</t>
        </is>
      </c>
      <c r="B104" s="1" t="n">
        <v>43685</v>
      </c>
      <c r="C104" s="1" t="n">
        <v>45799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38681-2019</t>
        </is>
      </c>
      <c r="B105" s="1" t="n">
        <v>43686</v>
      </c>
      <c r="C105" s="1" t="n">
        <v>45799</v>
      </c>
      <c r="D105" t="inlineStr">
        <is>
          <t>KALMAR LÄN</t>
        </is>
      </c>
      <c r="E105" t="inlineStr">
        <is>
          <t>EMMABODA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38682-2019</t>
        </is>
      </c>
      <c r="B106" s="1" t="n">
        <v>43686</v>
      </c>
      <c r="C106" s="1" t="n">
        <v>45799</v>
      </c>
      <c r="D106" t="inlineStr">
        <is>
          <t>KALMAR LÄN</t>
        </is>
      </c>
      <c r="E106" t="inlineStr">
        <is>
          <t>EMMABODA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38964-2019</t>
        </is>
      </c>
      <c r="B107" s="1" t="n">
        <v>43689</v>
      </c>
      <c r="C107" s="1" t="n">
        <v>45799</v>
      </c>
      <c r="D107" t="inlineStr">
        <is>
          <t>KALMAR LÄN</t>
        </is>
      </c>
      <c r="E107" t="inlineStr">
        <is>
          <t>EMMABODA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38862-2019</t>
        </is>
      </c>
      <c r="B108" s="1" t="n">
        <v>43689</v>
      </c>
      <c r="C108" s="1" t="n">
        <v>45799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40448-2019</t>
        </is>
      </c>
      <c r="B109" s="1" t="n">
        <v>43690</v>
      </c>
      <c r="C109" s="1" t="n">
        <v>45799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39416-2019</t>
        </is>
      </c>
      <c r="B110" s="1" t="n">
        <v>43690</v>
      </c>
      <c r="C110" s="1" t="n">
        <v>45799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39632-2019</t>
        </is>
      </c>
      <c r="B111" s="1" t="n">
        <v>43691</v>
      </c>
      <c r="C111" s="1" t="n">
        <v>45799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39621-2019</t>
        </is>
      </c>
      <c r="B112" s="1" t="n">
        <v>43691</v>
      </c>
      <c r="C112" s="1" t="n">
        <v>45799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39629-2019</t>
        </is>
      </c>
      <c r="B113" s="1" t="n">
        <v>43691</v>
      </c>
      <c r="C113" s="1" t="n">
        <v>45799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39635-2019</t>
        </is>
      </c>
      <c r="B114" s="1" t="n">
        <v>43691</v>
      </c>
      <c r="C114" s="1" t="n">
        <v>45799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39618-2019</t>
        </is>
      </c>
      <c r="B115" s="1" t="n">
        <v>43691</v>
      </c>
      <c r="C115" s="1" t="n">
        <v>45799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39638-2019</t>
        </is>
      </c>
      <c r="B116" s="1" t="n">
        <v>43691</v>
      </c>
      <c r="C116" s="1" t="n">
        <v>45799</v>
      </c>
      <c r="D116" t="inlineStr">
        <is>
          <t>KALMAR LÄN</t>
        </is>
      </c>
      <c r="E116" t="inlineStr">
        <is>
          <t>EMMABODA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39641-2019</t>
        </is>
      </c>
      <c r="B117" s="1" t="n">
        <v>43691</v>
      </c>
      <c r="C117" s="1" t="n">
        <v>45799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39649-2019</t>
        </is>
      </c>
      <c r="B118" s="1" t="n">
        <v>43691</v>
      </c>
      <c r="C118" s="1" t="n">
        <v>45799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39680-2019</t>
        </is>
      </c>
      <c r="B119" s="1" t="n">
        <v>43691</v>
      </c>
      <c r="C119" s="1" t="n">
        <v>45799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39627-2019</t>
        </is>
      </c>
      <c r="B120" s="1" t="n">
        <v>43691</v>
      </c>
      <c r="C120" s="1" t="n">
        <v>45799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40888-2019</t>
        </is>
      </c>
      <c r="B121" s="1" t="n">
        <v>43693</v>
      </c>
      <c r="C121" s="1" t="n">
        <v>45799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40893-2019</t>
        </is>
      </c>
      <c r="B122" s="1" t="n">
        <v>43693</v>
      </c>
      <c r="C122" s="1" t="n">
        <v>45799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42500-2019</t>
        </is>
      </c>
      <c r="B123" s="1" t="n">
        <v>43693</v>
      </c>
      <c r="C123" s="1" t="n">
        <v>45799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40246-2019</t>
        </is>
      </c>
      <c r="B124" s="1" t="n">
        <v>43695</v>
      </c>
      <c r="C124" s="1" t="n">
        <v>45799</v>
      </c>
      <c r="D124" t="inlineStr">
        <is>
          <t>KALMAR LÄN</t>
        </is>
      </c>
      <c r="E124" t="inlineStr">
        <is>
          <t>EMMABODA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40411-2019</t>
        </is>
      </c>
      <c r="B125" s="1" t="n">
        <v>43696</v>
      </c>
      <c r="C125" s="1" t="n">
        <v>45799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40709-2019</t>
        </is>
      </c>
      <c r="B126" s="1" t="n">
        <v>43697</v>
      </c>
      <c r="C126" s="1" t="n">
        <v>45799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40931-2019</t>
        </is>
      </c>
      <c r="B127" s="1" t="n">
        <v>43697</v>
      </c>
      <c r="C127" s="1" t="n">
        <v>45799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40933-2019</t>
        </is>
      </c>
      <c r="B128" s="1" t="n">
        <v>43697</v>
      </c>
      <c r="C128" s="1" t="n">
        <v>45799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40708-2019</t>
        </is>
      </c>
      <c r="B129" s="1" t="n">
        <v>43697</v>
      </c>
      <c r="C129" s="1" t="n">
        <v>45799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41933-2019</t>
        </is>
      </c>
      <c r="B130" s="1" t="n">
        <v>43700</v>
      </c>
      <c r="C130" s="1" t="n">
        <v>45799</v>
      </c>
      <c r="D130" t="inlineStr">
        <is>
          <t>KALMAR LÄN</t>
        </is>
      </c>
      <c r="E130" t="inlineStr">
        <is>
          <t>EMMABODA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42219-2019</t>
        </is>
      </c>
      <c r="B131" s="1" t="n">
        <v>43703</v>
      </c>
      <c r="C131" s="1" t="n">
        <v>45799</v>
      </c>
      <c r="D131" t="inlineStr">
        <is>
          <t>KALMAR LÄN</t>
        </is>
      </c>
      <c r="E131" t="inlineStr">
        <is>
          <t>EMMABODA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42221-2019</t>
        </is>
      </c>
      <c r="B132" s="1" t="n">
        <v>43703</v>
      </c>
      <c r="C132" s="1" t="n">
        <v>45799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42568-2019</t>
        </is>
      </c>
      <c r="B133" s="1" t="n">
        <v>43704</v>
      </c>
      <c r="C133" s="1" t="n">
        <v>45799</v>
      </c>
      <c r="D133" t="inlineStr">
        <is>
          <t>KALMAR LÄN</t>
        </is>
      </c>
      <c r="E133" t="inlineStr">
        <is>
          <t>EMMABODA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43092-2019</t>
        </is>
      </c>
      <c r="B134" s="1" t="n">
        <v>43705</v>
      </c>
      <c r="C134" s="1" t="n">
        <v>45799</v>
      </c>
      <c r="D134" t="inlineStr">
        <is>
          <t>KALMAR LÄN</t>
        </is>
      </c>
      <c r="E134" t="inlineStr">
        <is>
          <t>EMMABODA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43374-2019</t>
        </is>
      </c>
      <c r="B135" s="1" t="n">
        <v>43706</v>
      </c>
      <c r="C135" s="1" t="n">
        <v>45799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43364-2019</t>
        </is>
      </c>
      <c r="B136" s="1" t="n">
        <v>43706</v>
      </c>
      <c r="C136" s="1" t="n">
        <v>45799</v>
      </c>
      <c r="D136" t="inlineStr">
        <is>
          <t>KALMAR LÄN</t>
        </is>
      </c>
      <c r="E136" t="inlineStr">
        <is>
          <t>EMMABODA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44432-2019</t>
        </is>
      </c>
      <c r="B137" s="1" t="n">
        <v>43711</v>
      </c>
      <c r="C137" s="1" t="n">
        <v>45799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44602-2019</t>
        </is>
      </c>
      <c r="B138" s="1" t="n">
        <v>43711</v>
      </c>
      <c r="C138" s="1" t="n">
        <v>45799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45313-2019</t>
        </is>
      </c>
      <c r="B139" s="1" t="n">
        <v>43714</v>
      </c>
      <c r="C139" s="1" t="n">
        <v>45799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45596-2019</t>
        </is>
      </c>
      <c r="B140" s="1" t="n">
        <v>43717</v>
      </c>
      <c r="C140" s="1" t="n">
        <v>45799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46092-2019</t>
        </is>
      </c>
      <c r="B141" s="1" t="n">
        <v>43718</v>
      </c>
      <c r="C141" s="1" t="n">
        <v>45799</v>
      </c>
      <c r="D141" t="inlineStr">
        <is>
          <t>KALMAR LÄN</t>
        </is>
      </c>
      <c r="E141" t="inlineStr">
        <is>
          <t>EMMABODA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46087-2019</t>
        </is>
      </c>
      <c r="B142" s="1" t="n">
        <v>43718</v>
      </c>
      <c r="C142" s="1" t="n">
        <v>45799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46742-2019</t>
        </is>
      </c>
      <c r="B143" s="1" t="n">
        <v>43719</v>
      </c>
      <c r="C143" s="1" t="n">
        <v>45799</v>
      </c>
      <c r="D143" t="inlineStr">
        <is>
          <t>KALMAR LÄN</t>
        </is>
      </c>
      <c r="E143" t="inlineStr">
        <is>
          <t>EMMABODA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47013-2019</t>
        </is>
      </c>
      <c r="B144" s="1" t="n">
        <v>43720</v>
      </c>
      <c r="C144" s="1" t="n">
        <v>45799</v>
      </c>
      <c r="D144" t="inlineStr">
        <is>
          <t>KALMAR LÄN</t>
        </is>
      </c>
      <c r="E144" t="inlineStr">
        <is>
          <t>EMMABODA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47021-2019</t>
        </is>
      </c>
      <c r="B145" s="1" t="n">
        <v>43720</v>
      </c>
      <c r="C145" s="1" t="n">
        <v>45799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47129-2019</t>
        </is>
      </c>
      <c r="B146" s="1" t="n">
        <v>43721</v>
      </c>
      <c r="C146" s="1" t="n">
        <v>45799</v>
      </c>
      <c r="D146" t="inlineStr">
        <is>
          <t>KALMAR LÄN</t>
        </is>
      </c>
      <c r="E146" t="inlineStr">
        <is>
          <t>EMMABODA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47131-2019</t>
        </is>
      </c>
      <c r="B147" s="1" t="n">
        <v>43721</v>
      </c>
      <c r="C147" s="1" t="n">
        <v>45799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47560-2019</t>
        </is>
      </c>
      <c r="B148" s="1" t="n">
        <v>43724</v>
      </c>
      <c r="C148" s="1" t="n">
        <v>45799</v>
      </c>
      <c r="D148" t="inlineStr">
        <is>
          <t>KALMAR LÄN</t>
        </is>
      </c>
      <c r="E148" t="inlineStr">
        <is>
          <t>EMMABODA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47610-2019</t>
        </is>
      </c>
      <c r="B149" s="1" t="n">
        <v>43724</v>
      </c>
      <c r="C149" s="1" t="n">
        <v>45799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51085-2019</t>
        </is>
      </c>
      <c r="B150" s="1" t="n">
        <v>43732</v>
      </c>
      <c r="C150" s="1" t="n">
        <v>45799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51498-2019</t>
        </is>
      </c>
      <c r="B151" s="1" t="n">
        <v>43733</v>
      </c>
      <c r="C151" s="1" t="n">
        <v>45799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50086-2019</t>
        </is>
      </c>
      <c r="B152" s="1" t="n">
        <v>43734</v>
      </c>
      <c r="C152" s="1" t="n">
        <v>45799</v>
      </c>
      <c r="D152" t="inlineStr">
        <is>
          <t>KALMAR LÄN</t>
        </is>
      </c>
      <c r="E152" t="inlineStr">
        <is>
          <t>EMMABODA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50394-2019</t>
        </is>
      </c>
      <c r="B153" s="1" t="n">
        <v>43735</v>
      </c>
      <c r="C153" s="1" t="n">
        <v>45799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50940-2019</t>
        </is>
      </c>
      <c r="B154" s="1" t="n">
        <v>43738</v>
      </c>
      <c r="C154" s="1" t="n">
        <v>45799</v>
      </c>
      <c r="D154" t="inlineStr">
        <is>
          <t>KALMAR LÄN</t>
        </is>
      </c>
      <c r="E154" t="inlineStr">
        <is>
          <t>EMMABODA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53089-2019</t>
        </is>
      </c>
      <c r="B155" s="1" t="n">
        <v>43747</v>
      </c>
      <c r="C155" s="1" t="n">
        <v>45799</v>
      </c>
      <c r="D155" t="inlineStr">
        <is>
          <t>KALMAR LÄN</t>
        </is>
      </c>
      <c r="E155" t="inlineStr">
        <is>
          <t>EMMABODA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53262-2019</t>
        </is>
      </c>
      <c r="B156" s="1" t="n">
        <v>43748</v>
      </c>
      <c r="C156" s="1" t="n">
        <v>45799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54693-2019</t>
        </is>
      </c>
      <c r="B157" s="1" t="n">
        <v>43748</v>
      </c>
      <c r="C157" s="1" t="n">
        <v>45799</v>
      </c>
      <c r="D157" t="inlineStr">
        <is>
          <t>KALMAR LÄN</t>
        </is>
      </c>
      <c r="E157" t="inlineStr">
        <is>
          <t>EMMABODA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54690-2019</t>
        </is>
      </c>
      <c r="B158" s="1" t="n">
        <v>43748</v>
      </c>
      <c r="C158" s="1" t="n">
        <v>45799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54697-2019</t>
        </is>
      </c>
      <c r="B159" s="1" t="n">
        <v>43748</v>
      </c>
      <c r="C159" s="1" t="n">
        <v>45799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53260-2019</t>
        </is>
      </c>
      <c r="B160" s="1" t="n">
        <v>43748</v>
      </c>
      <c r="C160" s="1" t="n">
        <v>45799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53996-2019</t>
        </is>
      </c>
      <c r="B161" s="1" t="n">
        <v>43752</v>
      </c>
      <c r="C161" s="1" t="n">
        <v>45799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53851-2019</t>
        </is>
      </c>
      <c r="B162" s="1" t="n">
        <v>43752</v>
      </c>
      <c r="C162" s="1" t="n">
        <v>45799</v>
      </c>
      <c r="D162" t="inlineStr">
        <is>
          <t>KALMAR LÄN</t>
        </is>
      </c>
      <c r="E162" t="inlineStr">
        <is>
          <t>EMMABODA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54000-2019</t>
        </is>
      </c>
      <c r="B163" s="1" t="n">
        <v>43752</v>
      </c>
      <c r="C163" s="1" t="n">
        <v>45799</v>
      </c>
      <c r="D163" t="inlineStr">
        <is>
          <t>KALMAR LÄN</t>
        </is>
      </c>
      <c r="E163" t="inlineStr">
        <is>
          <t>EMMABODA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54883-2019</t>
        </is>
      </c>
      <c r="B164" s="1" t="n">
        <v>43755</v>
      </c>
      <c r="C164" s="1" t="n">
        <v>45799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54814-2019</t>
        </is>
      </c>
      <c r="B165" s="1" t="n">
        <v>43755</v>
      </c>
      <c r="C165" s="1" t="n">
        <v>45799</v>
      </c>
      <c r="D165" t="inlineStr">
        <is>
          <t>KALMAR LÄN</t>
        </is>
      </c>
      <c r="E165" t="inlineStr">
        <is>
          <t>EMMABODA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55165-2019</t>
        </is>
      </c>
      <c r="B166" s="1" t="n">
        <v>43756</v>
      </c>
      <c r="C166" s="1" t="n">
        <v>45799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55368-2019</t>
        </is>
      </c>
      <c r="B167" s="1" t="n">
        <v>43756</v>
      </c>
      <c r="C167" s="1" t="n">
        <v>45799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55052-2019</t>
        </is>
      </c>
      <c r="B168" s="1" t="n">
        <v>43756</v>
      </c>
      <c r="C168" s="1" t="n">
        <v>45799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55638-2019</t>
        </is>
      </c>
      <c r="B169" s="1" t="n">
        <v>43760</v>
      </c>
      <c r="C169" s="1" t="n">
        <v>45799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57092-2019</t>
        </is>
      </c>
      <c r="B170" s="1" t="n">
        <v>43766</v>
      </c>
      <c r="C170" s="1" t="n">
        <v>45799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58479-2019</t>
        </is>
      </c>
      <c r="B171" s="1" t="n">
        <v>43773</v>
      </c>
      <c r="C171" s="1" t="n">
        <v>45799</v>
      </c>
      <c r="D171" t="inlineStr">
        <is>
          <t>KALMAR LÄN</t>
        </is>
      </c>
      <c r="E171" t="inlineStr">
        <is>
          <t>EMMABODA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58683-2019</t>
        </is>
      </c>
      <c r="B172" s="1" t="n">
        <v>43773</v>
      </c>
      <c r="C172" s="1" t="n">
        <v>45799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59917-2019</t>
        </is>
      </c>
      <c r="B173" s="1" t="n">
        <v>43777</v>
      </c>
      <c r="C173" s="1" t="n">
        <v>45799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59923-2019</t>
        </is>
      </c>
      <c r="B174" s="1" t="n">
        <v>43777</v>
      </c>
      <c r="C174" s="1" t="n">
        <v>45799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45799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45799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45799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45799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45799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45799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45799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45799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45799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45799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45799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45799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45799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45799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45799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45799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45799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45799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45799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45799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45799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45799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45799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45799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45799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45799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45799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45799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45799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45799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45799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45799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45799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45799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45799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45799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45799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45799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45799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45799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45799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45799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45799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45799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45799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45799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45799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45799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45799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45799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45799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45799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45799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45799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45799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45799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45799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45799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45799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45799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45799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45799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45799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45799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45799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45799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45799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45799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45799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45799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45799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45799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45799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45799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45799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45799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45799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45799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45799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45799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45799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45799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45799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45799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45799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45799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45799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45799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45799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45799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45799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45799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45799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45799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45799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45799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45799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45799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45799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45799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45799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45799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45799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45799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45799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45799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45799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45799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45799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45799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45799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45799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45799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45799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45799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45799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45799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45799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45799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45799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45799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45799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45799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45799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45799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45799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45799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45799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45799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45799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45799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45799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45799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45799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45799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45799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45799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45799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45799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45799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45799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45799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45799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45799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45799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45799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45799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45799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45799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45799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45799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45799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45799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45799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45799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45799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45799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45799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45799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45799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45799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45799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45799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45799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45799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45799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45799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45799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45799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45799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45799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45799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45799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45799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45799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45799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45799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45799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45799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45799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45799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45799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45799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45799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45799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45799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45799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45799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45799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45799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45799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45799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45799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45799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45799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45799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45799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45799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45799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45799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45799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45799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45799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45799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45799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45799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45799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45799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45799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45799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45799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45799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45799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45799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45799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45799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45799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45799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45799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45799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45799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45799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45799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45799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45799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45799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45799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45799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45799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45799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45799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45799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45799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45799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45799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45799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45799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45799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45799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45799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45799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45799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45799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45799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45799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45799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45799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45799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45799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45799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45799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45799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45799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45799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45799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45799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45799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45799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45799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45799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45799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45799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45799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45799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45799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45799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45799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45799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45799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45799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45799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45799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45799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45799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45799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45799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45799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45799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45799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45799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45799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45799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45799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45799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45799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45799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45799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45799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45799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45799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45799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45799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45799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45799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45799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45799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45799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45799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45799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45799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45799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45799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45799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45799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45799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45799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45799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45799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45799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45799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45799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45799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45799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45799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45799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45799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45799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45799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45799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45799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45799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45799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45799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45799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45799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45799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45799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45799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45799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45799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45799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45799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45799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45799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45799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45799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45799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45799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45799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45799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45799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45799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45799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45799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45799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45799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45799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45799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45799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45799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45799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45799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45799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45799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45799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45799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45799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45799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45799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45799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45799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45799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45799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45799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45799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45799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45799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45799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45799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45799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45799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45799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45799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45799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45799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45799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45799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45799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45799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45799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45799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45799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45799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45799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45799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45799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45799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45799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45799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45799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45799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45799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45799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45799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45799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45799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45799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45799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45799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45799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45799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45799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45799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45799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45799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45799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45799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45799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45799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45799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45799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45799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45799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45799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45799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45799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45799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45799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45799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45799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45799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45799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45799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45799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45799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45799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45799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45799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45799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45799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45799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45799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45799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45799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45799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45799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45799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45799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45799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45799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45799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45799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45799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45799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45799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45799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45799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45799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45799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45799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45799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45799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45799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45799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45799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45799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45799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45799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45799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45799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45799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45799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45799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45799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45799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45799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45799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45799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45799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45799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45799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45799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45799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45799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45799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45799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45799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45799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45799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45799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45799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45799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45799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45799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45799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45799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45799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45799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45799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45799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45799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45799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45799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45799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45799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45799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45799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45799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45799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45799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45799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45799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45799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45799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45799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45799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45799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45799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45799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45799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45799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45799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45799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45799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45799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45799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45799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45799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45799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45799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45799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45799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45799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45799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45799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45799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45799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45799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45799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45799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45799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45799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45799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45799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45799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45799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45799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45799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45799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45799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45799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45799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45799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45799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45799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45799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45799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45799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45799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45799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45799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45799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45799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45799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45799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45799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45799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45799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45799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45799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45799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45799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45799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45799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45799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45799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45799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45799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45799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45799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45799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45799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45799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45799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45799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45799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45799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45799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45799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45799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45799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45799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45799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45799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45799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45799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45799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45799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45799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45799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45799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45799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45799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45799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45799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45799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45799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45799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45799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45799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45799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45799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45799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45799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45799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45799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45799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45799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45799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45799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45799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45799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45799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45799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45799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45799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45799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45799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45799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45799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45799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45799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45799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45799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45799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45799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45799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45799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45799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45799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45799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45799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45799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45799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45799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45799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45799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45799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45799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45799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45799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45799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45799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45799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45799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45799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45799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45799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45799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45799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45799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45799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45799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45799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45799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45799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45799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45799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45799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45799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45799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45799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45799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45799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45799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45799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45799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45799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45799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45799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45799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45799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45799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45799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45799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45799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45799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45799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45799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45799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45799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45799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45799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45799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45799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45799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45799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45799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45799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45799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45799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45799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45799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45799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45799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45799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45799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45799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45799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45799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45799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45799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45799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45799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45799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45799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45799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45799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45799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45799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45799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45799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45799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45799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45799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45799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45799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45799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45799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45799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45799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45799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45799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45799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45799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45799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45799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45799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45799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45799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45799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45799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45799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45799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45799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45799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45799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45799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45799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45799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45799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45799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45799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45799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45799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45799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45799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45799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45799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45799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45799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45799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45799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45799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45799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45799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45799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45799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45799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45799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45799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45799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45799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45799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45799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45799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45799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45799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45799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45799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45799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45799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45799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45799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45799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45799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45799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45799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45799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45799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45799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45799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45799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45799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45799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45799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45799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45799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45799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45799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45799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45799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45799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45799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45799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45799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45799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45799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45799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45799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45799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45799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45799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45799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45799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45799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45799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45799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45799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45799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45799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45799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45799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45799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45799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45799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45799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45799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45799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45799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45799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45799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45799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45799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45799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45799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45799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45799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45799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45799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45799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45799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45799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45799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45799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45799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45799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45799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45799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45799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45799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45799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45799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45799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45799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45799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45799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45799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45799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45799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45799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45799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45799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45799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45799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45799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45799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45799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45799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45799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45799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45799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45799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45799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45799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45799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45799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45799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45799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45799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45799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45799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45799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45799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45799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45799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45799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45799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45799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45799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45799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45799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45799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45799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45799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45799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45799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45799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45799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45799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45799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45799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45799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45799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45799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45799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45799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45799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45799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45799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45799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45799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45799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45799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45799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45799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45799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45799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45799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45799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45799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45799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45799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45799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45799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45799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45799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45799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45799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45799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45799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45799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45799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45799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45799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45799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45799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45799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45799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45799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45799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45799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45799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45799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45799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45799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45799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45799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45799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45799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45799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45799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45799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45799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45799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45799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45799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45799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45799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45799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45799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45799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45799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45799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45799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45799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45799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45799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45799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45799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45799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45799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45799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45799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45799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45799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45799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45799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45799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45799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45799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45799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45799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45799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45799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45799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45799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45799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45799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45799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45799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45799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45799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45799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45799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45799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45799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45799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45799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45799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45799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45799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45799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45799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45799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45799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45799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45799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45799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45799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45799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45799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45799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45799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45799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45799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45799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45799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45799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45799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45799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45799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45799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45799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45799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45799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45799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45799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45799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45799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45799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45799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45799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45799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45799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45799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45799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45799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45799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45799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45799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45799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45799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45799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45799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45799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45799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45799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45799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45799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45799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45799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45799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45799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45799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45799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45799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45799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45799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45799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45799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45799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45799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45799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45799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45799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45799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45799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45799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45799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45799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45799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45799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45799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45799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45799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45799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45799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45799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45799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45799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45799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45799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45799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45799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45799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45799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45799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45799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45799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45799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45799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45799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45799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45799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45799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45799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45799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45799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45799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45799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45799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45799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45799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45799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45799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45799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45799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5202-2025</t>
        </is>
      </c>
      <c r="B1273" s="1" t="n">
        <v>45688</v>
      </c>
      <c r="C1273" s="1" t="n">
        <v>45799</v>
      </c>
      <c r="D1273" t="inlineStr">
        <is>
          <t>KALMAR LÄN</t>
        </is>
      </c>
      <c r="E1273" t="inlineStr">
        <is>
          <t>EMMABODA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45799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4747-2025</t>
        </is>
      </c>
      <c r="B1275" s="1" t="n">
        <v>45688</v>
      </c>
      <c r="C1275" s="1" t="n">
        <v>45799</v>
      </c>
      <c r="D1275" t="inlineStr">
        <is>
          <t>KALMAR LÄN</t>
        </is>
      </c>
      <c r="E1275" t="inlineStr">
        <is>
          <t>EMMABODA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5192-2025</t>
        </is>
      </c>
      <c r="B1276" s="1" t="n">
        <v>45688</v>
      </c>
      <c r="C1276" s="1" t="n">
        <v>45799</v>
      </c>
      <c r="D1276" t="inlineStr">
        <is>
          <t>KALMAR LÄN</t>
        </is>
      </c>
      <c r="E1276" t="inlineStr">
        <is>
          <t>EMMABODA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5181-2025</t>
        </is>
      </c>
      <c r="B1277" s="1" t="n">
        <v>45688</v>
      </c>
      <c r="C1277" s="1" t="n">
        <v>45799</v>
      </c>
      <c r="D1277" t="inlineStr">
        <is>
          <t>KALMAR LÄN</t>
        </is>
      </c>
      <c r="E1277" t="inlineStr">
        <is>
          <t>EMMABODA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5212-2025</t>
        </is>
      </c>
      <c r="B1278" s="1" t="n">
        <v>45688</v>
      </c>
      <c r="C1278" s="1" t="n">
        <v>45799</v>
      </c>
      <c r="D1278" t="inlineStr">
        <is>
          <t>KALMAR LÄN</t>
        </is>
      </c>
      <c r="E1278" t="inlineStr">
        <is>
          <t>EMMABODA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5020-2025</t>
        </is>
      </c>
      <c r="B1279" s="1" t="n">
        <v>45691</v>
      </c>
      <c r="C1279" s="1" t="n">
        <v>45799</v>
      </c>
      <c r="D1279" t="inlineStr">
        <is>
          <t>KALMAR LÄN</t>
        </is>
      </c>
      <c r="E1279" t="inlineStr">
        <is>
          <t>EMMABODA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5016-2025</t>
        </is>
      </c>
      <c r="B1280" s="1" t="n">
        <v>45691</v>
      </c>
      <c r="C1280" s="1" t="n">
        <v>45799</v>
      </c>
      <c r="D1280" t="inlineStr">
        <is>
          <t>KALMAR LÄN</t>
        </is>
      </c>
      <c r="E1280" t="inlineStr">
        <is>
          <t>EMMABODA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45799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45799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45799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45799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6690-2025</t>
        </is>
      </c>
      <c r="B1285" s="1" t="n">
        <v>45700</v>
      </c>
      <c r="C1285" s="1" t="n">
        <v>45799</v>
      </c>
      <c r="D1285" t="inlineStr">
        <is>
          <t>KALMAR LÄN</t>
        </is>
      </c>
      <c r="E1285" t="inlineStr">
        <is>
          <t>EMMABODA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45799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45799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45799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8096-2025</t>
        </is>
      </c>
      <c r="B1289" s="1" t="n">
        <v>45707</v>
      </c>
      <c r="C1289" s="1" t="n">
        <v>45799</v>
      </c>
      <c r="D1289" t="inlineStr">
        <is>
          <t>KALMAR LÄN</t>
        </is>
      </c>
      <c r="E1289" t="inlineStr">
        <is>
          <t>EMMABODA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8112-2025</t>
        </is>
      </c>
      <c r="B1290" s="1" t="n">
        <v>45707</v>
      </c>
      <c r="C1290" s="1" t="n">
        <v>45799</v>
      </c>
      <c r="D1290" t="inlineStr">
        <is>
          <t>KALMAR LÄN</t>
        </is>
      </c>
      <c r="E1290" t="inlineStr">
        <is>
          <t>EMMABODA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8058-2025</t>
        </is>
      </c>
      <c r="B1291" s="1" t="n">
        <v>45707</v>
      </c>
      <c r="C1291" s="1" t="n">
        <v>45799</v>
      </c>
      <c r="D1291" t="inlineStr">
        <is>
          <t>KALMAR LÄN</t>
        </is>
      </c>
      <c r="E1291" t="inlineStr">
        <is>
          <t>EMMABODA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8482-2025</t>
        </is>
      </c>
      <c r="B1292" s="1" t="n">
        <v>45709</v>
      </c>
      <c r="C1292" s="1" t="n">
        <v>45799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9275-2025</t>
        </is>
      </c>
      <c r="B1293" s="1" t="n">
        <v>45714</v>
      </c>
      <c r="C1293" s="1" t="n">
        <v>45799</v>
      </c>
      <c r="D1293" t="inlineStr">
        <is>
          <t>KALMAR LÄN</t>
        </is>
      </c>
      <c r="E1293" t="inlineStr">
        <is>
          <t>EMMABODA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9273-2025</t>
        </is>
      </c>
      <c r="B1294" s="1" t="n">
        <v>45714</v>
      </c>
      <c r="C1294" s="1" t="n">
        <v>45799</v>
      </c>
      <c r="D1294" t="inlineStr">
        <is>
          <t>KALMAR LÄN</t>
        </is>
      </c>
      <c r="E1294" t="inlineStr">
        <is>
          <t>EMMABODA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9544-2025</t>
        </is>
      </c>
      <c r="B1295" s="1" t="n">
        <v>45714</v>
      </c>
      <c r="C1295" s="1" t="n">
        <v>45799</v>
      </c>
      <c r="D1295" t="inlineStr">
        <is>
          <t>KALMAR LÄN</t>
        </is>
      </c>
      <c r="E1295" t="inlineStr">
        <is>
          <t>EMMABODA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9408-2025</t>
        </is>
      </c>
      <c r="B1296" s="1" t="n">
        <v>45715</v>
      </c>
      <c r="C1296" s="1" t="n">
        <v>45799</v>
      </c>
      <c r="D1296" t="inlineStr">
        <is>
          <t>KALMAR LÄN</t>
        </is>
      </c>
      <c r="E1296" t="inlineStr">
        <is>
          <t>EMMABODA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9417-2025</t>
        </is>
      </c>
      <c r="B1297" s="1" t="n">
        <v>45715</v>
      </c>
      <c r="C1297" s="1" t="n">
        <v>45799</v>
      </c>
      <c r="D1297" t="inlineStr">
        <is>
          <t>KALMAR LÄN</t>
        </is>
      </c>
      <c r="E1297" t="inlineStr">
        <is>
          <t>EMMABODA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9867-2025</t>
        </is>
      </c>
      <c r="B1298" s="1" t="n">
        <v>45716</v>
      </c>
      <c r="C1298" s="1" t="n">
        <v>45799</v>
      </c>
      <c r="D1298" t="inlineStr">
        <is>
          <t>KALMAR LÄN</t>
        </is>
      </c>
      <c r="E1298" t="inlineStr">
        <is>
          <t>EMMABODA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9684-2025</t>
        </is>
      </c>
      <c r="B1299" s="1" t="n">
        <v>45716</v>
      </c>
      <c r="C1299" s="1" t="n">
        <v>45799</v>
      </c>
      <c r="D1299" t="inlineStr">
        <is>
          <t>KALMAR LÄN</t>
        </is>
      </c>
      <c r="E1299" t="inlineStr">
        <is>
          <t>EMMABODA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9681-2025</t>
        </is>
      </c>
      <c r="B1300" s="1" t="n">
        <v>45716</v>
      </c>
      <c r="C1300" s="1" t="n">
        <v>45799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9688-2025</t>
        </is>
      </c>
      <c r="B1301" s="1" t="n">
        <v>45716</v>
      </c>
      <c r="C1301" s="1" t="n">
        <v>45799</v>
      </c>
      <c r="D1301" t="inlineStr">
        <is>
          <t>KALMAR LÄN</t>
        </is>
      </c>
      <c r="E1301" t="inlineStr">
        <is>
          <t>EMMABODA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9715-2025</t>
        </is>
      </c>
      <c r="B1302" s="1" t="n">
        <v>45716</v>
      </c>
      <c r="C1302" s="1" t="n">
        <v>45799</v>
      </c>
      <c r="D1302" t="inlineStr">
        <is>
          <t>KALMAR LÄN</t>
        </is>
      </c>
      <c r="E1302" t="inlineStr">
        <is>
          <t>EMMABODA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9791-2025</t>
        </is>
      </c>
      <c r="B1303" s="1" t="n">
        <v>45716</v>
      </c>
      <c r="C1303" s="1" t="n">
        <v>45799</v>
      </c>
      <c r="D1303" t="inlineStr">
        <is>
          <t>KALMAR LÄN</t>
        </is>
      </c>
      <c r="E1303" t="inlineStr">
        <is>
          <t>EMMABODA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9789-2025</t>
        </is>
      </c>
      <c r="B1304" s="1" t="n">
        <v>45716</v>
      </c>
      <c r="C1304" s="1" t="n">
        <v>45799</v>
      </c>
      <c r="D1304" t="inlineStr">
        <is>
          <t>KALMAR LÄN</t>
        </is>
      </c>
      <c r="E1304" t="inlineStr">
        <is>
          <t>EMMABODA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9864-2025</t>
        </is>
      </c>
      <c r="B1305" s="1" t="n">
        <v>45716</v>
      </c>
      <c r="C1305" s="1" t="n">
        <v>45799</v>
      </c>
      <c r="D1305" t="inlineStr">
        <is>
          <t>KALMAR LÄN</t>
        </is>
      </c>
      <c r="E1305" t="inlineStr">
        <is>
          <t>EMMABODA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10155-2025</t>
        </is>
      </c>
      <c r="B1306" s="1" t="n">
        <v>45719</v>
      </c>
      <c r="C1306" s="1" t="n">
        <v>45799</v>
      </c>
      <c r="D1306" t="inlineStr">
        <is>
          <t>KALMAR LÄN</t>
        </is>
      </c>
      <c r="E1306" t="inlineStr">
        <is>
          <t>EMMABODA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10104-2025</t>
        </is>
      </c>
      <c r="B1307" s="1" t="n">
        <v>45719</v>
      </c>
      <c r="C1307" s="1" t="n">
        <v>45799</v>
      </c>
      <c r="D1307" t="inlineStr">
        <is>
          <t>KALMAR LÄN</t>
        </is>
      </c>
      <c r="E1307" t="inlineStr">
        <is>
          <t>EMMABODA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10040-2025</t>
        </is>
      </c>
      <c r="B1308" s="1" t="n">
        <v>45719</v>
      </c>
      <c r="C1308" s="1" t="n">
        <v>45799</v>
      </c>
      <c r="D1308" t="inlineStr">
        <is>
          <t>KALMAR LÄN</t>
        </is>
      </c>
      <c r="E1308" t="inlineStr">
        <is>
          <t>EMMABODA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10167-2025</t>
        </is>
      </c>
      <c r="B1309" s="1" t="n">
        <v>45719</v>
      </c>
      <c r="C1309" s="1" t="n">
        <v>45799</v>
      </c>
      <c r="D1309" t="inlineStr">
        <is>
          <t>KALMAR LÄN</t>
        </is>
      </c>
      <c r="E1309" t="inlineStr">
        <is>
          <t>EMMABODA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10157-2025</t>
        </is>
      </c>
      <c r="B1310" s="1" t="n">
        <v>45719</v>
      </c>
      <c r="C1310" s="1" t="n">
        <v>45799</v>
      </c>
      <c r="D1310" t="inlineStr">
        <is>
          <t>KALMAR LÄN</t>
        </is>
      </c>
      <c r="E1310" t="inlineStr">
        <is>
          <t>EMMABODA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10875-2025</t>
        </is>
      </c>
      <c r="B1311" s="1" t="n">
        <v>45722</v>
      </c>
      <c r="C1311" s="1" t="n">
        <v>45799</v>
      </c>
      <c r="D1311" t="inlineStr">
        <is>
          <t>KALMAR LÄN</t>
        </is>
      </c>
      <c r="E1311" t="inlineStr">
        <is>
          <t>EMMABODA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10869-2025</t>
        </is>
      </c>
      <c r="B1312" s="1" t="n">
        <v>45722</v>
      </c>
      <c r="C1312" s="1" t="n">
        <v>45799</v>
      </c>
      <c r="D1312" t="inlineStr">
        <is>
          <t>KALMAR LÄN</t>
        </is>
      </c>
      <c r="E1312" t="inlineStr">
        <is>
          <t>EMMABODA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11414-2025</t>
        </is>
      </c>
      <c r="B1313" s="1" t="n">
        <v>45726</v>
      </c>
      <c r="C1313" s="1" t="n">
        <v>45799</v>
      </c>
      <c r="D1313" t="inlineStr">
        <is>
          <t>KALMAR LÄN</t>
        </is>
      </c>
      <c r="E1313" t="inlineStr">
        <is>
          <t>EMMABODA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11504-2025</t>
        </is>
      </c>
      <c r="B1314" s="1" t="n">
        <v>45726</v>
      </c>
      <c r="C1314" s="1" t="n">
        <v>45799</v>
      </c>
      <c r="D1314" t="inlineStr">
        <is>
          <t>KALMAR LÄN</t>
        </is>
      </c>
      <c r="E1314" t="inlineStr">
        <is>
          <t>EMMABODA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11503-2025</t>
        </is>
      </c>
      <c r="B1315" s="1" t="n">
        <v>45726</v>
      </c>
      <c r="C1315" s="1" t="n">
        <v>45799</v>
      </c>
      <c r="D1315" t="inlineStr">
        <is>
          <t>KALMAR LÄN</t>
        </is>
      </c>
      <c r="E1315" t="inlineStr">
        <is>
          <t>EMMABODA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11616-2025</t>
        </is>
      </c>
      <c r="B1316" s="1" t="n">
        <v>45727</v>
      </c>
      <c r="C1316" s="1" t="n">
        <v>45799</v>
      </c>
      <c r="D1316" t="inlineStr">
        <is>
          <t>KALMAR LÄN</t>
        </is>
      </c>
      <c r="E1316" t="inlineStr">
        <is>
          <t>EMMABODA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11621-2025</t>
        </is>
      </c>
      <c r="B1317" s="1" t="n">
        <v>45727</v>
      </c>
      <c r="C1317" s="1" t="n">
        <v>45799</v>
      </c>
      <c r="D1317" t="inlineStr">
        <is>
          <t>KALMAR LÄN</t>
        </is>
      </c>
      <c r="E1317" t="inlineStr">
        <is>
          <t>EMMABODA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11758-2025</t>
        </is>
      </c>
      <c r="B1318" s="1" t="n">
        <v>45727</v>
      </c>
      <c r="C1318" s="1" t="n">
        <v>45799</v>
      </c>
      <c r="D1318" t="inlineStr">
        <is>
          <t>KALMAR LÄN</t>
        </is>
      </c>
      <c r="E1318" t="inlineStr">
        <is>
          <t>EMMABODA</t>
        </is>
      </c>
      <c r="G1318" t="n">
        <v>9.300000000000001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11876-2025</t>
        </is>
      </c>
      <c r="B1319" s="1" t="n">
        <v>45728</v>
      </c>
      <c r="C1319" s="1" t="n">
        <v>45799</v>
      </c>
      <c r="D1319" t="inlineStr">
        <is>
          <t>KALMAR LÄN</t>
        </is>
      </c>
      <c r="E1319" t="inlineStr">
        <is>
          <t>EMMABODA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12383-2025</t>
        </is>
      </c>
      <c r="B1320" s="1" t="n">
        <v>45730</v>
      </c>
      <c r="C1320" s="1" t="n">
        <v>45799</v>
      </c>
      <c r="D1320" t="inlineStr">
        <is>
          <t>KALMAR LÄN</t>
        </is>
      </c>
      <c r="E1320" t="inlineStr">
        <is>
          <t>EMMABODA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12468-2025</t>
        </is>
      </c>
      <c r="B1321" s="1" t="n">
        <v>45730</v>
      </c>
      <c r="C1321" s="1" t="n">
        <v>45799</v>
      </c>
      <c r="D1321" t="inlineStr">
        <is>
          <t>KALMAR LÄN</t>
        </is>
      </c>
      <c r="E1321" t="inlineStr">
        <is>
          <t>EMMABODA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12884-2025</t>
        </is>
      </c>
      <c r="B1322" s="1" t="n">
        <v>45733</v>
      </c>
      <c r="C1322" s="1" t="n">
        <v>45799</v>
      </c>
      <c r="D1322" t="inlineStr">
        <is>
          <t>KALMAR LÄN</t>
        </is>
      </c>
      <c r="E1322" t="inlineStr">
        <is>
          <t>EMMABODA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13361-2025</t>
        </is>
      </c>
      <c r="B1323" s="1" t="n">
        <v>45735</v>
      </c>
      <c r="C1323" s="1" t="n">
        <v>45799</v>
      </c>
      <c r="D1323" t="inlineStr">
        <is>
          <t>KALMAR LÄN</t>
        </is>
      </c>
      <c r="E1323" t="inlineStr">
        <is>
          <t>EMMABODA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13244-2025</t>
        </is>
      </c>
      <c r="B1324" s="1" t="n">
        <v>45735</v>
      </c>
      <c r="C1324" s="1" t="n">
        <v>45799</v>
      </c>
      <c r="D1324" t="inlineStr">
        <is>
          <t>KALMAR LÄN</t>
        </is>
      </c>
      <c r="E1324" t="inlineStr">
        <is>
          <t>EMMABODA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13564-2025</t>
        </is>
      </c>
      <c r="B1325" s="1" t="n">
        <v>45736</v>
      </c>
      <c r="C1325" s="1" t="n">
        <v>45799</v>
      </c>
      <c r="D1325" t="inlineStr">
        <is>
          <t>KALMAR LÄN</t>
        </is>
      </c>
      <c r="E1325" t="inlineStr">
        <is>
          <t>EMMABODA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14035-2025</t>
        </is>
      </c>
      <c r="B1326" s="1" t="n">
        <v>45740</v>
      </c>
      <c r="C1326" s="1" t="n">
        <v>45799</v>
      </c>
      <c r="D1326" t="inlineStr">
        <is>
          <t>KALMAR LÄN</t>
        </is>
      </c>
      <c r="E1326" t="inlineStr">
        <is>
          <t>EMMABODA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14163-2025</t>
        </is>
      </c>
      <c r="B1327" s="1" t="n">
        <v>45740</v>
      </c>
      <c r="C1327" s="1" t="n">
        <v>45799</v>
      </c>
      <c r="D1327" t="inlineStr">
        <is>
          <t>KALMAR LÄN</t>
        </is>
      </c>
      <c r="E1327" t="inlineStr">
        <is>
          <t>EMMABODA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14167-2025</t>
        </is>
      </c>
      <c r="B1328" s="1" t="n">
        <v>45740</v>
      </c>
      <c r="C1328" s="1" t="n">
        <v>45799</v>
      </c>
      <c r="D1328" t="inlineStr">
        <is>
          <t>KALMAR LÄN</t>
        </is>
      </c>
      <c r="E1328" t="inlineStr">
        <is>
          <t>EMMABODA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14160-2025</t>
        </is>
      </c>
      <c r="B1329" s="1" t="n">
        <v>45740</v>
      </c>
      <c r="C1329" s="1" t="n">
        <v>45799</v>
      </c>
      <c r="D1329" t="inlineStr">
        <is>
          <t>KALMAR LÄN</t>
        </is>
      </c>
      <c r="E1329" t="inlineStr">
        <is>
          <t>EMMABODA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14547-2025</t>
        </is>
      </c>
      <c r="B1330" s="1" t="n">
        <v>45741</v>
      </c>
      <c r="C1330" s="1" t="n">
        <v>45799</v>
      </c>
      <c r="D1330" t="inlineStr">
        <is>
          <t>KALMAR LÄN</t>
        </is>
      </c>
      <c r="E1330" t="inlineStr">
        <is>
          <t>EMMABODA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14791-2025</t>
        </is>
      </c>
      <c r="B1331" s="1" t="n">
        <v>45742</v>
      </c>
      <c r="C1331" s="1" t="n">
        <v>45799</v>
      </c>
      <c r="D1331" t="inlineStr">
        <is>
          <t>KALMAR LÄN</t>
        </is>
      </c>
      <c r="E1331" t="inlineStr">
        <is>
          <t>EMMABODA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14792-2025</t>
        </is>
      </c>
      <c r="B1332" s="1" t="n">
        <v>45742</v>
      </c>
      <c r="C1332" s="1" t="n">
        <v>45799</v>
      </c>
      <c r="D1332" t="inlineStr">
        <is>
          <t>KALMAR LÄN</t>
        </is>
      </c>
      <c r="E1332" t="inlineStr">
        <is>
          <t>EMMABODA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14880-2025</t>
        </is>
      </c>
      <c r="B1333" s="1" t="n">
        <v>45743</v>
      </c>
      <c r="C1333" s="1" t="n">
        <v>45799</v>
      </c>
      <c r="D1333" t="inlineStr">
        <is>
          <t>KALMAR LÄN</t>
        </is>
      </c>
      <c r="E1333" t="inlineStr">
        <is>
          <t>EMMABODA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14970-2025</t>
        </is>
      </c>
      <c r="B1334" s="1" t="n">
        <v>45743</v>
      </c>
      <c r="C1334" s="1" t="n">
        <v>45799</v>
      </c>
      <c r="D1334" t="inlineStr">
        <is>
          <t>KALMAR LÄN</t>
        </is>
      </c>
      <c r="E1334" t="inlineStr">
        <is>
          <t>EMMABODA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14962-2025</t>
        </is>
      </c>
      <c r="B1335" s="1" t="n">
        <v>45743</v>
      </c>
      <c r="C1335" s="1" t="n">
        <v>45799</v>
      </c>
      <c r="D1335" t="inlineStr">
        <is>
          <t>KALMAR LÄN</t>
        </is>
      </c>
      <c r="E1335" t="inlineStr">
        <is>
          <t>EMMABODA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15913-2025</t>
        </is>
      </c>
      <c r="B1336" s="1" t="n">
        <v>45749</v>
      </c>
      <c r="C1336" s="1" t="n">
        <v>45799</v>
      </c>
      <c r="D1336" t="inlineStr">
        <is>
          <t>KALMAR LÄN</t>
        </is>
      </c>
      <c r="E1336" t="inlineStr">
        <is>
          <t>EMMABODA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15898-2025</t>
        </is>
      </c>
      <c r="B1337" s="1" t="n">
        <v>45749</v>
      </c>
      <c r="C1337" s="1" t="n">
        <v>45799</v>
      </c>
      <c r="D1337" t="inlineStr">
        <is>
          <t>KALMAR LÄN</t>
        </is>
      </c>
      <c r="E1337" t="inlineStr">
        <is>
          <t>EMMABODA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16273-2025</t>
        </is>
      </c>
      <c r="B1338" s="1" t="n">
        <v>45751</v>
      </c>
      <c r="C1338" s="1" t="n">
        <v>45799</v>
      </c>
      <c r="D1338" t="inlineStr">
        <is>
          <t>KALMAR LÄN</t>
        </is>
      </c>
      <c r="E1338" t="inlineStr">
        <is>
          <t>EMMABODA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16432-2025</t>
        </is>
      </c>
      <c r="B1339" s="1" t="n">
        <v>45751</v>
      </c>
      <c r="C1339" s="1" t="n">
        <v>45799</v>
      </c>
      <c r="D1339" t="inlineStr">
        <is>
          <t>KALMAR LÄN</t>
        </is>
      </c>
      <c r="E1339" t="inlineStr">
        <is>
          <t>EMMABODA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16427-2025</t>
        </is>
      </c>
      <c r="B1340" s="1" t="n">
        <v>45751</v>
      </c>
      <c r="C1340" s="1" t="n">
        <v>45799</v>
      </c>
      <c r="D1340" t="inlineStr">
        <is>
          <t>KALMAR LÄN</t>
        </is>
      </c>
      <c r="E1340" t="inlineStr">
        <is>
          <t>EMMABODA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16361-2025</t>
        </is>
      </c>
      <c r="B1341" s="1" t="n">
        <v>45751</v>
      </c>
      <c r="C1341" s="1" t="n">
        <v>45799</v>
      </c>
      <c r="D1341" t="inlineStr">
        <is>
          <t>KALMAR LÄN</t>
        </is>
      </c>
      <c r="E1341" t="inlineStr">
        <is>
          <t>EMMABODA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17001-2025</t>
        </is>
      </c>
      <c r="B1342" s="1" t="n">
        <v>45755</v>
      </c>
      <c r="C1342" s="1" t="n">
        <v>45799</v>
      </c>
      <c r="D1342" t="inlineStr">
        <is>
          <t>KALMAR LÄN</t>
        </is>
      </c>
      <c r="E1342" t="inlineStr">
        <is>
          <t>EMMABODA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17568-2025</t>
        </is>
      </c>
      <c r="B1343" s="1" t="n">
        <v>45757</v>
      </c>
      <c r="C1343" s="1" t="n">
        <v>45799</v>
      </c>
      <c r="D1343" t="inlineStr">
        <is>
          <t>KALMAR LÄN</t>
        </is>
      </c>
      <c r="E1343" t="inlineStr">
        <is>
          <t>EMMABODA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17564-2025</t>
        </is>
      </c>
      <c r="B1344" s="1" t="n">
        <v>45757</v>
      </c>
      <c r="C1344" s="1" t="n">
        <v>45799</v>
      </c>
      <c r="D1344" t="inlineStr">
        <is>
          <t>KALMAR LÄN</t>
        </is>
      </c>
      <c r="E1344" t="inlineStr">
        <is>
          <t>EMMABODA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18392-2025</t>
        </is>
      </c>
      <c r="B1345" s="1" t="n">
        <v>45762</v>
      </c>
      <c r="C1345" s="1" t="n">
        <v>45799</v>
      </c>
      <c r="D1345" t="inlineStr">
        <is>
          <t>KALMAR LÄN</t>
        </is>
      </c>
      <c r="E1345" t="inlineStr">
        <is>
          <t>EMMABODA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18621-2025</t>
        </is>
      </c>
      <c r="B1346" s="1" t="n">
        <v>45763</v>
      </c>
      <c r="C1346" s="1" t="n">
        <v>45799</v>
      </c>
      <c r="D1346" t="inlineStr">
        <is>
          <t>KALMAR LÄN</t>
        </is>
      </c>
      <c r="E1346" t="inlineStr">
        <is>
          <t>EMMABODA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19151-2025</t>
        </is>
      </c>
      <c r="B1347" s="1" t="n">
        <v>45769</v>
      </c>
      <c r="C1347" s="1" t="n">
        <v>45799</v>
      </c>
      <c r="D1347" t="inlineStr">
        <is>
          <t>KALMAR LÄN</t>
        </is>
      </c>
      <c r="E1347" t="inlineStr">
        <is>
          <t>EMMABODA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19147-2025</t>
        </is>
      </c>
      <c r="B1348" s="1" t="n">
        <v>45769</v>
      </c>
      <c r="C1348" s="1" t="n">
        <v>45799</v>
      </c>
      <c r="D1348" t="inlineStr">
        <is>
          <t>KALMAR LÄN</t>
        </is>
      </c>
      <c r="E1348" t="inlineStr">
        <is>
          <t>EMMABODA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19350-2025</t>
        </is>
      </c>
      <c r="B1349" s="1" t="n">
        <v>45769</v>
      </c>
      <c r="C1349" s="1" t="n">
        <v>45799</v>
      </c>
      <c r="D1349" t="inlineStr">
        <is>
          <t>KALMAR LÄN</t>
        </is>
      </c>
      <c r="E1349" t="inlineStr">
        <is>
          <t>EMMABODA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19704-2025</t>
        </is>
      </c>
      <c r="B1350" s="1" t="n">
        <v>45771</v>
      </c>
      <c r="C1350" s="1" t="n">
        <v>45799</v>
      </c>
      <c r="D1350" t="inlineStr">
        <is>
          <t>KALMAR LÄN</t>
        </is>
      </c>
      <c r="E1350" t="inlineStr">
        <is>
          <t>EMMABODA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20053-2025</t>
        </is>
      </c>
      <c r="B1351" s="1" t="n">
        <v>45772</v>
      </c>
      <c r="C1351" s="1" t="n">
        <v>45799</v>
      </c>
      <c r="D1351" t="inlineStr">
        <is>
          <t>KALMAR LÄN</t>
        </is>
      </c>
      <c r="E1351" t="inlineStr">
        <is>
          <t>EMMABODA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20051-2025</t>
        </is>
      </c>
      <c r="B1352" s="1" t="n">
        <v>45772</v>
      </c>
      <c r="C1352" s="1" t="n">
        <v>45799</v>
      </c>
      <c r="D1352" t="inlineStr">
        <is>
          <t>KALMAR LÄN</t>
        </is>
      </c>
      <c r="E1352" t="inlineStr">
        <is>
          <t>EMMABODA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20049-2025</t>
        </is>
      </c>
      <c r="B1353" s="1" t="n">
        <v>45772</v>
      </c>
      <c r="C1353" s="1" t="n">
        <v>45799</v>
      </c>
      <c r="D1353" t="inlineStr">
        <is>
          <t>KALMAR LÄN</t>
        </is>
      </c>
      <c r="E1353" t="inlineStr">
        <is>
          <t>EMMABODA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20052-2025</t>
        </is>
      </c>
      <c r="B1354" s="1" t="n">
        <v>45772</v>
      </c>
      <c r="C1354" s="1" t="n">
        <v>45799</v>
      </c>
      <c r="D1354" t="inlineStr">
        <is>
          <t>KALMAR LÄN</t>
        </is>
      </c>
      <c r="E1354" t="inlineStr">
        <is>
          <t>EMMABODA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20511-2025</t>
        </is>
      </c>
      <c r="B1355" s="1" t="n">
        <v>45775</v>
      </c>
      <c r="C1355" s="1" t="n">
        <v>45799</v>
      </c>
      <c r="D1355" t="inlineStr">
        <is>
          <t>KALMAR LÄN</t>
        </is>
      </c>
      <c r="E1355" t="inlineStr">
        <is>
          <t>EMMABODA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20506-2025</t>
        </is>
      </c>
      <c r="B1356" s="1" t="n">
        <v>45775</v>
      </c>
      <c r="C1356" s="1" t="n">
        <v>45799</v>
      </c>
      <c r="D1356" t="inlineStr">
        <is>
          <t>KALMAR LÄN</t>
        </is>
      </c>
      <c r="E1356" t="inlineStr">
        <is>
          <t>EMMABODA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20887-2025</t>
        </is>
      </c>
      <c r="B1357" s="1" t="n">
        <v>45777</v>
      </c>
      <c r="C1357" s="1" t="n">
        <v>45799</v>
      </c>
      <c r="D1357" t="inlineStr">
        <is>
          <t>KALMAR LÄN</t>
        </is>
      </c>
      <c r="E1357" t="inlineStr">
        <is>
          <t>EMMABODA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20889-2025</t>
        </is>
      </c>
      <c r="B1358" s="1" t="n">
        <v>45777</v>
      </c>
      <c r="C1358" s="1" t="n">
        <v>45799</v>
      </c>
      <c r="D1358" t="inlineStr">
        <is>
          <t>KALMAR LÄN</t>
        </is>
      </c>
      <c r="E1358" t="inlineStr">
        <is>
          <t>EMMABODA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21026-2025</t>
        </is>
      </c>
      <c r="B1359" s="1" t="n">
        <v>45777</v>
      </c>
      <c r="C1359" s="1" t="n">
        <v>45799</v>
      </c>
      <c r="D1359" t="inlineStr">
        <is>
          <t>KALMAR LÄN</t>
        </is>
      </c>
      <c r="E1359" t="inlineStr">
        <is>
          <t>EMMABODA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21064-2025</t>
        </is>
      </c>
      <c r="B1360" s="1" t="n">
        <v>45777</v>
      </c>
      <c r="C1360" s="1" t="n">
        <v>45799</v>
      </c>
      <c r="D1360" t="inlineStr">
        <is>
          <t>KALMAR LÄN</t>
        </is>
      </c>
      <c r="E1360" t="inlineStr">
        <is>
          <t>EMMABODA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21189-2025</t>
        </is>
      </c>
      <c r="B1361" s="1" t="n">
        <v>45779</v>
      </c>
      <c r="C1361" s="1" t="n">
        <v>45799</v>
      </c>
      <c r="D1361" t="inlineStr">
        <is>
          <t>KALMAR LÄN</t>
        </is>
      </c>
      <c r="E1361" t="inlineStr">
        <is>
          <t>EMMABODA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21191-2025</t>
        </is>
      </c>
      <c r="B1362" s="1" t="n">
        <v>45779</v>
      </c>
      <c r="C1362" s="1" t="n">
        <v>45799</v>
      </c>
      <c r="D1362" t="inlineStr">
        <is>
          <t>KALMAR LÄN</t>
        </is>
      </c>
      <c r="E1362" t="inlineStr">
        <is>
          <t>EMMABODA</t>
        </is>
      </c>
      <c r="G1362" t="n">
        <v>7.8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21379-2025</t>
        </is>
      </c>
      <c r="B1363" s="1" t="n">
        <v>45782</v>
      </c>
      <c r="C1363" s="1" t="n">
        <v>45799</v>
      </c>
      <c r="D1363" t="inlineStr">
        <is>
          <t>KALMAR LÄN</t>
        </is>
      </c>
      <c r="E1363" t="inlineStr">
        <is>
          <t>EMMABODA</t>
        </is>
      </c>
      <c r="G1363" t="n">
        <v>5.7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21803-2025</t>
        </is>
      </c>
      <c r="B1364" s="1" t="n">
        <v>45783</v>
      </c>
      <c r="C1364" s="1" t="n">
        <v>45799</v>
      </c>
      <c r="D1364" t="inlineStr">
        <is>
          <t>KALMAR LÄN</t>
        </is>
      </c>
      <c r="E1364" t="inlineStr">
        <is>
          <t>EMMABODA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21802-2025</t>
        </is>
      </c>
      <c r="B1365" s="1" t="n">
        <v>45783</v>
      </c>
      <c r="C1365" s="1" t="n">
        <v>45799</v>
      </c>
      <c r="D1365" t="inlineStr">
        <is>
          <t>KALMAR LÄN</t>
        </is>
      </c>
      <c r="E1365" t="inlineStr">
        <is>
          <t>EMMABODA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21804-2025</t>
        </is>
      </c>
      <c r="B1366" s="1" t="n">
        <v>45783</v>
      </c>
      <c r="C1366" s="1" t="n">
        <v>45799</v>
      </c>
      <c r="D1366" t="inlineStr">
        <is>
          <t>KALMAR LÄN</t>
        </is>
      </c>
      <c r="E1366" t="inlineStr">
        <is>
          <t>EMMABODA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22700-2025</t>
        </is>
      </c>
      <c r="B1367" s="1" t="n">
        <v>45789</v>
      </c>
      <c r="C1367" s="1" t="n">
        <v>45799</v>
      </c>
      <c r="D1367" t="inlineStr">
        <is>
          <t>KALMAR LÄN</t>
        </is>
      </c>
      <c r="E1367" t="inlineStr">
        <is>
          <t>EMMABODA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22899-2025</t>
        </is>
      </c>
      <c r="B1368" s="1" t="n">
        <v>45790</v>
      </c>
      <c r="C1368" s="1" t="n">
        <v>45799</v>
      </c>
      <c r="D1368" t="inlineStr">
        <is>
          <t>KALMAR LÄN</t>
        </is>
      </c>
      <c r="E1368" t="inlineStr">
        <is>
          <t>EMMABODA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23931-2025</t>
        </is>
      </c>
      <c r="B1369" s="1" t="n">
        <v>45795</v>
      </c>
      <c r="C1369" s="1" t="n">
        <v>45799</v>
      </c>
      <c r="D1369" t="inlineStr">
        <is>
          <t>KALMAR LÄN</t>
        </is>
      </c>
      <c r="E1369" t="inlineStr">
        <is>
          <t>EMMABODA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24282-2025</t>
        </is>
      </c>
      <c r="B1370" s="1" t="n">
        <v>45797</v>
      </c>
      <c r="C1370" s="1" t="n">
        <v>45799</v>
      </c>
      <c r="D1370" t="inlineStr">
        <is>
          <t>KALMAR LÄN</t>
        </is>
      </c>
      <c r="E1370" t="inlineStr">
        <is>
          <t>EMMABODA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>
      <c r="A1371" t="inlineStr">
        <is>
          <t>A 24273-2025</t>
        </is>
      </c>
      <c r="B1371" s="1" t="n">
        <v>45797</v>
      </c>
      <c r="C1371" s="1" t="n">
        <v>45799</v>
      </c>
      <c r="D1371" t="inlineStr">
        <is>
          <t>KALMAR LÄN</t>
        </is>
      </c>
      <c r="E1371" t="inlineStr">
        <is>
          <t>EMMABODA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2025-05-22T17:08:27Z</dcterms:created>
  <dcterms:modified xmlns:dcterms="http://purl.org/dc/terms/" xmlns:xsi="http://www.w3.org/2001/XMLSchema-instance" xsi:type="dcterms:W3CDTF">2025-05-22T17:08:29Z</dcterms:modified>
</cp:coreProperties>
</file>