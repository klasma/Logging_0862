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46266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46266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46266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46266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46266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46266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46266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46266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46266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46266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46266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46266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46266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46266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46266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46266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58883-2022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44895</v>
      </c>
      <c r="E23" s="1" t="n">
        <v>46266</v>
      </c>
      <c r="F23" t="inlineStr">
        <is>
          <t>KALMAR LÄN</t>
        </is>
      </c>
      <c r="G23" t="inlineStr">
        <is>
          <t>EMMABODA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HYPERLINK("https://klasma.github.io/Logging_0862/artfynd/A 58883-2022 artfynd.xlsx", "A 58883-2022")</f>
        <v/>
      </c>
      <c r="X23">
        <f>HYPERLINK("https://klasma.github.io/Logging_0862/kartor/A 58883-2022 karta.png", "A 58883-2022")</f>
        <v/>
      </c>
      <c r="Y23">
        <f>HYPERLINK("https://klasma.github.io/Logging_0862/kartor_geotiff/A 58883-2022 georefererad karta.tif", "A 58883-2022")</f>
        <v/>
      </c>
      <c r="AA23">
        <f>HYPERLINK("https://klasma.github.io/Logging_0862/klagomål/A 58883-2022 FSC-klagomål.docx", "A 58883-2022")</f>
        <v/>
      </c>
      <c r="AB23">
        <f>HYPERLINK("https://klasma.github.io/Logging_0862/klagomålsmail/A 58883-2022 FSC-klagomål mail.docx", "A 58883-2022")</f>
        <v/>
      </c>
      <c r="AC23">
        <f>HYPERLINK("https://klasma.github.io/Logging_0862/tillsyn/A 58883-2022 tillsynsbegäran.docx", "A 58883-2022")</f>
        <v/>
      </c>
      <c r="AD23">
        <f>HYPERLINK("https://klasma.github.io/Logging_0862/tillsynsmail/A 58883-2022 tillsynsbegäran mail.docx", "A 58883-2022")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46266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46266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46266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46266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46266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9633-2023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46266</v>
      </c>
      <c r="F29" t="inlineStr">
        <is>
          <t>KALMAR LÄN</t>
        </is>
      </c>
      <c r="G29" t="inlineStr">
        <is>
          <t>EMMABODA</t>
        </is>
      </c>
      <c r="I29" t="n">
        <v>3.5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Småjungfrukam</t>
        </is>
      </c>
      <c r="W29">
        <f>HYPERLINK("https://klasma.github.io/Logging_0862/artfynd/A 9633-2023 artfynd.xlsx", "A 9633-2023")</f>
        <v/>
      </c>
      <c r="X29">
        <f>HYPERLINK("https://klasma.github.io/Logging_0862/kartor/A 9633-2023 karta.png", "A 9633-2023")</f>
        <v/>
      </c>
      <c r="Y29">
        <f>HYPERLINK("https://klasma.github.io/Logging_0862/kartor_geotiff/A 9633-2023 georefererad karta.tif", "A 9633-2023")</f>
        <v/>
      </c>
      <c r="AA29">
        <f>HYPERLINK("https://klasma.github.io/Logging_0862/klagomål/A 9633-2023 FSC-klagomål.docx", "A 9633-2023")</f>
        <v/>
      </c>
      <c r="AB29">
        <f>HYPERLINK("https://klasma.github.io/Logging_0862/klagomålsmail/A 9633-2023 FSC-klagomål mail.docx", "A 9633-2023")</f>
        <v/>
      </c>
      <c r="AC29">
        <f>HYPERLINK("https://klasma.github.io/Logging_0862/tillsyn/A 9633-2023 tillsynsbegäran.docx", "A 9633-2023")</f>
        <v/>
      </c>
      <c r="AD29">
        <f>HYPERLINK("https://klasma.github.io/Logging_0862/tillsynsmail/A 9633-2023 tillsynsbegäran mail.docx", "A 9633-2023")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46266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HYPERLINK("https://klasma.github.io/Logging_0862/artfynd/A 46187-2023 artfynd.xlsx", "A 46187-2023")</f>
        <v/>
      </c>
      <c r="X30">
        <f>HYPERLINK("https://klasma.github.io/Logging_0862/kartor/A 46187-2023 karta.png", "A 46187-2023")</f>
        <v/>
      </c>
      <c r="Y30">
        <f>HYPERLINK("https://klasma.github.io/Logging_0862/kartor_geotiff/A 46187-2023 georefererad karta.tif", "A 46187-2023")</f>
        <v/>
      </c>
      <c r="AA30">
        <f>HYPERLINK("https://klasma.github.io/Logging_0862/klagomål/A 46187-2023 FSC-klagomål.docx", "A 46187-2023")</f>
        <v/>
      </c>
      <c r="AB30">
        <f>HYPERLINK("https://klasma.github.io/Logging_0862/klagomålsmail/A 46187-2023 FSC-klagomål mail.docx", "A 46187-2023")</f>
        <v/>
      </c>
      <c r="AC30">
        <f>HYPERLINK("https://klasma.github.io/Logging_0862/tillsyn/A 46187-2023 tillsynsbegäran.docx", "A 46187-2023")</f>
        <v/>
      </c>
      <c r="AD30">
        <f>HYPERLINK("https://klasma.github.io/Logging_0862/tillsynsmail/A 46187-2023 tillsynsbegäran mail.docx", "A 46187-2023")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46266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46266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6247-2026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46266</v>
      </c>
      <c r="F33" t="inlineStr">
        <is>
          <t>KALMAR LÄN</t>
        </is>
      </c>
      <c r="G33" t="inlineStr">
        <is>
          <t>EMMABODA</t>
        </is>
      </c>
      <c r="I33" t="n">
        <v>1.2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HYPERLINK("https://klasma.github.io/Logging_0862/artfynd/A 6247-2026 artfynd.xlsx", "A 6247-2026")</f>
        <v/>
      </c>
      <c r="X33">
        <f>HYPERLINK("https://klasma.github.io/Logging_0862/kartor/A 6247-2026 karta.png", "A 6247-2026")</f>
        <v/>
      </c>
      <c r="Y33">
        <f>HYPERLINK("https://klasma.github.io/Logging_0862/kartor_geotiff/A 6247-2026 georefererad karta.tif", "A 6247-2026")</f>
        <v/>
      </c>
      <c r="AA33">
        <f>HYPERLINK("https://klasma.github.io/Logging_0862/klagomål/A 6247-2026 FSC-klagomål.docx", "A 6247-2026")</f>
        <v/>
      </c>
      <c r="AB33">
        <f>HYPERLINK("https://klasma.github.io/Logging_0862/klagomålsmail/A 6247-2026 FSC-klagomål mail.docx", "A 6247-2026")</f>
        <v/>
      </c>
      <c r="AC33">
        <f>HYPERLINK("https://klasma.github.io/Logging_0862/tillsyn/A 6247-2026 tillsynsbegäran.docx", "A 6247-2026")</f>
        <v/>
      </c>
      <c r="AD33">
        <f>HYPERLINK("https://klasma.github.io/Logging_0862/tillsynsmail/A 6247-2026 tillsynsbegäran mail.docx", "A 6247-2026")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46266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46266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19763-2026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46266</v>
      </c>
      <c r="F36" t="inlineStr">
        <is>
          <t>KALMAR LÄN</t>
        </is>
      </c>
      <c r="G36" t="inlineStr">
        <is>
          <t>EMMABODA</t>
        </is>
      </c>
      <c r="H36" t="inlineStr">
        <is>
          <t>Sveaskog</t>
        </is>
      </c>
      <c r="I36" t="n">
        <v>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Granspira</t>
        </is>
      </c>
      <c r="W36">
        <f>HYPERLINK("https://klasma.github.io/Logging_0862/artfynd/A 19763-2026 artfynd.xlsx", "A 19763-2026")</f>
        <v/>
      </c>
      <c r="X36">
        <f>HYPERLINK("https://klasma.github.io/Logging_0862/kartor/A 19763-2026 karta.png", "A 19763-2026")</f>
        <v/>
      </c>
      <c r="Y36">
        <f>HYPERLINK("https://klasma.github.io/Logging_0862/kartor_geotiff/A 19763-2026 georefererad karta.tif", "A 19763-2026")</f>
        <v/>
      </c>
      <c r="AA36">
        <f>HYPERLINK("https://klasma.github.io/Logging_0862/klagomål/A 19763-2026 FSC-klagomål.docx", "A 19763-2026")</f>
        <v/>
      </c>
      <c r="AB36">
        <f>HYPERLINK("https://klasma.github.io/Logging_0862/klagomålsmail/A 19763-2026 FSC-klagomål mail.docx", "A 19763-2026")</f>
        <v/>
      </c>
      <c r="AC36">
        <f>HYPERLINK("https://klasma.github.io/Logging_0862/tillsyn/A 19763-2026 tillsynsbegäran.docx", "A 19763-2026")</f>
        <v/>
      </c>
      <c r="AD36">
        <f>HYPERLINK("https://klasma.github.io/Logging_0862/tillsynsmail/A 19763-2026 tillsynsbegäran mail.docx", "A 19763-2026")</f>
        <v/>
      </c>
    </row>
    <row r="37" ht="15" customHeight="1">
      <c r="A37" t="inlineStr">
        <is>
          <t>A 31226-2022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44771</v>
      </c>
      <c r="E37" s="1" t="n">
        <v>46266</v>
      </c>
      <c r="F37" t="inlineStr">
        <is>
          <t>KALMAR LÄN</t>
        </is>
      </c>
      <c r="G37" t="inlineStr">
        <is>
          <t>EMMABODA</t>
        </is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Lappuggla</t>
        </is>
      </c>
      <c r="W37">
        <f>HYPERLINK("https://klasma.github.io/Logging_0862/artfynd/A 31226-2022 artfynd.xlsx", "A 31226-2022")</f>
        <v/>
      </c>
      <c r="X37">
        <f>HYPERLINK("https://klasma.github.io/Logging_0862/kartor/A 31226-2022 karta.png", "A 31226-2022")</f>
        <v/>
      </c>
      <c r="Y37">
        <f>HYPERLINK("https://klasma.github.io/Logging_0862/kartor_geotiff/A 31226-2022 georefererad karta.tif", "A 31226-2022")</f>
        <v/>
      </c>
      <c r="AA37">
        <f>HYPERLINK("https://klasma.github.io/Logging_0862/klagomål/A 31226-2022 FSC-klagomål.docx", "A 31226-2022")</f>
        <v/>
      </c>
      <c r="AB37">
        <f>HYPERLINK("https://klasma.github.io/Logging_0862/klagomålsmail/A 31226-2022 FSC-klagomål mail.docx", "A 31226-2022")</f>
        <v/>
      </c>
      <c r="AC37">
        <f>HYPERLINK("https://klasma.github.io/Logging_0862/tillsyn/A 31226-2022 tillsynsbegäran.docx", "A 31226-2022")</f>
        <v/>
      </c>
      <c r="AD37">
        <f>HYPERLINK("https://klasma.github.io/Logging_0862/tillsynsmail/A 31226-2022 tillsynsbegäran mail.docx", "A 31226-2022")</f>
        <v/>
      </c>
      <c r="AE37">
        <f>HYPERLINK("https://klasma.github.io/Logging_0862/fåglar/A 31226-2022 prioriterade fågelarter.docx", "A 31226-2022")</f>
        <v/>
      </c>
    </row>
    <row r="38" ht="15" customHeight="1">
      <c r="A38" t="inlineStr">
        <is>
          <t>A 54981-2025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45967</v>
      </c>
      <c r="E38" s="1" t="n">
        <v>46266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Älg</t>
        </is>
      </c>
      <c r="W38">
        <f>HYPERLINK("https://klasma.github.io/Logging_0862/artfynd/A 54981-2025 artfynd.xlsx", "A 54981-2025")</f>
        <v/>
      </c>
      <c r="X38">
        <f>HYPERLINK("https://klasma.github.io/Logging_0862/kartor/A 54981-2025 karta.png", "A 54981-2025")</f>
        <v/>
      </c>
      <c r="Y38">
        <f>HYPERLINK("https://klasma.github.io/Logging_0862/kartor_geotiff/A 54981-2025 georefererad karta.tif", "A 54981-2025")</f>
        <v/>
      </c>
      <c r="AA38">
        <f>HYPERLINK("https://klasma.github.io/Logging_0862/klagomål/A 54981-2025 FSC-klagomål.docx", "A 54981-2025")</f>
        <v/>
      </c>
      <c r="AB38">
        <f>HYPERLINK("https://klasma.github.io/Logging_0862/klagomålsmail/A 54981-2025 FSC-klagomål mail.docx", "A 54981-2025")</f>
        <v/>
      </c>
      <c r="AC38">
        <f>HYPERLINK("https://klasma.github.io/Logging_0862/tillsyn/A 54981-2025 tillsynsbegäran.docx", "A 54981-2025")</f>
        <v/>
      </c>
      <c r="AD38">
        <f>HYPERLINK("https://klasma.github.io/Logging_0862/tillsynsmail/A 54981-2025 tillsynsbegäran mail.docx", "A 54981-2025")</f>
        <v/>
      </c>
    </row>
    <row r="39" ht="15" customHeight="1">
      <c r="A39" t="inlineStr">
        <is>
          <t>A 18621-2025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46266</v>
      </c>
      <c r="F39" t="inlineStr">
        <is>
          <t>KALMAR LÄN</t>
        </is>
      </c>
      <c r="G39" t="inlineStr">
        <is>
          <t>EMMABODA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Pärluggla</t>
        </is>
      </c>
      <c r="W39">
        <f>HYPERLINK("https://klasma.github.io/Logging_0862/artfynd/A 18621-2025 artfynd.xlsx", "A 18621-2025")</f>
        <v/>
      </c>
      <c r="X39">
        <f>HYPERLINK("https://klasma.github.io/Logging_0862/kartor/A 18621-2025 karta.png", "A 18621-2025")</f>
        <v/>
      </c>
      <c r="Y39">
        <f>HYPERLINK("https://klasma.github.io/Logging_0862/kartor_geotiff/A 18621-2025 georefererad karta.tif", "A 18621-2025")</f>
        <v/>
      </c>
      <c r="AA39">
        <f>HYPERLINK("https://klasma.github.io/Logging_0862/klagomål/A 18621-2025 FSC-klagomål.docx", "A 18621-2025")</f>
        <v/>
      </c>
      <c r="AB39">
        <f>HYPERLINK("https://klasma.github.io/Logging_0862/klagomålsmail/A 18621-2025 FSC-klagomål mail.docx", "A 18621-2025")</f>
        <v/>
      </c>
      <c r="AC39">
        <f>HYPERLINK("https://klasma.github.io/Logging_0862/tillsyn/A 18621-2025 tillsynsbegäran.docx", "A 18621-2025")</f>
        <v/>
      </c>
      <c r="AD39">
        <f>HYPERLINK("https://klasma.github.io/Logging_0862/tillsynsmail/A 18621-2025 tillsynsbegäran mail.docx", "A 18621-2025")</f>
        <v/>
      </c>
      <c r="AE39">
        <f>HYPERLINK("https://klasma.github.io/Logging_0862/fåglar/A 18621-2025 prioriterade fågelarter.docx", "A 18621-2025")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46266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29859-2023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46266</v>
      </c>
      <c r="F41" t="inlineStr">
        <is>
          <t>KALMAR LÄN</t>
        </is>
      </c>
      <c r="G41" t="inlineStr">
        <is>
          <t>EMMABODA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HYPERLINK("https://klasma.github.io/Logging_0862/artfynd/A 29859-2023 artfynd.xlsx", "A 29859-2023")</f>
        <v/>
      </c>
      <c r="X41">
        <f>HYPERLINK("https://klasma.github.io/Logging_0862/kartor/A 29859-2023 karta.png", "A 29859-2023")</f>
        <v/>
      </c>
      <c r="Y41">
        <f>HYPERLINK("https://klasma.github.io/Logging_0862/kartor_geotiff/A 29859-2023 georefererad karta.tif", "A 29859-2023")</f>
        <v/>
      </c>
      <c r="AA41">
        <f>HYPERLINK("https://klasma.github.io/Logging_0862/klagomål/A 29859-2023 FSC-klagomål.docx", "A 29859-2023")</f>
        <v/>
      </c>
      <c r="AB41">
        <f>HYPERLINK("https://klasma.github.io/Logging_0862/klagomålsmail/A 29859-2023 FSC-klagomål mail.docx", "A 29859-2023")</f>
        <v/>
      </c>
      <c r="AC41">
        <f>HYPERLINK("https://klasma.github.io/Logging_0862/tillsyn/A 29859-2023 tillsynsbegäran.docx", "A 29859-2023")</f>
        <v/>
      </c>
      <c r="AD41">
        <f>HYPERLINK("https://klasma.github.io/Logging_0862/tillsynsmail/A 29859-2023 tillsynsbegäran mail.docx", "A 29859-2023")</f>
        <v/>
      </c>
      <c r="AE41">
        <f>HYPERLINK("https://klasma.github.io/Logging_0862/fåglar/A 29859-2023 prioriterade fågelarter.docx", "A 29859-2023")</f>
        <v/>
      </c>
    </row>
    <row r="42" ht="15" customHeight="1">
      <c r="A42" t="inlineStr">
        <is>
          <t>A 60257-2021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46266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60257-2021 artfynd.xlsx", "A 60257-2021")</f>
        <v/>
      </c>
      <c r="X42">
        <f>HYPERLINK("https://klasma.github.io/Logging_0862/kartor/A 60257-2021 karta.png", "A 60257-2021")</f>
        <v/>
      </c>
      <c r="Y42">
        <f>HYPERLINK("https://klasma.github.io/Logging_0862/kartor_geotiff/A 60257-2021 georefererad karta.tif", "A 60257-2021")</f>
        <v/>
      </c>
      <c r="Z42">
        <f>HYPERLINK("https://klasma.github.io/Logging_0862/knärot/A 60257-2021 karta knärot.png", "A 60257-2021")</f>
        <v/>
      </c>
      <c r="AA42">
        <f>HYPERLINK("https://klasma.github.io/Logging_0862/klagomål/A 60257-2021 FSC-klagomål.docx", "A 60257-2021")</f>
        <v/>
      </c>
      <c r="AB42">
        <f>HYPERLINK("https://klasma.github.io/Logging_0862/klagomålsmail/A 60257-2021 FSC-klagomål mail.docx", "A 60257-2021")</f>
        <v/>
      </c>
      <c r="AC42">
        <f>HYPERLINK("https://klasma.github.io/Logging_0862/tillsyn/A 60257-2021 tillsynsbegäran.docx", "A 60257-2021")</f>
        <v/>
      </c>
      <c r="AD42">
        <f>HYPERLINK("https://klasma.github.io/Logging_0862/tillsynsmail/A 60257-2021 tillsynsbegäran mail.docx", "A 60257-2021")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46266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HYPERLINK("https://klasma.github.io/Logging_0862/artfynd/A 27416-2023 artfynd.xlsx", "A 27416-2023")</f>
        <v/>
      </c>
      <c r="X43">
        <f>HYPERLINK("https://klasma.github.io/Logging_0862/kartor/A 27416-2023 karta.png", "A 27416-2023")</f>
        <v/>
      </c>
      <c r="Y43">
        <f>HYPERLINK("https://klasma.github.io/Logging_0862/kartor_geotiff/A 27416-2023 georefererad karta.tif", "A 27416-2023")</f>
        <v/>
      </c>
      <c r="AA43">
        <f>HYPERLINK("https://klasma.github.io/Logging_0862/klagomål/A 27416-2023 FSC-klagomål.docx", "A 27416-2023")</f>
        <v/>
      </c>
      <c r="AB43">
        <f>HYPERLINK("https://klasma.github.io/Logging_0862/klagomålsmail/A 27416-2023 FSC-klagomål mail.docx", "A 27416-2023")</f>
        <v/>
      </c>
      <c r="AC43">
        <f>HYPERLINK("https://klasma.github.io/Logging_0862/tillsyn/A 27416-2023 tillsynsbegäran.docx", "A 27416-2023")</f>
        <v/>
      </c>
      <c r="AD43">
        <f>HYPERLINK("https://klasma.github.io/Logging_0862/tillsynsmail/A 27416-2023 tillsynsbegäran mail.docx", "A 27416-2023")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46266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46266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46266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30949-2026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46266</v>
      </c>
      <c r="F47" t="inlineStr">
        <is>
          <t>KALMAR LÄN</t>
        </is>
      </c>
      <c r="G47" t="inlineStr">
        <is>
          <t>EMMABODA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dunört</t>
        </is>
      </c>
      <c r="W47">
        <f>HYPERLINK("https://klasma.github.io/Logging_0862/artfynd/A 30949-2026 artfynd.xlsx", "A 30949-2026")</f>
        <v/>
      </c>
      <c r="X47">
        <f>HYPERLINK("https://klasma.github.io/Logging_0862/kartor/A 30949-2026 karta.png", "A 30949-2026")</f>
        <v/>
      </c>
      <c r="Y47">
        <f>HYPERLINK("https://klasma.github.io/Logging_0862/kartor_geotiff/A 30949-2026 georefererad karta.tif", "A 30949-2026")</f>
        <v/>
      </c>
      <c r="AA47">
        <f>HYPERLINK("https://klasma.github.io/Logging_0862/klagomål/A 30949-2026 FSC-klagomål.docx", "A 30949-2026")</f>
        <v/>
      </c>
      <c r="AB47">
        <f>HYPERLINK("https://klasma.github.io/Logging_0862/klagomålsmail/A 30949-2026 FSC-klagomål mail.docx", "A 30949-2026")</f>
        <v/>
      </c>
      <c r="AC47">
        <f>HYPERLINK("https://klasma.github.io/Logging_0862/tillsyn/A 30949-2026 tillsynsbegäran.docx", "A 30949-2026")</f>
        <v/>
      </c>
      <c r="AD47">
        <f>HYPERLINK("https://klasma.github.io/Logging_0862/tillsynsmail/A 30949-2026 tillsynsbegäran mail.docx", "A 30949-2026")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46266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46266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46266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46266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46266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46266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46266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46266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46266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46266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46266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46266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46266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46266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46266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46266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46266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46266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44459</v>
      </c>
      <c r="E66" s="1" t="n">
        <v>46266</v>
      </c>
      <c r="F66" t="inlineStr">
        <is>
          <t>KALMAR LÄN</t>
        </is>
      </c>
      <c r="G66" t="inlineStr">
        <is>
          <t>EMMABODA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46266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46266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46266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46266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46266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46266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46266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46266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46266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46266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46266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46266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44691</v>
      </c>
      <c r="E79" s="1" t="n">
        <v>46266</v>
      </c>
      <c r="F79" t="inlineStr">
        <is>
          <t>KALMAR LÄN</t>
        </is>
      </c>
      <c r="G79" t="inlineStr">
        <is>
          <t>EMMABODA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44628</v>
      </c>
      <c r="E80" s="1" t="n">
        <v>46266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44504</v>
      </c>
      <c r="E81" s="1" t="n">
        <v>46266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46266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46266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46266</v>
      </c>
      <c r="F84" t="inlineStr">
        <is>
          <t>KALMAR LÄN</t>
        </is>
      </c>
      <c r="G84" t="inlineStr">
        <is>
          <t>EMMABODA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46266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46266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67184-2021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46266</v>
      </c>
      <c r="F87" t="inlineStr">
        <is>
          <t>KALMAR LÄN</t>
        </is>
      </c>
      <c r="G87" t="inlineStr">
        <is>
          <t>EMMABODA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46266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46266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46266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46266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46266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46266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46266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46266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46266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46266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46266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46266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46266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60540-2021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46266</v>
      </c>
      <c r="F101" t="inlineStr">
        <is>
          <t>KALMAR LÄN</t>
        </is>
      </c>
      <c r="G101" t="inlineStr">
        <is>
          <t>EMMABODA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46266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46266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46266</v>
      </c>
      <c r="F104" t="inlineStr">
        <is>
          <t>KALMAR LÄN</t>
        </is>
      </c>
      <c r="G104" t="inlineStr">
        <is>
          <t>EMMABODA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46266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46266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46266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46266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46266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46266</v>
      </c>
      <c r="F110" t="inlineStr">
        <is>
          <t>KALMAR LÄN</t>
        </is>
      </c>
      <c r="G110" t="inlineStr">
        <is>
          <t>EMMABODA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46266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46266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46266</v>
      </c>
      <c r="F113" t="inlineStr">
        <is>
          <t>KALMAR LÄN</t>
        </is>
      </c>
      <c r="G113" t="inlineStr">
        <is>
          <t>EMMABODA</t>
        </is>
      </c>
      <c r="H113" t="inlineStr">
        <is>
          <t>Kommuner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44622</v>
      </c>
      <c r="E114" s="1" t="n">
        <v>46266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46266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67653-2021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46266</v>
      </c>
      <c r="F116" t="inlineStr">
        <is>
          <t>KALMAR LÄN</t>
        </is>
      </c>
      <c r="G116" t="inlineStr">
        <is>
          <t>EMMABODA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46266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46266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46266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46266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46266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46266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46266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46266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46266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46266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46266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46266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46266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46266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46266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46266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46266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46266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46266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46266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44980</v>
      </c>
      <c r="E137" s="1" t="n">
        <v>46266</v>
      </c>
      <c r="F137" t="inlineStr">
        <is>
          <t>KALMAR LÄN</t>
        </is>
      </c>
      <c r="G137" t="inlineStr">
        <is>
          <t>EMMABODA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46266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45445</v>
      </c>
      <c r="E139" s="1" t="n">
        <v>46266</v>
      </c>
      <c r="F139" t="inlineStr">
        <is>
          <t>KALMAR LÄN</t>
        </is>
      </c>
      <c r="G139" t="inlineStr">
        <is>
          <t>EMMABODA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46266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46266</v>
      </c>
      <c r="F141" t="inlineStr">
        <is>
          <t>KALMAR LÄN</t>
        </is>
      </c>
      <c r="G141" t="inlineStr">
        <is>
          <t>EMMABODA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46266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44953</v>
      </c>
      <c r="E143" s="1" t="n">
        <v>46266</v>
      </c>
      <c r="F143" t="inlineStr">
        <is>
          <t>KALMAR LÄN</t>
        </is>
      </c>
      <c r="G143" t="inlineStr">
        <is>
          <t>EMMABODA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46266</v>
      </c>
      <c r="F144" t="inlineStr">
        <is>
          <t>KALMAR LÄN</t>
        </is>
      </c>
      <c r="G144" t="inlineStr">
        <is>
          <t>EMMABODA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45590</v>
      </c>
      <c r="E145" s="1" t="n">
        <v>46266</v>
      </c>
      <c r="F145" t="inlineStr">
        <is>
          <t>KALMAR LÄN</t>
        </is>
      </c>
      <c r="G145" t="inlineStr">
        <is>
          <t>EMMABODA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45089</v>
      </c>
      <c r="E146" s="1" t="n">
        <v>46266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46266</v>
      </c>
      <c r="F147" t="inlineStr">
        <is>
          <t>KALMAR LÄN</t>
        </is>
      </c>
      <c r="G147" t="inlineStr">
        <is>
          <t>EMMABODA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46266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45040</v>
      </c>
      <c r="E149" s="1" t="n">
        <v>46266</v>
      </c>
      <c r="F149" t="inlineStr">
        <is>
          <t>KALMAR LÄN</t>
        </is>
      </c>
      <c r="G149" t="inlineStr">
        <is>
          <t>EMMABODA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45394</v>
      </c>
      <c r="E150" s="1" t="n">
        <v>46266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46266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44955</v>
      </c>
      <c r="E152" s="1" t="n">
        <v>46266</v>
      </c>
      <c r="F152" t="inlineStr">
        <is>
          <t>KALMAR LÄN</t>
        </is>
      </c>
      <c r="G152" t="inlineStr">
        <is>
          <t>EMMABODA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46266</v>
      </c>
      <c r="F153" t="inlineStr">
        <is>
          <t>KALMAR LÄN</t>
        </is>
      </c>
      <c r="G153" t="inlineStr">
        <is>
          <t>EMMABODA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46266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45048</v>
      </c>
      <c r="E155" s="1" t="n">
        <v>46266</v>
      </c>
      <c r="F155" t="inlineStr">
        <is>
          <t>KALMAR LÄN</t>
        </is>
      </c>
      <c r="G155" t="inlineStr">
        <is>
          <t>EMMABODA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46266</v>
      </c>
      <c r="F156" t="inlineStr">
        <is>
          <t>KALMAR LÄN</t>
        </is>
      </c>
      <c r="G156" t="inlineStr">
        <is>
          <t>EMMABODA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45606</v>
      </c>
      <c r="E157" s="1" t="n">
        <v>46266</v>
      </c>
      <c r="F157" t="inlineStr">
        <is>
          <t>KALMAR LÄN</t>
        </is>
      </c>
      <c r="G157" t="inlineStr">
        <is>
          <t>EMMABODA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46266</v>
      </c>
      <c r="F158" t="inlineStr">
        <is>
          <t>KALMAR LÄN</t>
        </is>
      </c>
      <c r="G158" t="inlineStr">
        <is>
          <t>EMMABODA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45534</v>
      </c>
      <c r="E159" s="1" t="n">
        <v>46266</v>
      </c>
      <c r="F159" t="inlineStr">
        <is>
          <t>KALMAR LÄN</t>
        </is>
      </c>
      <c r="G159" t="inlineStr">
        <is>
          <t>EMMABODA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46266</v>
      </c>
      <c r="F160" t="inlineStr">
        <is>
          <t>KALMAR LÄN</t>
        </is>
      </c>
      <c r="G160" t="inlineStr">
        <is>
          <t>EMMABODA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45551</v>
      </c>
      <c r="E161" s="1" t="n">
        <v>46266</v>
      </c>
      <c r="F161" t="inlineStr">
        <is>
          <t>KALMAR LÄN</t>
        </is>
      </c>
      <c r="G161" t="inlineStr">
        <is>
          <t>EMMABODA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46266</v>
      </c>
      <c r="F162" t="inlineStr">
        <is>
          <t>KALMAR LÄN</t>
        </is>
      </c>
      <c r="G162" t="inlineStr">
        <is>
          <t>EMMABODA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33980-2024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46266</v>
      </c>
      <c r="F163" t="inlineStr">
        <is>
          <t>KALMAR LÄN</t>
        </is>
      </c>
      <c r="G163" t="inlineStr">
        <is>
          <t>EMMABODA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46266</v>
      </c>
      <c r="F164" t="inlineStr">
        <is>
          <t>KALMAR LÄN</t>
        </is>
      </c>
      <c r="G164" t="inlineStr">
        <is>
          <t>EMMABODA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46266</v>
      </c>
      <c r="F165" t="inlineStr">
        <is>
          <t>KALMAR LÄN</t>
        </is>
      </c>
      <c r="G165" t="inlineStr">
        <is>
          <t>EMMABODA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46266</v>
      </c>
      <c r="F166" t="inlineStr">
        <is>
          <t>KALMAR LÄN</t>
        </is>
      </c>
      <c r="G166" t="inlineStr">
        <is>
          <t>EMMABODA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56254-2024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46266</v>
      </c>
      <c r="F167" t="inlineStr">
        <is>
          <t>KALMAR LÄN</t>
        </is>
      </c>
      <c r="G167" t="inlineStr">
        <is>
          <t>EMMABODA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46266</v>
      </c>
      <c r="F168" t="inlineStr">
        <is>
          <t>KALMAR LÄN</t>
        </is>
      </c>
      <c r="G168" t="inlineStr">
        <is>
          <t>EMMABODA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46266</v>
      </c>
      <c r="F169" t="inlineStr">
        <is>
          <t>KALMAR LÄN</t>
        </is>
      </c>
      <c r="G169" t="inlineStr">
        <is>
          <t>EMMABODA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46266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46266</v>
      </c>
      <c r="F171" t="inlineStr">
        <is>
          <t>KALMAR LÄN</t>
        </is>
      </c>
      <c r="G171" t="inlineStr">
        <is>
          <t>EMMABODA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46266</v>
      </c>
      <c r="F172" t="inlineStr">
        <is>
          <t>KALMAR LÄN</t>
        </is>
      </c>
      <c r="G172" t="inlineStr">
        <is>
          <t>EMMABODA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46266</v>
      </c>
      <c r="F173" t="inlineStr">
        <is>
          <t>KALMAR LÄN</t>
        </is>
      </c>
      <c r="G173" t="inlineStr">
        <is>
          <t>EMMABODA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46266</v>
      </c>
      <c r="F174" t="inlineStr">
        <is>
          <t>KALMAR LÄN</t>
        </is>
      </c>
      <c r="G174" t="inlineStr">
        <is>
          <t>EMMABODA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45445</v>
      </c>
      <c r="E175" s="1" t="n">
        <v>46266</v>
      </c>
      <c r="F175" t="inlineStr">
        <is>
          <t>KALMAR LÄN</t>
        </is>
      </c>
      <c r="G175" t="inlineStr">
        <is>
          <t>EMMABODA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46266</v>
      </c>
      <c r="F176" t="inlineStr">
        <is>
          <t>KALMAR LÄN</t>
        </is>
      </c>
      <c r="G176" t="inlineStr">
        <is>
          <t>EMMABODA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46266</v>
      </c>
      <c r="F177" t="inlineStr">
        <is>
          <t>KALMAR LÄN</t>
        </is>
      </c>
      <c r="G177" t="inlineStr">
        <is>
          <t>EMMABODA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51135-2023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45219</v>
      </c>
      <c r="E178" s="1" t="n">
        <v>46266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45317</v>
      </c>
      <c r="E179" s="1" t="n">
        <v>46266</v>
      </c>
      <c r="F179" t="inlineStr">
        <is>
          <t>KALMAR LÄN</t>
        </is>
      </c>
      <c r="G179" t="inlineStr">
        <is>
          <t>EMMABODA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46266</v>
      </c>
      <c r="F180" t="inlineStr">
        <is>
          <t>KALMAR LÄN</t>
        </is>
      </c>
      <c r="G180" t="inlineStr">
        <is>
          <t>EMMABODA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44652</v>
      </c>
      <c r="E181" s="1" t="n">
        <v>46266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45415</v>
      </c>
      <c r="E182" s="1" t="n">
        <v>46266</v>
      </c>
      <c r="F182" t="inlineStr">
        <is>
          <t>KALMAR LÄN</t>
        </is>
      </c>
      <c r="G182" t="inlineStr">
        <is>
          <t>EMMABODA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46266</v>
      </c>
      <c r="F183" t="inlineStr">
        <is>
          <t>KALMAR LÄN</t>
        </is>
      </c>
      <c r="G183" t="inlineStr">
        <is>
          <t>EMMABODA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46266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46266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46266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46266</v>
      </c>
      <c r="F187" t="inlineStr">
        <is>
          <t>KALMAR LÄN</t>
        </is>
      </c>
      <c r="G187" t="inlineStr">
        <is>
          <t>EMMABODA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45049</v>
      </c>
      <c r="E188" s="1" t="n">
        <v>46266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49066-2021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44453</v>
      </c>
      <c r="E189" s="1" t="n">
        <v>46266</v>
      </c>
      <c r="F189" t="inlineStr">
        <is>
          <t>KALMAR LÄN</t>
        </is>
      </c>
      <c r="G189" t="inlineStr">
        <is>
          <t>EMMABODA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29085-2024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45481</v>
      </c>
      <c r="E190" s="1" t="n">
        <v>46266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46266</v>
      </c>
      <c r="F191" t="inlineStr">
        <is>
          <t>KALMAR LÄN</t>
        </is>
      </c>
      <c r="G191" t="inlineStr">
        <is>
          <t>EMMABODA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46266</v>
      </c>
      <c r="F192" t="inlineStr">
        <is>
          <t>KALMAR LÄN</t>
        </is>
      </c>
      <c r="G192" t="inlineStr">
        <is>
          <t>EMMABODA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45609</v>
      </c>
      <c r="E193" s="1" t="n">
        <v>46266</v>
      </c>
      <c r="F193" t="inlineStr">
        <is>
          <t>KALMAR LÄN</t>
        </is>
      </c>
      <c r="G193" t="inlineStr">
        <is>
          <t>EMMABODA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46266</v>
      </c>
      <c r="F194" t="inlineStr">
        <is>
          <t>KALMAR LÄN</t>
        </is>
      </c>
      <c r="G194" t="inlineStr">
        <is>
          <t>EMMABODA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45688</v>
      </c>
      <c r="E195" s="1" t="n">
        <v>46266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45610</v>
      </c>
      <c r="E196" s="1" t="n">
        <v>46266</v>
      </c>
      <c r="F196" t="inlineStr">
        <is>
          <t>KALMAR LÄN</t>
        </is>
      </c>
      <c r="G196" t="inlineStr">
        <is>
          <t>EMMABODA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45400</v>
      </c>
      <c r="E197" s="1" t="n">
        <v>46266</v>
      </c>
      <c r="F197" t="inlineStr">
        <is>
          <t>KALMAR LÄN</t>
        </is>
      </c>
      <c r="G197" t="inlineStr">
        <is>
          <t>EMMABODA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45938</v>
      </c>
      <c r="E198" s="1" t="n">
        <v>46266</v>
      </c>
      <c r="F198" t="inlineStr">
        <is>
          <t>KALMAR LÄN</t>
        </is>
      </c>
      <c r="G198" t="inlineStr">
        <is>
          <t>EMMABODA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46266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46266</v>
      </c>
      <c r="F200" t="inlineStr">
        <is>
          <t>KALMAR LÄN</t>
        </is>
      </c>
      <c r="G200" t="inlineStr">
        <is>
          <t>EMMABODA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45230</v>
      </c>
      <c r="E201" s="1" t="n">
        <v>46266</v>
      </c>
      <c r="F201" t="inlineStr">
        <is>
          <t>KALMAR LÄN</t>
        </is>
      </c>
      <c r="G201" t="inlineStr">
        <is>
          <t>EMMABODA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46266</v>
      </c>
      <c r="F202" t="inlineStr">
        <is>
          <t>KALMAR LÄN</t>
        </is>
      </c>
      <c r="G202" t="inlineStr">
        <is>
          <t>EMMABODA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46266</v>
      </c>
      <c r="F203" t="inlineStr">
        <is>
          <t>KALMAR LÄN</t>
        </is>
      </c>
      <c r="G203" t="inlineStr">
        <is>
          <t>EMMABODA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44572</v>
      </c>
      <c r="E204" s="1" t="n">
        <v>46266</v>
      </c>
      <c r="F204" t="inlineStr">
        <is>
          <t>KALMAR LÄN</t>
        </is>
      </c>
      <c r="G204" t="inlineStr">
        <is>
          <t>EMMABODA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45392</v>
      </c>
      <c r="E205" s="1" t="n">
        <v>46266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46266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46266</v>
      </c>
      <c r="F207" t="inlineStr">
        <is>
          <t>KALMAR LÄN</t>
        </is>
      </c>
      <c r="G207" t="inlineStr">
        <is>
          <t>EMMABODA</t>
        </is>
      </c>
      <c r="H207" t="inlineStr">
        <is>
          <t>Kommuner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46266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46266</v>
      </c>
      <c r="F209" t="inlineStr">
        <is>
          <t>KALMAR LÄN</t>
        </is>
      </c>
      <c r="G209" t="inlineStr">
        <is>
          <t>EMMABODA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45455</v>
      </c>
      <c r="E210" s="1" t="n">
        <v>46266</v>
      </c>
      <c r="F210" t="inlineStr">
        <is>
          <t>KALMAR LÄN</t>
        </is>
      </c>
      <c r="G210" t="inlineStr">
        <is>
          <t>EMMABODA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46266</v>
      </c>
      <c r="F211" t="inlineStr">
        <is>
          <t>KALMAR LÄN</t>
        </is>
      </c>
      <c r="G211" t="inlineStr">
        <is>
          <t>EMMABODA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66658-2021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44519</v>
      </c>
      <c r="E212" s="1" t="n">
        <v>46266</v>
      </c>
      <c r="F212" t="inlineStr">
        <is>
          <t>KALMAR LÄN</t>
        </is>
      </c>
      <c r="G212" t="inlineStr">
        <is>
          <t>EMMABODA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46266</v>
      </c>
      <c r="F213" t="inlineStr">
        <is>
          <t>KALMAR LÄN</t>
        </is>
      </c>
      <c r="G213" t="inlineStr">
        <is>
          <t>EMMABODA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8397-2023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44977</v>
      </c>
      <c r="E214" s="1" t="n">
        <v>46266</v>
      </c>
      <c r="F214" t="inlineStr">
        <is>
          <t>KALMAR LÄN</t>
        </is>
      </c>
      <c r="G214" t="inlineStr">
        <is>
          <t>EMMABODA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36491-2024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46266</v>
      </c>
      <c r="F215" t="inlineStr">
        <is>
          <t>KALMAR LÄN</t>
        </is>
      </c>
      <c r="G215" t="inlineStr">
        <is>
          <t>EMMABODA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46266</v>
      </c>
      <c r="F216" t="inlineStr">
        <is>
          <t>KALMAR LÄN</t>
        </is>
      </c>
      <c r="G216" t="inlineStr">
        <is>
          <t>EMMABODA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46266</v>
      </c>
      <c r="F217" t="inlineStr">
        <is>
          <t>KALMAR LÄN</t>
        </is>
      </c>
      <c r="G217" t="inlineStr">
        <is>
          <t>EMMABODA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45309</v>
      </c>
      <c r="E218" s="1" t="n">
        <v>46266</v>
      </c>
      <c r="F218" t="inlineStr">
        <is>
          <t>KALMAR LÄN</t>
        </is>
      </c>
      <c r="G218" t="inlineStr">
        <is>
          <t>EMMABODA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46266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46266</v>
      </c>
      <c r="F220" t="inlineStr">
        <is>
          <t>KALMAR LÄN</t>
        </is>
      </c>
      <c r="G220" t="inlineStr">
        <is>
          <t>EMMABODA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44683</v>
      </c>
      <c r="E221" s="1" t="n">
        <v>46266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45681</v>
      </c>
      <c r="E222" s="1" t="n">
        <v>46266</v>
      </c>
      <c r="F222" t="inlineStr">
        <is>
          <t>KALMAR LÄN</t>
        </is>
      </c>
      <c r="G222" t="inlineStr">
        <is>
          <t>EMMABODA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46266</v>
      </c>
      <c r="F223" t="inlineStr">
        <is>
          <t>KALMAR LÄN</t>
        </is>
      </c>
      <c r="G223" t="inlineStr">
        <is>
          <t>EMMABODA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46266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46266</v>
      </c>
      <c r="F225" t="inlineStr">
        <is>
          <t>KALMAR LÄN</t>
        </is>
      </c>
      <c r="G225" t="inlineStr">
        <is>
          <t>EMMABODA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46266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46266</v>
      </c>
      <c r="F227" t="inlineStr">
        <is>
          <t>KALMAR LÄN</t>
        </is>
      </c>
      <c r="G227" t="inlineStr">
        <is>
          <t>EMMABODA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46266</v>
      </c>
      <c r="F228" t="inlineStr">
        <is>
          <t>KALMAR LÄN</t>
        </is>
      </c>
      <c r="G228" t="inlineStr">
        <is>
          <t>EMMABODA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45804</v>
      </c>
      <c r="E229" s="1" t="n">
        <v>46266</v>
      </c>
      <c r="F229" t="inlineStr">
        <is>
          <t>KALMAR LÄN</t>
        </is>
      </c>
      <c r="G229" t="inlineStr">
        <is>
          <t>EMMABODA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46266</v>
      </c>
      <c r="F230" t="inlineStr">
        <is>
          <t>KALMAR LÄN</t>
        </is>
      </c>
      <c r="G230" t="inlineStr">
        <is>
          <t>EMMABODA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46266</v>
      </c>
      <c r="F231" t="inlineStr">
        <is>
          <t>KALMAR LÄN</t>
        </is>
      </c>
      <c r="G231" t="inlineStr">
        <is>
          <t>EMMABODA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46266</v>
      </c>
      <c r="F232" t="inlineStr">
        <is>
          <t>KALMAR LÄN</t>
        </is>
      </c>
      <c r="G232" t="inlineStr">
        <is>
          <t>EMMABODA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46266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45148</v>
      </c>
      <c r="E234" s="1" t="n">
        <v>46266</v>
      </c>
      <c r="F234" t="inlineStr">
        <is>
          <t>KALMAR LÄN</t>
        </is>
      </c>
      <c r="G234" t="inlineStr">
        <is>
          <t>EMMABODA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45164</v>
      </c>
      <c r="E235" s="1" t="n">
        <v>46266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46266</v>
      </c>
      <c r="F236" t="inlineStr">
        <is>
          <t>KALMAR LÄN</t>
        </is>
      </c>
      <c r="G236" t="inlineStr">
        <is>
          <t>EMMABODA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46266</v>
      </c>
      <c r="F237" t="inlineStr">
        <is>
          <t>KALMAR LÄN</t>
        </is>
      </c>
      <c r="G237" t="inlineStr">
        <is>
          <t>EMMABODA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45921</v>
      </c>
      <c r="E238" s="1" t="n">
        <v>46266</v>
      </c>
      <c r="F238" t="inlineStr">
        <is>
          <t>KALMAR LÄN</t>
        </is>
      </c>
      <c r="G238" t="inlineStr">
        <is>
          <t>EMMABODA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46266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26486-2022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44739</v>
      </c>
      <c r="E240" s="1" t="n">
        <v>46266</v>
      </c>
      <c r="F240" t="inlineStr">
        <is>
          <t>KALMAR LÄN</t>
        </is>
      </c>
      <c r="G240" t="inlineStr">
        <is>
          <t>EMMABODA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45394</v>
      </c>
      <c r="E241" s="1" t="n">
        <v>46266</v>
      </c>
      <c r="F241" t="inlineStr">
        <is>
          <t>KALMAR LÄN</t>
        </is>
      </c>
      <c r="G241" t="inlineStr">
        <is>
          <t>EMMABODA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45606</v>
      </c>
      <c r="E242" s="1" t="n">
        <v>46266</v>
      </c>
      <c r="F242" t="inlineStr">
        <is>
          <t>KALMAR LÄN</t>
        </is>
      </c>
      <c r="G242" t="inlineStr">
        <is>
          <t>EMMABODA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45813</v>
      </c>
      <c r="E243" s="1" t="n">
        <v>46266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46266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45355</v>
      </c>
      <c r="E245" s="1" t="n">
        <v>46266</v>
      </c>
      <c r="F245" t="inlineStr">
        <is>
          <t>KALMAR LÄN</t>
        </is>
      </c>
      <c r="G245" t="inlineStr">
        <is>
          <t>EMMABODA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46266</v>
      </c>
      <c r="F246" t="inlineStr">
        <is>
          <t>KALMAR LÄN</t>
        </is>
      </c>
      <c r="G246" t="inlineStr">
        <is>
          <t>EMMABODA</t>
        </is>
      </c>
      <c r="H246" t="inlineStr">
        <is>
          <t>Kyrkan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45422</v>
      </c>
      <c r="E247" s="1" t="n">
        <v>46266</v>
      </c>
      <c r="F247" t="inlineStr">
        <is>
          <t>KALMAR LÄN</t>
        </is>
      </c>
      <c r="G247" t="inlineStr">
        <is>
          <t>EMMABODA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45369</v>
      </c>
      <c r="E248" s="1" t="n">
        <v>46266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44982</v>
      </c>
      <c r="E249" s="1" t="n">
        <v>46266</v>
      </c>
      <c r="F249" t="inlineStr">
        <is>
          <t>KALMAR LÄN</t>
        </is>
      </c>
      <c r="G249" t="inlineStr">
        <is>
          <t>EMMABODA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46266</v>
      </c>
      <c r="F250" t="inlineStr">
        <is>
          <t>KALMAR LÄN</t>
        </is>
      </c>
      <c r="G250" t="inlineStr">
        <is>
          <t>EMMABODA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47219-2021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44447</v>
      </c>
      <c r="E251" s="1" t="n">
        <v>46266</v>
      </c>
      <c r="F251" t="inlineStr">
        <is>
          <t>KALMAR LÄN</t>
        </is>
      </c>
      <c r="G251" t="inlineStr">
        <is>
          <t>EMMABODA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34032-2022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44791</v>
      </c>
      <c r="E252" s="1" t="n">
        <v>46266</v>
      </c>
      <c r="F252" t="inlineStr">
        <is>
          <t>KALMAR LÄN</t>
        </is>
      </c>
      <c r="G252" t="inlineStr">
        <is>
          <t>EMMABODA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46266</v>
      </c>
      <c r="F253" t="inlineStr">
        <is>
          <t>KALMAR LÄN</t>
        </is>
      </c>
      <c r="G253" t="inlineStr">
        <is>
          <t>EMMABODA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46266</v>
      </c>
      <c r="F254" t="inlineStr">
        <is>
          <t>KALMAR LÄN</t>
        </is>
      </c>
      <c r="G254" t="inlineStr">
        <is>
          <t>EMMABODA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46266</v>
      </c>
      <c r="F255" t="inlineStr">
        <is>
          <t>KALMAR LÄN</t>
        </is>
      </c>
      <c r="G255" t="inlineStr">
        <is>
          <t>EMMABODA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46266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46266</v>
      </c>
      <c r="F257" t="inlineStr">
        <is>
          <t>KALMAR LÄN</t>
        </is>
      </c>
      <c r="G257" t="inlineStr">
        <is>
          <t>EMMABODA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46266</v>
      </c>
      <c r="F258" t="inlineStr">
        <is>
          <t>KALMAR LÄN</t>
        </is>
      </c>
      <c r="G258" t="inlineStr">
        <is>
          <t>EMMABODA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46266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46266</v>
      </c>
      <c r="F260" t="inlineStr">
        <is>
          <t>KALMAR LÄN</t>
        </is>
      </c>
      <c r="G260" t="inlineStr">
        <is>
          <t>EMMABODA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44783</v>
      </c>
      <c r="E261" s="1" t="n">
        <v>46266</v>
      </c>
      <c r="F261" t="inlineStr">
        <is>
          <t>KALMAR LÄN</t>
        </is>
      </c>
      <c r="G261" t="inlineStr">
        <is>
          <t>EMMABODA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46266</v>
      </c>
      <c r="F262" t="inlineStr">
        <is>
          <t>KALMAR LÄN</t>
        </is>
      </c>
      <c r="G262" t="inlineStr">
        <is>
          <t>EMMABODA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46266</v>
      </c>
      <c r="F263" t="inlineStr">
        <is>
          <t>KALMAR LÄN</t>
        </is>
      </c>
      <c r="G263" t="inlineStr">
        <is>
          <t>EMMABODA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46266</v>
      </c>
      <c r="F264" t="inlineStr">
        <is>
          <t>KALMAR LÄN</t>
        </is>
      </c>
      <c r="G264" t="inlineStr">
        <is>
          <t>EMMABODA</t>
        </is>
      </c>
      <c r="H264" t="inlineStr">
        <is>
          <t>Kommuner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44593</v>
      </c>
      <c r="E265" s="1" t="n">
        <v>46266</v>
      </c>
      <c r="F265" t="inlineStr">
        <is>
          <t>KALMAR LÄN</t>
        </is>
      </c>
      <c r="G265" t="inlineStr">
        <is>
          <t>EMMABODA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45021</v>
      </c>
      <c r="E266" s="1" t="n">
        <v>46266</v>
      </c>
      <c r="F266" t="inlineStr">
        <is>
          <t>KALMAR LÄN</t>
        </is>
      </c>
      <c r="G266" t="inlineStr">
        <is>
          <t>EMMABODA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45805</v>
      </c>
      <c r="E267" s="1" t="n">
        <v>46266</v>
      </c>
      <c r="F267" t="inlineStr">
        <is>
          <t>KALMAR LÄN</t>
        </is>
      </c>
      <c r="G267" t="inlineStr">
        <is>
          <t>EMMABODA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44600</v>
      </c>
      <c r="E268" s="1" t="n">
        <v>46266</v>
      </c>
      <c r="F268" t="inlineStr">
        <is>
          <t>KALMAR LÄN</t>
        </is>
      </c>
      <c r="G268" t="inlineStr">
        <is>
          <t>EMMABODA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46266</v>
      </c>
      <c r="F269" t="inlineStr">
        <is>
          <t>KALMAR LÄN</t>
        </is>
      </c>
      <c r="G269" t="inlineStr">
        <is>
          <t>EMMABODA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46266</v>
      </c>
      <c r="F270" t="inlineStr">
        <is>
          <t>KALMAR LÄN</t>
        </is>
      </c>
      <c r="G270" t="inlineStr">
        <is>
          <t>EMMABODA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34055-2025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45845</v>
      </c>
      <c r="E271" s="1" t="n">
        <v>46266</v>
      </c>
      <c r="F271" t="inlineStr">
        <is>
          <t>KALMAR LÄN</t>
        </is>
      </c>
      <c r="G271" t="inlineStr">
        <is>
          <t>EMMABODA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46266</v>
      </c>
      <c r="F272" t="inlineStr">
        <is>
          <t>KALMAR LÄN</t>
        </is>
      </c>
      <c r="G272" t="inlineStr">
        <is>
          <t>EMMABODA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45475</v>
      </c>
      <c r="E273" s="1" t="n">
        <v>46266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46266</v>
      </c>
      <c r="F274" t="inlineStr">
        <is>
          <t>KALMAR LÄN</t>
        </is>
      </c>
      <c r="G274" t="inlineStr">
        <is>
          <t>EMMABODA</t>
        </is>
      </c>
      <c r="I274" t="n">
        <v>9.300000000000001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46266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45323</v>
      </c>
      <c r="E276" s="1" t="n">
        <v>46266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46266</v>
      </c>
      <c r="F277" t="inlineStr">
        <is>
          <t>KALMAR LÄN</t>
        </is>
      </c>
      <c r="G277" t="inlineStr">
        <is>
          <t>EMMABODA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45475</v>
      </c>
      <c r="E278" s="1" t="n">
        <v>46266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46266</v>
      </c>
      <c r="F279" t="inlineStr">
        <is>
          <t>KALMAR LÄN</t>
        </is>
      </c>
      <c r="G279" t="inlineStr">
        <is>
          <t>EMMABODA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46266</v>
      </c>
      <c r="F280" t="inlineStr">
        <is>
          <t>KALMAR LÄN</t>
        </is>
      </c>
      <c r="G280" t="inlineStr">
        <is>
          <t>EMMABODA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46266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45775</v>
      </c>
      <c r="E282" s="1" t="n">
        <v>46266</v>
      </c>
      <c r="F282" t="inlineStr">
        <is>
          <t>KALMAR LÄN</t>
        </is>
      </c>
      <c r="G282" t="inlineStr">
        <is>
          <t>EMMABODA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45716</v>
      </c>
      <c r="E283" s="1" t="n">
        <v>46266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45851</v>
      </c>
      <c r="E284" s="1" t="n">
        <v>46266</v>
      </c>
      <c r="F284" t="inlineStr">
        <is>
          <t>KALMAR LÄN</t>
        </is>
      </c>
      <c r="G284" t="inlineStr">
        <is>
          <t>EMMABODA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45851</v>
      </c>
      <c r="E285" s="1" t="n">
        <v>46266</v>
      </c>
      <c r="F285" t="inlineStr">
        <is>
          <t>KALMAR LÄN</t>
        </is>
      </c>
      <c r="G285" t="inlineStr">
        <is>
          <t>EMMABODA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46266</v>
      </c>
      <c r="F286" t="inlineStr">
        <is>
          <t>KALMAR LÄN</t>
        </is>
      </c>
      <c r="G286" t="inlineStr">
        <is>
          <t>EMMABODA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45772</v>
      </c>
      <c r="E287" s="1" t="n">
        <v>46266</v>
      </c>
      <c r="F287" t="inlineStr">
        <is>
          <t>KALMAR LÄN</t>
        </is>
      </c>
      <c r="G287" t="inlineStr">
        <is>
          <t>EMMABODA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44690</v>
      </c>
      <c r="E288" s="1" t="n">
        <v>46266</v>
      </c>
      <c r="F288" t="inlineStr">
        <is>
          <t>KALMAR LÄN</t>
        </is>
      </c>
      <c r="G288" t="inlineStr">
        <is>
          <t>EMMABODA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35592-2025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45857</v>
      </c>
      <c r="E289" s="1" t="n">
        <v>46266</v>
      </c>
      <c r="F289" t="inlineStr">
        <is>
          <t>KALMAR LÄN</t>
        </is>
      </c>
      <c r="G289" t="inlineStr">
        <is>
          <t>EMMABODA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45641</v>
      </c>
      <c r="E290" s="1" t="n">
        <v>46266</v>
      </c>
      <c r="F290" t="inlineStr">
        <is>
          <t>KALMAR LÄN</t>
        </is>
      </c>
      <c r="G290" t="inlineStr">
        <is>
          <t>EMMABODA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44593</v>
      </c>
      <c r="E291" s="1" t="n">
        <v>46266</v>
      </c>
      <c r="F291" t="inlineStr">
        <is>
          <t>KALMAR LÄN</t>
        </is>
      </c>
      <c r="G291" t="inlineStr">
        <is>
          <t>EMMABODA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45863</v>
      </c>
      <c r="E292" s="1" t="n">
        <v>46266</v>
      </c>
      <c r="F292" t="inlineStr">
        <is>
          <t>KALMAR LÄN</t>
        </is>
      </c>
      <c r="G292" t="inlineStr">
        <is>
          <t>EMMABODA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44504</v>
      </c>
      <c r="E293" s="1" t="n">
        <v>46266</v>
      </c>
      <c r="F293" t="inlineStr">
        <is>
          <t>KALMAR LÄN</t>
        </is>
      </c>
      <c r="G293" t="inlineStr">
        <is>
          <t>EMMABODA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33065-2023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45126</v>
      </c>
      <c r="E294" s="1" t="n">
        <v>46266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45126</v>
      </c>
      <c r="E295" s="1" t="n">
        <v>46266</v>
      </c>
      <c r="F295" t="inlineStr">
        <is>
          <t>KALMAR LÄN</t>
        </is>
      </c>
      <c r="G295" t="inlineStr">
        <is>
          <t>EMMABODA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45750</v>
      </c>
      <c r="E296" s="1" t="n">
        <v>46266</v>
      </c>
      <c r="F296" t="inlineStr">
        <is>
          <t>KALMAR LÄN</t>
        </is>
      </c>
      <c r="G296" t="inlineStr">
        <is>
          <t>EMMABODA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46266</v>
      </c>
      <c r="F297" t="inlineStr">
        <is>
          <t>KALMAR LÄN</t>
        </is>
      </c>
      <c r="G297" t="inlineStr">
        <is>
          <t>EMMABODA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35522-2022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44799</v>
      </c>
      <c r="E298" s="1" t="n">
        <v>46266</v>
      </c>
      <c r="F298" t="inlineStr">
        <is>
          <t>KALMAR LÄN</t>
        </is>
      </c>
      <c r="G298" t="inlineStr">
        <is>
          <t>EMMABODA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37060-2023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45155</v>
      </c>
      <c r="E299" s="1" t="n">
        <v>46266</v>
      </c>
      <c r="F299" t="inlineStr">
        <is>
          <t>KALMAR LÄN</t>
        </is>
      </c>
      <c r="G299" t="inlineStr">
        <is>
          <t>EMMABODA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46266</v>
      </c>
      <c r="F300" t="inlineStr">
        <is>
          <t>KALMAR LÄN</t>
        </is>
      </c>
      <c r="G300" t="inlineStr">
        <is>
          <t>EMMABODA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44852</v>
      </c>
      <c r="E301" s="1" t="n">
        <v>46266</v>
      </c>
      <c r="F301" t="inlineStr">
        <is>
          <t>KALMAR LÄN</t>
        </is>
      </c>
      <c r="G301" t="inlineStr">
        <is>
          <t>EMMABODA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45190</v>
      </c>
      <c r="E302" s="1" t="n">
        <v>46266</v>
      </c>
      <c r="F302" t="inlineStr">
        <is>
          <t>KALMAR LÄN</t>
        </is>
      </c>
      <c r="G302" t="inlineStr">
        <is>
          <t>EMMABODA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45433</v>
      </c>
      <c r="E303" s="1" t="n">
        <v>46266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45067</v>
      </c>
      <c r="E304" s="1" t="n">
        <v>46266</v>
      </c>
      <c r="F304" t="inlineStr">
        <is>
          <t>KALMAR LÄN</t>
        </is>
      </c>
      <c r="G304" t="inlineStr">
        <is>
          <t>EMMABODA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46266</v>
      </c>
      <c r="F305" t="inlineStr">
        <is>
          <t>KALMAR LÄN</t>
        </is>
      </c>
      <c r="G305" t="inlineStr">
        <is>
          <t>EMMABODA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46266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46266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46266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44984</v>
      </c>
      <c r="E309" s="1" t="n">
        <v>46266</v>
      </c>
      <c r="F309" t="inlineStr">
        <is>
          <t>KALMAR LÄN</t>
        </is>
      </c>
      <c r="G309" t="inlineStr">
        <is>
          <t>EMMABODA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46266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63180-2021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44507</v>
      </c>
      <c r="E311" s="1" t="n">
        <v>46266</v>
      </c>
      <c r="F311" t="inlineStr">
        <is>
          <t>KALMAR LÄN</t>
        </is>
      </c>
      <c r="G311" t="inlineStr">
        <is>
          <t>EMMABODA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46266</v>
      </c>
      <c r="F312" t="inlineStr">
        <is>
          <t>KALMAR LÄN</t>
        </is>
      </c>
      <c r="G312" t="inlineStr">
        <is>
          <t>EMMABODA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46266</v>
      </c>
      <c r="F313" t="inlineStr">
        <is>
          <t>KALMAR LÄN</t>
        </is>
      </c>
      <c r="G313" t="inlineStr">
        <is>
          <t>EMMABODA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46266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45048</v>
      </c>
      <c r="E315" s="1" t="n">
        <v>46266</v>
      </c>
      <c r="F315" t="inlineStr">
        <is>
          <t>KALMAR LÄN</t>
        </is>
      </c>
      <c r="G315" t="inlineStr">
        <is>
          <t>EMMABODA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46266</v>
      </c>
      <c r="F316" t="inlineStr">
        <is>
          <t>KALMAR LÄN</t>
        </is>
      </c>
      <c r="G316" t="inlineStr">
        <is>
          <t>EMMABODA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46266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44619</v>
      </c>
      <c r="E318" s="1" t="n">
        <v>46266</v>
      </c>
      <c r="F318" t="inlineStr">
        <is>
          <t>KALMAR LÄN</t>
        </is>
      </c>
      <c r="G318" t="inlineStr">
        <is>
          <t>EMMABODA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54982-2025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45967</v>
      </c>
      <c r="E319" s="1" t="n">
        <v>46266</v>
      </c>
      <c r="F319" t="inlineStr">
        <is>
          <t>KALMAR LÄN</t>
        </is>
      </c>
      <c r="G319" t="inlineStr">
        <is>
          <t>EMMABODA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45434</v>
      </c>
      <c r="E320" s="1" t="n">
        <v>46266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54983-2025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45967</v>
      </c>
      <c r="E321" s="1" t="n">
        <v>46266</v>
      </c>
      <c r="F321" t="inlineStr">
        <is>
          <t>KALMAR LÄN</t>
        </is>
      </c>
      <c r="G321" t="inlineStr">
        <is>
          <t>EMMABODA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45036</v>
      </c>
      <c r="E322" s="1" t="n">
        <v>46266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46266</v>
      </c>
      <c r="F323" t="inlineStr">
        <is>
          <t>KALMAR LÄN</t>
        </is>
      </c>
      <c r="G323" t="inlineStr">
        <is>
          <t>EMMABODA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46266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45273</v>
      </c>
      <c r="E325" s="1" t="n">
        <v>46266</v>
      </c>
      <c r="F325" t="inlineStr">
        <is>
          <t>KALMAR LÄN</t>
        </is>
      </c>
      <c r="G325" t="inlineStr">
        <is>
          <t>EMMABODA</t>
        </is>
      </c>
      <c r="H325" t="inlineStr">
        <is>
          <t>Kommuner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46266</v>
      </c>
      <c r="F326" t="inlineStr">
        <is>
          <t>KALMAR LÄN</t>
        </is>
      </c>
      <c r="G326" t="inlineStr">
        <is>
          <t>EMMABODA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46266</v>
      </c>
      <c r="F327" t="inlineStr">
        <is>
          <t>KALMAR LÄN</t>
        </is>
      </c>
      <c r="G327" t="inlineStr">
        <is>
          <t>EMMABODA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46266</v>
      </c>
      <c r="F328" t="inlineStr">
        <is>
          <t>KALMAR LÄN</t>
        </is>
      </c>
      <c r="G328" t="inlineStr">
        <is>
          <t>EMMABODA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53252-2023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46266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45132</v>
      </c>
      <c r="E330" s="1" t="n">
        <v>46266</v>
      </c>
      <c r="F330" t="inlineStr">
        <is>
          <t>KALMAR LÄN</t>
        </is>
      </c>
      <c r="G330" t="inlineStr">
        <is>
          <t>EMMABODA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45084</v>
      </c>
      <c r="E331" s="1" t="n">
        <v>46266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66662-2021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44519</v>
      </c>
      <c r="E332" s="1" t="n">
        <v>46266</v>
      </c>
      <c r="F332" t="inlineStr">
        <is>
          <t>KALMAR LÄN</t>
        </is>
      </c>
      <c r="G332" t="inlineStr">
        <is>
          <t>EMMABODA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46266</v>
      </c>
      <c r="F333" t="inlineStr">
        <is>
          <t>KALMAR LÄN</t>
        </is>
      </c>
      <c r="G333" t="inlineStr">
        <is>
          <t>EMMABODA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45102</v>
      </c>
      <c r="E334" s="1" t="n">
        <v>46266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45102</v>
      </c>
      <c r="E335" s="1" t="n">
        <v>46266</v>
      </c>
      <c r="F335" t="inlineStr">
        <is>
          <t>KALMAR LÄN</t>
        </is>
      </c>
      <c r="G335" t="inlineStr">
        <is>
          <t>EMMABODA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44067-2022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44839</v>
      </c>
      <c r="E336" s="1" t="n">
        <v>46266</v>
      </c>
      <c r="F336" t="inlineStr">
        <is>
          <t>KALMAR LÄN</t>
        </is>
      </c>
      <c r="G336" t="inlineStr">
        <is>
          <t>EMMABODA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45317</v>
      </c>
      <c r="E337" s="1" t="n">
        <v>46266</v>
      </c>
      <c r="F337" t="inlineStr">
        <is>
          <t>KALMAR LÄN</t>
        </is>
      </c>
      <c r="G337" t="inlineStr">
        <is>
          <t>EMMABODA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46266</v>
      </c>
      <c r="F338" t="inlineStr">
        <is>
          <t>KALMAR LÄN</t>
        </is>
      </c>
      <c r="G338" t="inlineStr">
        <is>
          <t>EMMABODA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44979</v>
      </c>
      <c r="E339" s="1" t="n">
        <v>46266</v>
      </c>
      <c r="F339" t="inlineStr">
        <is>
          <t>KALMAR LÄN</t>
        </is>
      </c>
      <c r="G339" t="inlineStr">
        <is>
          <t>EMMABODA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45716</v>
      </c>
      <c r="E340" s="1" t="n">
        <v>46266</v>
      </c>
      <c r="F340" t="inlineStr">
        <is>
          <t>KALMAR LÄN</t>
        </is>
      </c>
      <c r="G340" t="inlineStr">
        <is>
          <t>EMMABODA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45091</v>
      </c>
      <c r="E341" s="1" t="n">
        <v>46266</v>
      </c>
      <c r="F341" t="inlineStr">
        <is>
          <t>KALMAR LÄN</t>
        </is>
      </c>
      <c r="G341" t="inlineStr">
        <is>
          <t>EMMABODA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46266</v>
      </c>
      <c r="F342" t="inlineStr">
        <is>
          <t>KALMAR LÄN</t>
        </is>
      </c>
      <c r="G342" t="inlineStr">
        <is>
          <t>EMMABODA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45989</v>
      </c>
      <c r="E343" s="1" t="n">
        <v>46266</v>
      </c>
      <c r="F343" t="inlineStr">
        <is>
          <t>KALMAR LÄN</t>
        </is>
      </c>
      <c r="G343" t="inlineStr">
        <is>
          <t>EMMABODA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45121</v>
      </c>
      <c r="E344" s="1" t="n">
        <v>46266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46266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44979</v>
      </c>
      <c r="E346" s="1" t="n">
        <v>46266</v>
      </c>
      <c r="F346" t="inlineStr">
        <is>
          <t>KALMAR LÄN</t>
        </is>
      </c>
      <c r="G346" t="inlineStr">
        <is>
          <t>EMMABODA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46266</v>
      </c>
      <c r="F347" t="inlineStr">
        <is>
          <t>KALMAR LÄN</t>
        </is>
      </c>
      <c r="G347" t="inlineStr">
        <is>
          <t>EMMABODA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31078-2023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45113</v>
      </c>
      <c r="E348" s="1" t="n">
        <v>46266</v>
      </c>
      <c r="F348" t="inlineStr">
        <is>
          <t>KALMAR LÄN</t>
        </is>
      </c>
      <c r="G348" t="inlineStr">
        <is>
          <t>EMMABODA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45167</v>
      </c>
      <c r="E349" s="1" t="n">
        <v>46266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46266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46266</v>
      </c>
      <c r="F351" t="inlineStr">
        <is>
          <t>KALMAR LÄN</t>
        </is>
      </c>
      <c r="G351" t="inlineStr">
        <is>
          <t>EMMABODA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45069</v>
      </c>
      <c r="E352" s="1" t="n">
        <v>46266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46266</v>
      </c>
      <c r="F353" t="inlineStr">
        <is>
          <t>KALMAR LÄN</t>
        </is>
      </c>
      <c r="G353" t="inlineStr">
        <is>
          <t>EMMABODA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15446-2024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45401</v>
      </c>
      <c r="E354" s="1" t="n">
        <v>46266</v>
      </c>
      <c r="F354" t="inlineStr">
        <is>
          <t>KALMAR LÄN</t>
        </is>
      </c>
      <c r="G354" t="inlineStr">
        <is>
          <t>EMMABODA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7568-2024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46266</v>
      </c>
      <c r="F355" t="inlineStr">
        <is>
          <t>KALMAR LÄN</t>
        </is>
      </c>
      <c r="G355" t="inlineStr">
        <is>
          <t>EMMABODA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46266</v>
      </c>
      <c r="F356" t="inlineStr">
        <is>
          <t>KALMAR LÄN</t>
        </is>
      </c>
      <c r="G356" t="inlineStr">
        <is>
          <t>EMMABODA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46266</v>
      </c>
      <c r="F357" t="inlineStr">
        <is>
          <t>KALMAR LÄN</t>
        </is>
      </c>
      <c r="G357" t="inlineStr">
        <is>
          <t>EMMABODA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45376</v>
      </c>
      <c r="E358" s="1" t="n">
        <v>46266</v>
      </c>
      <c r="F358" t="inlineStr">
        <is>
          <t>KALMAR LÄN</t>
        </is>
      </c>
      <c r="G358" t="inlineStr">
        <is>
          <t>EMMABODA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44445</v>
      </c>
      <c r="E359" s="1" t="n">
        <v>46266</v>
      </c>
      <c r="F359" t="inlineStr">
        <is>
          <t>KALMAR LÄN</t>
        </is>
      </c>
      <c r="G359" t="inlineStr">
        <is>
          <t>EMMABODA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17934-2022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44683</v>
      </c>
      <c r="E360" s="1" t="n">
        <v>46266</v>
      </c>
      <c r="F360" t="inlineStr">
        <is>
          <t>KALMAR LÄN</t>
        </is>
      </c>
      <c r="G360" t="inlineStr">
        <is>
          <t>EMMABODA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57183-2024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46266</v>
      </c>
      <c r="F361" t="inlineStr">
        <is>
          <t>KALMAR LÄN</t>
        </is>
      </c>
      <c r="G361" t="inlineStr">
        <is>
          <t>EMMABODA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45461</v>
      </c>
      <c r="E362" s="1" t="n">
        <v>46266</v>
      </c>
      <c r="F362" t="inlineStr">
        <is>
          <t>KALMAR LÄN</t>
        </is>
      </c>
      <c r="G362" t="inlineStr">
        <is>
          <t>EMMABODA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45349</v>
      </c>
      <c r="E363" s="1" t="n">
        <v>46266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67543-2021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44524</v>
      </c>
      <c r="E364" s="1" t="n">
        <v>46266</v>
      </c>
      <c r="F364" t="inlineStr">
        <is>
          <t>KALMAR LÄN</t>
        </is>
      </c>
      <c r="G364" t="inlineStr">
        <is>
          <t>EMMABODA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45091</v>
      </c>
      <c r="E365" s="1" t="n">
        <v>46266</v>
      </c>
      <c r="F365" t="inlineStr">
        <is>
          <t>KALMAR LÄN</t>
        </is>
      </c>
      <c r="G365" t="inlineStr">
        <is>
          <t>EMMABODA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44897</v>
      </c>
      <c r="E366" s="1" t="n">
        <v>46266</v>
      </c>
      <c r="F366" t="inlineStr">
        <is>
          <t>KALMAR LÄN</t>
        </is>
      </c>
      <c r="G366" t="inlineStr">
        <is>
          <t>EMMABODA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46266</v>
      </c>
      <c r="F367" t="inlineStr">
        <is>
          <t>KALMAR LÄN</t>
        </is>
      </c>
      <c r="G367" t="inlineStr">
        <is>
          <t>EMMABODA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5846-2024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45335</v>
      </c>
      <c r="E368" s="1" t="n">
        <v>46266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45335</v>
      </c>
      <c r="E369" s="1" t="n">
        <v>46266</v>
      </c>
      <c r="F369" t="inlineStr">
        <is>
          <t>KALMAR LÄN</t>
        </is>
      </c>
      <c r="G369" t="inlineStr">
        <is>
          <t>EMMABODA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46862-2023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45200</v>
      </c>
      <c r="E370" s="1" t="n">
        <v>46266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46266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22390-2023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45070</v>
      </c>
      <c r="E372" s="1" t="n">
        <v>46266</v>
      </c>
      <c r="F372" t="inlineStr">
        <is>
          <t>KALMAR LÄN</t>
        </is>
      </c>
      <c r="G372" t="inlineStr">
        <is>
          <t>EMMABODA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46266</v>
      </c>
      <c r="F373" t="inlineStr">
        <is>
          <t>KALMAR LÄN</t>
        </is>
      </c>
      <c r="G373" t="inlineStr">
        <is>
          <t>EMMABODA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44944</v>
      </c>
      <c r="E374" s="1" t="n">
        <v>46266</v>
      </c>
      <c r="F374" t="inlineStr">
        <is>
          <t>KALMAR LÄN</t>
        </is>
      </c>
      <c r="G374" t="inlineStr">
        <is>
          <t>EMMABODA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11061-2024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46266</v>
      </c>
      <c r="F375" t="inlineStr">
        <is>
          <t>KALMAR LÄN</t>
        </is>
      </c>
      <c r="G375" t="inlineStr">
        <is>
          <t>EMMABODA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45400</v>
      </c>
      <c r="E376" s="1" t="n">
        <v>46266</v>
      </c>
      <c r="F376" t="inlineStr">
        <is>
          <t>KALMAR LÄN</t>
        </is>
      </c>
      <c r="G376" t="inlineStr">
        <is>
          <t>EMMABODA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46024</v>
      </c>
      <c r="E377" s="1" t="n">
        <v>46266</v>
      </c>
      <c r="F377" t="inlineStr">
        <is>
          <t>KALMAR LÄN</t>
        </is>
      </c>
      <c r="G377" t="inlineStr">
        <is>
          <t>EMMABODA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45021</v>
      </c>
      <c r="E378" s="1" t="n">
        <v>46266</v>
      </c>
      <c r="F378" t="inlineStr">
        <is>
          <t>KALMAR LÄN</t>
        </is>
      </c>
      <c r="G378" t="inlineStr">
        <is>
          <t>EMMABODA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59764-2022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44900</v>
      </c>
      <c r="E379" s="1" t="n">
        <v>46266</v>
      </c>
      <c r="F379" t="inlineStr">
        <is>
          <t>KALMAR LÄN</t>
        </is>
      </c>
      <c r="G379" t="inlineStr">
        <is>
          <t>EMMABODA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44922</v>
      </c>
      <c r="E380" s="1" t="n">
        <v>46266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32242-2022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44781</v>
      </c>
      <c r="E381" s="1" t="n">
        <v>46266</v>
      </c>
      <c r="F381" t="inlineStr">
        <is>
          <t>KALMAR LÄN</t>
        </is>
      </c>
      <c r="G381" t="inlineStr">
        <is>
          <t>EMMABODA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45466</v>
      </c>
      <c r="E382" s="1" t="n">
        <v>46266</v>
      </c>
      <c r="F382" t="inlineStr">
        <is>
          <t>KALMAR LÄN</t>
        </is>
      </c>
      <c r="G382" t="inlineStr">
        <is>
          <t>EMMABODA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46036</v>
      </c>
      <c r="E383" s="1" t="n">
        <v>46266</v>
      </c>
      <c r="F383" t="inlineStr">
        <is>
          <t>KALMAR LÄN</t>
        </is>
      </c>
      <c r="G383" t="inlineStr">
        <is>
          <t>EMMABODA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9684-2025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45716</v>
      </c>
      <c r="E384" s="1" t="n">
        <v>46266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45327</v>
      </c>
      <c r="E385" s="1" t="n">
        <v>46266</v>
      </c>
      <c r="F385" t="inlineStr">
        <is>
          <t>KALMAR LÄN</t>
        </is>
      </c>
      <c r="G385" t="inlineStr">
        <is>
          <t>EMMABODA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52206-2023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46266</v>
      </c>
      <c r="F386" t="inlineStr">
        <is>
          <t>KALMAR LÄN</t>
        </is>
      </c>
      <c r="G386" t="inlineStr">
        <is>
          <t>EMMABODA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45425</v>
      </c>
      <c r="E387" s="1" t="n">
        <v>46266</v>
      </c>
      <c r="F387" t="inlineStr">
        <is>
          <t>KALMAR LÄN</t>
        </is>
      </c>
      <c r="G387" t="inlineStr">
        <is>
          <t>EMMABODA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46266</v>
      </c>
      <c r="F388" t="inlineStr">
        <is>
          <t>KALMAR LÄN</t>
        </is>
      </c>
      <c r="G388" t="inlineStr">
        <is>
          <t>EMMABODA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44951</v>
      </c>
      <c r="E389" s="1" t="n">
        <v>46266</v>
      </c>
      <c r="F389" t="inlineStr">
        <is>
          <t>KALMAR LÄN</t>
        </is>
      </c>
      <c r="G389" t="inlineStr">
        <is>
          <t>EMMABODA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46266</v>
      </c>
      <c r="F390" t="inlineStr">
        <is>
          <t>KALMAR LÄN</t>
        </is>
      </c>
      <c r="G390" t="inlineStr">
        <is>
          <t>EMMABODA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45099</v>
      </c>
      <c r="E391" s="1" t="n">
        <v>46266</v>
      </c>
      <c r="F391" t="inlineStr">
        <is>
          <t>KALMAR LÄN</t>
        </is>
      </c>
      <c r="G391" t="inlineStr">
        <is>
          <t>EMMABODA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46266</v>
      </c>
      <c r="F392" t="inlineStr">
        <is>
          <t>KALMAR LÄN</t>
        </is>
      </c>
      <c r="G392" t="inlineStr">
        <is>
          <t>EMMABODA</t>
        </is>
      </c>
      <c r="H392" t="inlineStr">
        <is>
          <t>Övriga Aktiebolag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41948-2024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46266</v>
      </c>
      <c r="F393" t="inlineStr">
        <is>
          <t>KALMAR LÄN</t>
        </is>
      </c>
      <c r="G393" t="inlineStr">
        <is>
          <t>EMMABODA</t>
        </is>
      </c>
      <c r="H393" t="inlineStr">
        <is>
          <t>Övriga Aktiebolag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46266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46266</v>
      </c>
      <c r="F395" t="inlineStr">
        <is>
          <t>KALMAR LÄN</t>
        </is>
      </c>
      <c r="G395" t="inlineStr">
        <is>
          <t>EMMABODA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45258</v>
      </c>
      <c r="E396" s="1" t="n">
        <v>46266</v>
      </c>
      <c r="F396" t="inlineStr">
        <is>
          <t>KALMAR LÄN</t>
        </is>
      </c>
      <c r="G396" t="inlineStr">
        <is>
          <t>EMMABODA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46266</v>
      </c>
      <c r="F397" t="inlineStr">
        <is>
          <t>KALMAR LÄN</t>
        </is>
      </c>
      <c r="G397" t="inlineStr">
        <is>
          <t>EMMABODA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46266</v>
      </c>
      <c r="F398" t="inlineStr">
        <is>
          <t>KALMAR LÄN</t>
        </is>
      </c>
      <c r="G398" t="inlineStr">
        <is>
          <t>EMMABODA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45310</v>
      </c>
      <c r="E399" s="1" t="n">
        <v>46266</v>
      </c>
      <c r="F399" t="inlineStr">
        <is>
          <t>KALMAR LÄN</t>
        </is>
      </c>
      <c r="G399" t="inlineStr">
        <is>
          <t>EMMABODA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46266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45573</v>
      </c>
      <c r="E401" s="1" t="n">
        <v>46266</v>
      </c>
      <c r="F401" t="inlineStr">
        <is>
          <t>KALMAR LÄN</t>
        </is>
      </c>
      <c r="G401" t="inlineStr">
        <is>
          <t>EMMABODA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46266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46266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44728</v>
      </c>
      <c r="E404" s="1" t="n">
        <v>46266</v>
      </c>
      <c r="F404" t="inlineStr">
        <is>
          <t>KALMAR LÄN</t>
        </is>
      </c>
      <c r="G404" t="inlineStr">
        <is>
          <t>EMMABODA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46266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46266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45600</v>
      </c>
      <c r="E407" s="1" t="n">
        <v>46266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46266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15292-2024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45400</v>
      </c>
      <c r="E409" s="1" t="n">
        <v>46266</v>
      </c>
      <c r="F409" t="inlineStr">
        <is>
          <t>KALMAR LÄN</t>
        </is>
      </c>
      <c r="G409" t="inlineStr">
        <is>
          <t>EMMABODA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20102-2022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44698</v>
      </c>
      <c r="E410" s="1" t="n">
        <v>46266</v>
      </c>
      <c r="F410" t="inlineStr">
        <is>
          <t>KALMAR LÄN</t>
        </is>
      </c>
      <c r="G410" t="inlineStr">
        <is>
          <t>EMMABODA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46266</v>
      </c>
      <c r="F411" t="inlineStr">
        <is>
          <t>KALMAR LÄN</t>
        </is>
      </c>
      <c r="G411" t="inlineStr">
        <is>
          <t>EMMABODA</t>
        </is>
      </c>
      <c r="H411" t="inlineStr">
        <is>
          <t>Kyrkan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16236-2023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45028</v>
      </c>
      <c r="E412" s="1" t="n">
        <v>46266</v>
      </c>
      <c r="F412" t="inlineStr">
        <is>
          <t>KALMAR LÄN</t>
        </is>
      </c>
      <c r="G412" t="inlineStr">
        <is>
          <t>EMMABODA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45392</v>
      </c>
      <c r="E413" s="1" t="n">
        <v>46266</v>
      </c>
      <c r="F413" t="inlineStr">
        <is>
          <t>KALMAR LÄN</t>
        </is>
      </c>
      <c r="G413" t="inlineStr">
        <is>
          <t>EMMABODA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46266</v>
      </c>
      <c r="F414" t="inlineStr">
        <is>
          <t>KALMAR LÄN</t>
        </is>
      </c>
      <c r="G414" t="inlineStr">
        <is>
          <t>EMMABODA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45531</v>
      </c>
      <c r="E415" s="1" t="n">
        <v>46266</v>
      </c>
      <c r="F415" t="inlineStr">
        <is>
          <t>KALMAR LÄN</t>
        </is>
      </c>
      <c r="G415" t="inlineStr">
        <is>
          <t>EMMABODA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57916-2022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44900</v>
      </c>
      <c r="E416" s="1" t="n">
        <v>46266</v>
      </c>
      <c r="F416" t="inlineStr">
        <is>
          <t>KALMAR LÄN</t>
        </is>
      </c>
      <c r="G416" t="inlineStr">
        <is>
          <t>EMMABODA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46266</v>
      </c>
      <c r="F417" t="inlineStr">
        <is>
          <t>KALMAR LÄN</t>
        </is>
      </c>
      <c r="G417" t="inlineStr">
        <is>
          <t>EMMABODA</t>
        </is>
      </c>
      <c r="H417" t="inlineStr">
        <is>
          <t>Kyrkan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46192-2023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46266</v>
      </c>
      <c r="F418" t="inlineStr">
        <is>
          <t>KALMAR LÄN</t>
        </is>
      </c>
      <c r="G418" t="inlineStr">
        <is>
          <t>EMMABODA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3666-2022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44586</v>
      </c>
      <c r="E419" s="1" t="n">
        <v>46266</v>
      </c>
      <c r="F419" t="inlineStr">
        <is>
          <t>KALMAR LÄN</t>
        </is>
      </c>
      <c r="G419" t="inlineStr">
        <is>
          <t>EMMABODA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46266</v>
      </c>
      <c r="F420" t="inlineStr">
        <is>
          <t>KALMAR LÄN</t>
        </is>
      </c>
      <c r="G420" t="inlineStr">
        <is>
          <t>EMMABODA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46266</v>
      </c>
      <c r="F421" t="inlineStr">
        <is>
          <t>KALMAR LÄN</t>
        </is>
      </c>
      <c r="G421" t="inlineStr">
        <is>
          <t>EMMABODA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46266</v>
      </c>
      <c r="F422" t="inlineStr">
        <is>
          <t>KALMAR LÄN</t>
        </is>
      </c>
      <c r="G422" t="inlineStr">
        <is>
          <t>EMMABODA</t>
        </is>
      </c>
      <c r="H422" t="inlineStr">
        <is>
          <t>Kyrkan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46266</v>
      </c>
      <c r="F423" t="inlineStr">
        <is>
          <t>KALMAR LÄN</t>
        </is>
      </c>
      <c r="G423" t="inlineStr">
        <is>
          <t>EMMABODA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38123-2023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46266</v>
      </c>
      <c r="F424" t="inlineStr">
        <is>
          <t>KALMAR LÄN</t>
        </is>
      </c>
      <c r="G424" t="inlineStr">
        <is>
          <t>EMMABODA</t>
        </is>
      </c>
      <c r="H424" t="inlineStr">
        <is>
          <t>Kommuner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42279-2023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45180</v>
      </c>
      <c r="E425" s="1" t="n">
        <v>46266</v>
      </c>
      <c r="F425" t="inlineStr">
        <is>
          <t>KALMAR LÄN</t>
        </is>
      </c>
      <c r="G425" t="inlineStr">
        <is>
          <t>EMMABODA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46266</v>
      </c>
      <c r="F426" t="inlineStr">
        <is>
          <t>KALMAR LÄN</t>
        </is>
      </c>
      <c r="G426" t="inlineStr">
        <is>
          <t>EMMABODA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9791-2025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46266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46266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46266</v>
      </c>
      <c r="F429" t="inlineStr">
        <is>
          <t>KALMAR LÄN</t>
        </is>
      </c>
      <c r="G429" t="inlineStr">
        <is>
          <t>EMMABODA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11621-2025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45727</v>
      </c>
      <c r="E430" s="1" t="n">
        <v>46266</v>
      </c>
      <c r="F430" t="inlineStr">
        <is>
          <t>KALMAR LÄN</t>
        </is>
      </c>
      <c r="G430" t="inlineStr">
        <is>
          <t>EMMABODA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11820-2026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46266</v>
      </c>
      <c r="F431" t="inlineStr">
        <is>
          <t>KALMAR LÄN</t>
        </is>
      </c>
      <c r="G431" t="inlineStr">
        <is>
          <t>EMMABODA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46085</v>
      </c>
      <c r="E432" s="1" t="n">
        <v>46266</v>
      </c>
      <c r="F432" t="inlineStr">
        <is>
          <t>KALMAR LÄN</t>
        </is>
      </c>
      <c r="G432" t="inlineStr">
        <is>
          <t>EMMABODA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46266</v>
      </c>
      <c r="F433" t="inlineStr">
        <is>
          <t>KALMAR LÄN</t>
        </is>
      </c>
      <c r="G433" t="inlineStr">
        <is>
          <t>EMMABODA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44897</v>
      </c>
      <c r="E434" s="1" t="n">
        <v>46266</v>
      </c>
      <c r="F434" t="inlineStr">
        <is>
          <t>KALMAR LÄN</t>
        </is>
      </c>
      <c r="G434" t="inlineStr">
        <is>
          <t>EMMABODA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46090</v>
      </c>
      <c r="E435" s="1" t="n">
        <v>46266</v>
      </c>
      <c r="F435" t="inlineStr">
        <is>
          <t>KALMAR LÄN</t>
        </is>
      </c>
      <c r="G435" t="inlineStr">
        <is>
          <t>EMMABODA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53447-2024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46266</v>
      </c>
      <c r="F436" t="inlineStr">
        <is>
          <t>KALMAR LÄN</t>
        </is>
      </c>
      <c r="G436" t="inlineStr">
        <is>
          <t>EMMABODA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50467-2021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44455</v>
      </c>
      <c r="E437" s="1" t="n">
        <v>46266</v>
      </c>
      <c r="F437" t="inlineStr">
        <is>
          <t>KALMAR LÄN</t>
        </is>
      </c>
      <c r="G437" t="inlineStr">
        <is>
          <t>EMMABODA</t>
        </is>
      </c>
      <c r="H437" t="inlineStr">
        <is>
          <t>Övriga Aktiebolag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45230</v>
      </c>
      <c r="E438" s="1" t="n">
        <v>46266</v>
      </c>
      <c r="F438" t="inlineStr">
        <is>
          <t>KALMAR LÄN</t>
        </is>
      </c>
      <c r="G438" t="inlineStr">
        <is>
          <t>EMMABODA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46266</v>
      </c>
      <c r="F439" t="inlineStr">
        <is>
          <t>KALMAR LÄN</t>
        </is>
      </c>
      <c r="G439" t="inlineStr">
        <is>
          <t>EMMABODA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47451-2024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45587</v>
      </c>
      <c r="E440" s="1" t="n">
        <v>46266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46266</v>
      </c>
      <c r="F441" t="inlineStr">
        <is>
          <t>KALMAR LÄN</t>
        </is>
      </c>
      <c r="G441" t="inlineStr">
        <is>
          <t>EMMABODA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55590-2024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45622</v>
      </c>
      <c r="E442" s="1" t="n">
        <v>46266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46266</v>
      </c>
      <c r="F443" t="inlineStr">
        <is>
          <t>KALMAR LÄN</t>
        </is>
      </c>
      <c r="G443" t="inlineStr">
        <is>
          <t>EMMABODA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46266</v>
      </c>
      <c r="F444" t="inlineStr">
        <is>
          <t>KALMAR LÄN</t>
        </is>
      </c>
      <c r="G444" t="inlineStr">
        <is>
          <t>EMMABODA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26923-2023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45093</v>
      </c>
      <c r="E445" s="1" t="n">
        <v>46266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44965</v>
      </c>
      <c r="E446" s="1" t="n">
        <v>46266</v>
      </c>
      <c r="F446" t="inlineStr">
        <is>
          <t>KALMAR LÄN</t>
        </is>
      </c>
      <c r="G446" t="inlineStr">
        <is>
          <t>EMMABODA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46266</v>
      </c>
      <c r="F447" t="inlineStr">
        <is>
          <t>KALMAR LÄN</t>
        </is>
      </c>
      <c r="G447" t="inlineStr">
        <is>
          <t>EMMABODA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27676-2022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44743</v>
      </c>
      <c r="E448" s="1" t="n">
        <v>46266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44749</v>
      </c>
      <c r="E449" s="1" t="n">
        <v>46266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45327</v>
      </c>
      <c r="E450" s="1" t="n">
        <v>46266</v>
      </c>
      <c r="F450" t="inlineStr">
        <is>
          <t>KALMAR LÄN</t>
        </is>
      </c>
      <c r="G450" t="inlineStr">
        <is>
          <t>EMMABODA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45327</v>
      </c>
      <c r="E451" s="1" t="n">
        <v>46266</v>
      </c>
      <c r="F451" t="inlineStr">
        <is>
          <t>KALMAR LÄN</t>
        </is>
      </c>
      <c r="G451" t="inlineStr">
        <is>
          <t>EMMABODA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41366-2024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46266</v>
      </c>
      <c r="F452" t="inlineStr">
        <is>
          <t>KALMAR LÄN</t>
        </is>
      </c>
      <c r="G452" t="inlineStr">
        <is>
          <t>EMMABODA</t>
        </is>
      </c>
      <c r="H452" t="inlineStr">
        <is>
          <t>Övriga Aktiebolag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46266</v>
      </c>
      <c r="F453" t="inlineStr">
        <is>
          <t>KALMAR LÄN</t>
        </is>
      </c>
      <c r="G453" t="inlineStr">
        <is>
          <t>EMMABODA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46120</v>
      </c>
      <c r="E454" s="1" t="n">
        <v>46266</v>
      </c>
      <c r="F454" t="inlineStr">
        <is>
          <t>KALMAR LÄN</t>
        </is>
      </c>
      <c r="G454" t="inlineStr">
        <is>
          <t>EMMABODA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46266</v>
      </c>
      <c r="F455" t="inlineStr">
        <is>
          <t>KALMAR LÄN</t>
        </is>
      </c>
      <c r="G455" t="inlineStr">
        <is>
          <t>EMMABODA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19881-2024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45433</v>
      </c>
      <c r="E456" s="1" t="n">
        <v>46266</v>
      </c>
      <c r="F456" t="inlineStr">
        <is>
          <t>KALMAR LÄN</t>
        </is>
      </c>
      <c r="G456" t="inlineStr">
        <is>
          <t>EMMABODA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46266</v>
      </c>
      <c r="F457" t="inlineStr">
        <is>
          <t>KALMAR LÄN</t>
        </is>
      </c>
      <c r="G457" t="inlineStr">
        <is>
          <t>EMMABODA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13801-2023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45007</v>
      </c>
      <c r="E458" s="1" t="n">
        <v>46266</v>
      </c>
      <c r="F458" t="inlineStr">
        <is>
          <t>KALMAR LÄN</t>
        </is>
      </c>
      <c r="G458" t="inlineStr">
        <is>
          <t>EMMABODA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45007</v>
      </c>
      <c r="E459" s="1" t="n">
        <v>46266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7719-2025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46266</v>
      </c>
      <c r="F460" t="inlineStr">
        <is>
          <t>KALMAR LÄN</t>
        </is>
      </c>
      <c r="G460" t="inlineStr">
        <is>
          <t>EMMABODA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46266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24784-2023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46266</v>
      </c>
      <c r="F462" t="inlineStr">
        <is>
          <t>KALMAR LÄN</t>
        </is>
      </c>
      <c r="G462" t="inlineStr">
        <is>
          <t>EMMABODA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45537</v>
      </c>
      <c r="E463" s="1" t="n">
        <v>46266</v>
      </c>
      <c r="F463" t="inlineStr">
        <is>
          <t>KALMAR LÄN</t>
        </is>
      </c>
      <c r="G463" t="inlineStr">
        <is>
          <t>EMMABODA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64681-2023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45281</v>
      </c>
      <c r="E464" s="1" t="n">
        <v>46266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46266</v>
      </c>
      <c r="F465" t="inlineStr">
        <is>
          <t>KALMAR LÄN</t>
        </is>
      </c>
      <c r="G465" t="inlineStr">
        <is>
          <t>EMMABODA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49626-2023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46266</v>
      </c>
      <c r="F466" t="inlineStr">
        <is>
          <t>KALMAR LÄN</t>
        </is>
      </c>
      <c r="G466" t="inlineStr">
        <is>
          <t>EMMABODA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45021</v>
      </c>
      <c r="E467" s="1" t="n">
        <v>46266</v>
      </c>
      <c r="F467" t="inlineStr">
        <is>
          <t>KALMAR LÄN</t>
        </is>
      </c>
      <c r="G467" t="inlineStr">
        <is>
          <t>EMMABODA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18444-2026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46127</v>
      </c>
      <c r="E468" s="1" t="n">
        <v>46266</v>
      </c>
      <c r="F468" t="inlineStr">
        <is>
          <t>KALMAR LÄN</t>
        </is>
      </c>
      <c r="G468" t="inlineStr">
        <is>
          <t>EMMABODA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18437-2026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46127</v>
      </c>
      <c r="E469" s="1" t="n">
        <v>46266</v>
      </c>
      <c r="F469" t="inlineStr">
        <is>
          <t>KALMAR LÄN</t>
        </is>
      </c>
      <c r="G469" t="inlineStr">
        <is>
          <t>EMMABODA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68940-2021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44530</v>
      </c>
      <c r="E470" s="1" t="n">
        <v>46266</v>
      </c>
      <c r="F470" t="inlineStr">
        <is>
          <t>KALMAR LÄN</t>
        </is>
      </c>
      <c r="G470" t="inlineStr">
        <is>
          <t>EMMABODA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45189</v>
      </c>
      <c r="E471" s="1" t="n">
        <v>46266</v>
      </c>
      <c r="F471" t="inlineStr">
        <is>
          <t>KALMAR LÄN</t>
        </is>
      </c>
      <c r="G471" t="inlineStr">
        <is>
          <t>EMMABODA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46266</v>
      </c>
      <c r="F472" t="inlineStr">
        <is>
          <t>KALMAR LÄN</t>
        </is>
      </c>
      <c r="G472" t="inlineStr">
        <is>
          <t>EMMABODA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46266</v>
      </c>
      <c r="F473" t="inlineStr">
        <is>
          <t>KALMAR LÄN</t>
        </is>
      </c>
      <c r="G473" t="inlineStr">
        <is>
          <t>EMMABODA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46775-2022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44851</v>
      </c>
      <c r="E474" s="1" t="n">
        <v>46266</v>
      </c>
      <c r="F474" t="inlineStr">
        <is>
          <t>KALMAR LÄN</t>
        </is>
      </c>
      <c r="G474" t="inlineStr">
        <is>
          <t>EMMABODA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44960</v>
      </c>
      <c r="E475" s="1" t="n">
        <v>46266</v>
      </c>
      <c r="F475" t="inlineStr">
        <is>
          <t>KALMAR LÄN</t>
        </is>
      </c>
      <c r="G475" t="inlineStr">
        <is>
          <t>EMMABODA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46266</v>
      </c>
      <c r="F476" t="inlineStr">
        <is>
          <t>KALMAR LÄN</t>
        </is>
      </c>
      <c r="G476" t="inlineStr">
        <is>
          <t>EMMABODA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59737-2021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44494</v>
      </c>
      <c r="E477" s="1" t="n">
        <v>46266</v>
      </c>
      <c r="F477" t="inlineStr">
        <is>
          <t>KALMAR LÄN</t>
        </is>
      </c>
      <c r="G477" t="inlineStr">
        <is>
          <t>EMMABODA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44993</v>
      </c>
      <c r="E478" s="1" t="n">
        <v>46266</v>
      </c>
      <c r="F478" t="inlineStr">
        <is>
          <t>KALMAR LÄN</t>
        </is>
      </c>
      <c r="G478" t="inlineStr">
        <is>
          <t>EMMABODA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56549-2022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44893</v>
      </c>
      <c r="E479" s="1" t="n">
        <v>46266</v>
      </c>
      <c r="F479" t="inlineStr">
        <is>
          <t>KALMAR LÄN</t>
        </is>
      </c>
      <c r="G479" t="inlineStr">
        <is>
          <t>EMMABODA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46139</v>
      </c>
      <c r="E480" s="1" t="n">
        <v>46266</v>
      </c>
      <c r="F480" t="inlineStr">
        <is>
          <t>KALMAR LÄN</t>
        </is>
      </c>
      <c r="G480" t="inlineStr">
        <is>
          <t>EMMABODA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45392</v>
      </c>
      <c r="E481" s="1" t="n">
        <v>46266</v>
      </c>
      <c r="F481" t="inlineStr">
        <is>
          <t>KALMAR LÄN</t>
        </is>
      </c>
      <c r="G481" t="inlineStr">
        <is>
          <t>EMMABODA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54857-2025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46266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46266</v>
      </c>
      <c r="F483" t="inlineStr">
        <is>
          <t>KALMAR LÄN</t>
        </is>
      </c>
      <c r="G483" t="inlineStr">
        <is>
          <t>EMMABODA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66333-2021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44518</v>
      </c>
      <c r="E484" s="1" t="n">
        <v>46266</v>
      </c>
      <c r="F484" t="inlineStr">
        <is>
          <t>KALMAR LÄN</t>
        </is>
      </c>
      <c r="G484" t="inlineStr">
        <is>
          <t>EMMABODA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24776-2022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44728</v>
      </c>
      <c r="E485" s="1" t="n">
        <v>46266</v>
      </c>
      <c r="F485" t="inlineStr">
        <is>
          <t>KALMAR LÄN</t>
        </is>
      </c>
      <c r="G485" t="inlineStr">
        <is>
          <t>EMMABODA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45009</v>
      </c>
      <c r="E486" s="1" t="n">
        <v>46266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45009</v>
      </c>
      <c r="E487" s="1" t="n">
        <v>46266</v>
      </c>
      <c r="F487" t="inlineStr">
        <is>
          <t>KALMAR LÄN</t>
        </is>
      </c>
      <c r="G487" t="inlineStr">
        <is>
          <t>EMMABODA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14138-2023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45009</v>
      </c>
      <c r="E488" s="1" t="n">
        <v>46266</v>
      </c>
      <c r="F488" t="inlineStr">
        <is>
          <t>KALMAR LÄN</t>
        </is>
      </c>
      <c r="G488" t="inlineStr">
        <is>
          <t>EMMABODA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45009</v>
      </c>
      <c r="E489" s="1" t="n">
        <v>46266</v>
      </c>
      <c r="F489" t="inlineStr">
        <is>
          <t>KALMAR LÄN</t>
        </is>
      </c>
      <c r="G489" t="inlineStr">
        <is>
          <t>EMMABODA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41429-2025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45901</v>
      </c>
      <c r="E490" s="1" t="n">
        <v>46266</v>
      </c>
      <c r="F490" t="inlineStr">
        <is>
          <t>KALMAR LÄN</t>
        </is>
      </c>
      <c r="G490" t="inlineStr">
        <is>
          <t>EMMABODA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43135-2025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45909</v>
      </c>
      <c r="E491" s="1" t="n">
        <v>46266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61791-2022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44911</v>
      </c>
      <c r="E492" s="1" t="n">
        <v>46266</v>
      </c>
      <c r="F492" t="inlineStr">
        <is>
          <t>KALMAR LÄN</t>
        </is>
      </c>
      <c r="G492" t="inlineStr">
        <is>
          <t>EMMABODA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46266</v>
      </c>
      <c r="F493" t="inlineStr">
        <is>
          <t>KALMAR LÄN</t>
        </is>
      </c>
      <c r="G493" t="inlineStr">
        <is>
          <t>EMMABODA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45551</v>
      </c>
      <c r="E494" s="1" t="n">
        <v>46266</v>
      </c>
      <c r="F494" t="inlineStr">
        <is>
          <t>KALMAR LÄN</t>
        </is>
      </c>
      <c r="G494" t="inlineStr">
        <is>
          <t>EMMABODA</t>
        </is>
      </c>
      <c r="H494" t="inlineStr">
        <is>
          <t>Sveaskog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45514</v>
      </c>
      <c r="E495" s="1" t="n">
        <v>46266</v>
      </c>
      <c r="F495" t="inlineStr">
        <is>
          <t>KALMAR LÄN</t>
        </is>
      </c>
      <c r="G495" t="inlineStr">
        <is>
          <t>EMMABODA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45514</v>
      </c>
      <c r="E496" s="1" t="n">
        <v>46266</v>
      </c>
      <c r="F496" t="inlineStr">
        <is>
          <t>KALMAR LÄN</t>
        </is>
      </c>
      <c r="G496" t="inlineStr">
        <is>
          <t>EMMABODA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45401</v>
      </c>
      <c r="E497" s="1" t="n">
        <v>46266</v>
      </c>
      <c r="F497" t="inlineStr">
        <is>
          <t>KALMAR LÄN</t>
        </is>
      </c>
      <c r="G497" t="inlineStr">
        <is>
          <t>EMMABODA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46527-2025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46266</v>
      </c>
      <c r="F498" t="inlineStr">
        <is>
          <t>KALMAR LÄN</t>
        </is>
      </c>
      <c r="G498" t="inlineStr">
        <is>
          <t>EMMABODA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47291-2023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45202</v>
      </c>
      <c r="E499" s="1" t="n">
        <v>46266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58640-2024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46266</v>
      </c>
      <c r="F500" t="inlineStr">
        <is>
          <t>KALMAR LÄN</t>
        </is>
      </c>
      <c r="G500" t="inlineStr">
        <is>
          <t>EMMABODA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53350-2022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44879</v>
      </c>
      <c r="E501" s="1" t="n">
        <v>46266</v>
      </c>
      <c r="F501" t="inlineStr">
        <is>
          <t>KALMAR LÄN</t>
        </is>
      </c>
      <c r="G501" t="inlineStr">
        <is>
          <t>EMMABODA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44533-2024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45574</v>
      </c>
      <c r="E502" s="1" t="n">
        <v>46266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28217-2025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46266</v>
      </c>
      <c r="F503" t="inlineStr">
        <is>
          <t>KALMAR LÄN</t>
        </is>
      </c>
      <c r="G503" t="inlineStr">
        <is>
          <t>EMMABODA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44145-2025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45915</v>
      </c>
      <c r="E504" s="1" t="n">
        <v>46266</v>
      </c>
      <c r="F504" t="inlineStr">
        <is>
          <t>KALMAR LÄN</t>
        </is>
      </c>
      <c r="G504" t="inlineStr">
        <is>
          <t>EMMABODA</t>
        </is>
      </c>
      <c r="H504" t="inlineStr">
        <is>
          <t>Övriga Aktiebolag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46266</v>
      </c>
      <c r="F505" t="inlineStr">
        <is>
          <t>KALMAR LÄN</t>
        </is>
      </c>
      <c r="G505" t="inlineStr">
        <is>
          <t>EMMABODA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33060-2023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45126</v>
      </c>
      <c r="E506" s="1" t="n">
        <v>46266</v>
      </c>
      <c r="F506" t="inlineStr">
        <is>
          <t>KALMAR LÄN</t>
        </is>
      </c>
      <c r="G506" t="inlineStr">
        <is>
          <t>EMMABODA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45126</v>
      </c>
      <c r="E507" s="1" t="n">
        <v>46266</v>
      </c>
      <c r="F507" t="inlineStr">
        <is>
          <t>KALMAR LÄN</t>
        </is>
      </c>
      <c r="G507" t="inlineStr">
        <is>
          <t>EMMABODA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37199-2023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45155</v>
      </c>
      <c r="E508" s="1" t="n">
        <v>46266</v>
      </c>
      <c r="F508" t="inlineStr">
        <is>
          <t>KALMAR LÄN</t>
        </is>
      </c>
      <c r="G508" t="inlineStr">
        <is>
          <t>EMMABODA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45819</v>
      </c>
      <c r="E509" s="1" t="n">
        <v>46266</v>
      </c>
      <c r="F509" t="inlineStr">
        <is>
          <t>KALMAR LÄN</t>
        </is>
      </c>
      <c r="G509" t="inlineStr">
        <is>
          <t>EMMABODA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45524</v>
      </c>
      <c r="E510" s="1" t="n">
        <v>46266</v>
      </c>
      <c r="F510" t="inlineStr">
        <is>
          <t>KALMAR LÄN</t>
        </is>
      </c>
      <c r="G510" t="inlineStr">
        <is>
          <t>EMMABODA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45818</v>
      </c>
      <c r="E511" s="1" t="n">
        <v>46266</v>
      </c>
      <c r="F511" t="inlineStr">
        <is>
          <t>KALMAR LÄN</t>
        </is>
      </c>
      <c r="G511" t="inlineStr">
        <is>
          <t>EMMABODA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46266</v>
      </c>
      <c r="F512" t="inlineStr">
        <is>
          <t>KALMAR LÄN</t>
        </is>
      </c>
      <c r="G512" t="inlineStr">
        <is>
          <t>EMMABODA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55815-2025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45972</v>
      </c>
      <c r="E513" s="1" t="n">
        <v>46266</v>
      </c>
      <c r="F513" t="inlineStr">
        <is>
          <t>KALMAR LÄN</t>
        </is>
      </c>
      <c r="G513" t="inlineStr">
        <is>
          <t>EMMABODA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44953</v>
      </c>
      <c r="E514" s="1" t="n">
        <v>46266</v>
      </c>
      <c r="F514" t="inlineStr">
        <is>
          <t>KALMAR LÄN</t>
        </is>
      </c>
      <c r="G514" t="inlineStr">
        <is>
          <t>EMMABODA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45362</v>
      </c>
      <c r="E515" s="1" t="n">
        <v>46266</v>
      </c>
      <c r="F515" t="inlineStr">
        <is>
          <t>KALMAR LÄN</t>
        </is>
      </c>
      <c r="G515" t="inlineStr">
        <is>
          <t>EMMABODA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44700</v>
      </c>
      <c r="E516" s="1" t="n">
        <v>46266</v>
      </c>
      <c r="F516" t="inlineStr">
        <is>
          <t>KALMAR LÄN</t>
        </is>
      </c>
      <c r="G516" t="inlineStr">
        <is>
          <t>EMMABODA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46266</v>
      </c>
      <c r="F517" t="inlineStr">
        <is>
          <t>KALMAR LÄN</t>
        </is>
      </c>
      <c r="G517" t="inlineStr">
        <is>
          <t>EMMABODA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46266</v>
      </c>
      <c r="F518" t="inlineStr">
        <is>
          <t>KALMAR LÄN</t>
        </is>
      </c>
      <c r="G518" t="inlineStr">
        <is>
          <t>EMMABODA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14970-2025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45743</v>
      </c>
      <c r="E519" s="1" t="n">
        <v>46266</v>
      </c>
      <c r="F519" t="inlineStr">
        <is>
          <t>KALMAR LÄN</t>
        </is>
      </c>
      <c r="G519" t="inlineStr">
        <is>
          <t>EMMABODA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49274-2025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45938</v>
      </c>
      <c r="E520" s="1" t="n">
        <v>46266</v>
      </c>
      <c r="F520" t="inlineStr">
        <is>
          <t>KALMAR LÄN</t>
        </is>
      </c>
      <c r="G520" t="inlineStr">
        <is>
          <t>EMMABODA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45296</v>
      </c>
      <c r="E521" s="1" t="n">
        <v>46266</v>
      </c>
      <c r="F521" t="inlineStr">
        <is>
          <t>KALMAR LÄN</t>
        </is>
      </c>
      <c r="G521" t="inlineStr">
        <is>
          <t>EMMABODA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68947-2021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44530</v>
      </c>
      <c r="E522" s="1" t="n">
        <v>46266</v>
      </c>
      <c r="F522" t="inlineStr">
        <is>
          <t>KALMAR LÄN</t>
        </is>
      </c>
      <c r="G522" t="inlineStr">
        <is>
          <t>EMMABODA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31860-2022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44777</v>
      </c>
      <c r="E523" s="1" t="n">
        <v>46266</v>
      </c>
      <c r="F523" t="inlineStr">
        <is>
          <t>KALMAR LÄN</t>
        </is>
      </c>
      <c r="G523" t="inlineStr">
        <is>
          <t>EMMABODA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56693-2025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45976</v>
      </c>
      <c r="E524" s="1" t="n">
        <v>46266</v>
      </c>
      <c r="F524" t="inlineStr">
        <is>
          <t>KALMAR LÄN</t>
        </is>
      </c>
      <c r="G524" t="inlineStr">
        <is>
          <t>EMMABODA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60674-2024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45644</v>
      </c>
      <c r="E525" s="1" t="n">
        <v>46266</v>
      </c>
      <c r="F525" t="inlineStr">
        <is>
          <t>KALMAR LÄN</t>
        </is>
      </c>
      <c r="G525" t="inlineStr">
        <is>
          <t>EMMABODA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45181</v>
      </c>
      <c r="E526" s="1" t="n">
        <v>46266</v>
      </c>
      <c r="F526" t="inlineStr">
        <is>
          <t>KALMAR LÄN</t>
        </is>
      </c>
      <c r="G526" t="inlineStr">
        <is>
          <t>EMMABODA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46140</v>
      </c>
      <c r="E527" s="1" t="n">
        <v>46266</v>
      </c>
      <c r="F527" t="inlineStr">
        <is>
          <t>KALMAR LÄN</t>
        </is>
      </c>
      <c r="G527" t="inlineStr">
        <is>
          <t>EMMABODA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49624-2023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46266</v>
      </c>
      <c r="F528" t="inlineStr">
        <is>
          <t>KALMAR LÄN</t>
        </is>
      </c>
      <c r="G528" t="inlineStr">
        <is>
          <t>EMMABODA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46266</v>
      </c>
      <c r="F529" t="inlineStr">
        <is>
          <t>KALMAR LÄN</t>
        </is>
      </c>
      <c r="G529" t="inlineStr">
        <is>
          <t>EMMABODA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56691-2025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45976</v>
      </c>
      <c r="E530" s="1" t="n">
        <v>46266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45164</v>
      </c>
      <c r="E531" s="1" t="n">
        <v>46266</v>
      </c>
      <c r="F531" t="inlineStr">
        <is>
          <t>KALMAR LÄN</t>
        </is>
      </c>
      <c r="G531" t="inlineStr">
        <is>
          <t>EMMABODA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46141-2023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46266</v>
      </c>
      <c r="F532" t="inlineStr">
        <is>
          <t>KALMAR LÄN</t>
        </is>
      </c>
      <c r="G532" t="inlineStr">
        <is>
          <t>EMMABODA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11434-2023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44993</v>
      </c>
      <c r="E533" s="1" t="n">
        <v>46266</v>
      </c>
      <c r="F533" t="inlineStr">
        <is>
          <t>KALMAR LÄN</t>
        </is>
      </c>
      <c r="G533" t="inlineStr">
        <is>
          <t>EMMABODA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10157-2025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46266</v>
      </c>
      <c r="F534" t="inlineStr">
        <is>
          <t>KALMAR LÄN</t>
        </is>
      </c>
      <c r="G534" t="inlineStr">
        <is>
          <t>EMMABODA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46266</v>
      </c>
      <c r="F535" t="inlineStr">
        <is>
          <t>KALMAR LÄN</t>
        </is>
      </c>
      <c r="G535" t="inlineStr">
        <is>
          <t>EMMABODA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45349</v>
      </c>
      <c r="E536" s="1" t="n">
        <v>46266</v>
      </c>
      <c r="F536" t="inlineStr">
        <is>
          <t>KALMAR LÄN</t>
        </is>
      </c>
      <c r="G536" t="inlineStr">
        <is>
          <t>EMMABODA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35382-2024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45531</v>
      </c>
      <c r="E537" s="1" t="n">
        <v>46266</v>
      </c>
      <c r="F537" t="inlineStr">
        <is>
          <t>KALMAR LÄN</t>
        </is>
      </c>
      <c r="G537" t="inlineStr">
        <is>
          <t>EMMABODA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46266</v>
      </c>
      <c r="F538" t="inlineStr">
        <is>
          <t>KALMAR LÄN</t>
        </is>
      </c>
      <c r="G538" t="inlineStr">
        <is>
          <t>EMMABODA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50500-2022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44861</v>
      </c>
      <c r="E539" s="1" t="n">
        <v>46266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46142</v>
      </c>
      <c r="E540" s="1" t="n">
        <v>46266</v>
      </c>
      <c r="F540" t="inlineStr">
        <is>
          <t>KALMAR LÄN</t>
        </is>
      </c>
      <c r="G540" t="inlineStr">
        <is>
          <t>EMMABODA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45772</v>
      </c>
      <c r="E541" s="1" t="n">
        <v>46266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45205</v>
      </c>
      <c r="E542" s="1" t="n">
        <v>46266</v>
      </c>
      <c r="F542" t="inlineStr">
        <is>
          <t>KALMAR LÄN</t>
        </is>
      </c>
      <c r="G542" t="inlineStr">
        <is>
          <t>EMMABODA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46266</v>
      </c>
      <c r="F543" t="inlineStr">
        <is>
          <t>KALMAR LÄN</t>
        </is>
      </c>
      <c r="G543" t="inlineStr">
        <is>
          <t>EMMABODA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45084</v>
      </c>
      <c r="E544" s="1" t="n">
        <v>46266</v>
      </c>
      <c r="F544" t="inlineStr">
        <is>
          <t>KALMAR LÄN</t>
        </is>
      </c>
      <c r="G544" t="inlineStr">
        <is>
          <t>EMMABODA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46266</v>
      </c>
      <c r="F545" t="inlineStr">
        <is>
          <t>KALMAR LÄN</t>
        </is>
      </c>
      <c r="G545" t="inlineStr">
        <is>
          <t>EMMABODA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44490-2024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45574</v>
      </c>
      <c r="E546" s="1" t="n">
        <v>46266</v>
      </c>
      <c r="F546" t="inlineStr">
        <is>
          <t>KALMAR LÄN</t>
        </is>
      </c>
      <c r="G546" t="inlineStr">
        <is>
          <t>EMMABODA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46266</v>
      </c>
      <c r="F547" t="inlineStr">
        <is>
          <t>KALMAR LÄN</t>
        </is>
      </c>
      <c r="G547" t="inlineStr">
        <is>
          <t>EMMABODA</t>
        </is>
      </c>
      <c r="H547" t="inlineStr">
        <is>
          <t>Övriga Aktiebolag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54230-2023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45232</v>
      </c>
      <c r="E548" s="1" t="n">
        <v>46266</v>
      </c>
      <c r="F548" t="inlineStr">
        <is>
          <t>KALMAR LÄN</t>
        </is>
      </c>
      <c r="G548" t="inlineStr">
        <is>
          <t>EMMABODA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22700-2025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45789</v>
      </c>
      <c r="E549" s="1" t="n">
        <v>46266</v>
      </c>
      <c r="F549" t="inlineStr">
        <is>
          <t>KALMAR LÄN</t>
        </is>
      </c>
      <c r="G549" t="inlineStr">
        <is>
          <t>EMMABODA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46266</v>
      </c>
      <c r="F550" t="inlineStr">
        <is>
          <t>KALMAR LÄN</t>
        </is>
      </c>
      <c r="G550" t="inlineStr">
        <is>
          <t>EMMABODA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14071-2024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45392</v>
      </c>
      <c r="E551" s="1" t="n">
        <v>46266</v>
      </c>
      <c r="F551" t="inlineStr">
        <is>
          <t>KALMAR LÄN</t>
        </is>
      </c>
      <c r="G551" t="inlineStr">
        <is>
          <t>EMMABODA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45740</v>
      </c>
      <c r="E552" s="1" t="n">
        <v>46266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6532-2024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45341</v>
      </c>
      <c r="E553" s="1" t="n">
        <v>46266</v>
      </c>
      <c r="F553" t="inlineStr">
        <is>
          <t>KALMAR LÄN</t>
        </is>
      </c>
      <c r="G553" t="inlineStr">
        <is>
          <t>EMMABODA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44995</v>
      </c>
      <c r="E554" s="1" t="n">
        <v>46266</v>
      </c>
      <c r="F554" t="inlineStr">
        <is>
          <t>KALMAR LÄN</t>
        </is>
      </c>
      <c r="G554" t="inlineStr">
        <is>
          <t>EMMABODA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46266</v>
      </c>
      <c r="F555" t="inlineStr">
        <is>
          <t>KALMAR LÄN</t>
        </is>
      </c>
      <c r="G555" t="inlineStr">
        <is>
          <t>EMMABODA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46266</v>
      </c>
      <c r="F556" t="inlineStr">
        <is>
          <t>KALMAR LÄN</t>
        </is>
      </c>
      <c r="G556" t="inlineStr">
        <is>
          <t>EMMABODA</t>
        </is>
      </c>
      <c r="I556" t="n">
        <v>7.7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45707</v>
      </c>
      <c r="E557" s="1" t="n">
        <v>46266</v>
      </c>
      <c r="F557" t="inlineStr">
        <is>
          <t>KALMAR LÄN</t>
        </is>
      </c>
      <c r="G557" t="inlineStr">
        <is>
          <t>EMMABODA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9262-2026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46266</v>
      </c>
      <c r="F558" t="inlineStr">
        <is>
          <t>KALMAR LÄN</t>
        </is>
      </c>
      <c r="G558" t="inlineStr">
        <is>
          <t>EMMABODA</t>
        </is>
      </c>
      <c r="H558" t="inlineStr">
        <is>
          <t>Kyrkan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45003</v>
      </c>
      <c r="E559" s="1" t="n">
        <v>46266</v>
      </c>
      <c r="F559" t="inlineStr">
        <is>
          <t>KALMAR LÄN</t>
        </is>
      </c>
      <c r="G559" t="inlineStr">
        <is>
          <t>EMMABODA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46266</v>
      </c>
      <c r="F560" t="inlineStr">
        <is>
          <t>KALMAR LÄN</t>
        </is>
      </c>
      <c r="G560" t="inlineStr">
        <is>
          <t>EMMABODA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12014-2023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44995</v>
      </c>
      <c r="E561" s="1" t="n">
        <v>46266</v>
      </c>
      <c r="F561" t="inlineStr">
        <is>
          <t>KALMAR LÄN</t>
        </is>
      </c>
      <c r="G561" t="inlineStr">
        <is>
          <t>EMMABODA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33050-2023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45126</v>
      </c>
      <c r="E562" s="1" t="n">
        <v>46266</v>
      </c>
      <c r="F562" t="inlineStr">
        <is>
          <t>KALMAR LÄN</t>
        </is>
      </c>
      <c r="G562" t="inlineStr">
        <is>
          <t>EMMABODA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32663-2024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45514</v>
      </c>
      <c r="E563" s="1" t="n">
        <v>46266</v>
      </c>
      <c r="F563" t="inlineStr">
        <is>
          <t>KALMAR LÄN</t>
        </is>
      </c>
      <c r="G563" t="inlineStr">
        <is>
          <t>EMMABODA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35306-2023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46266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46266</v>
      </c>
      <c r="F565" t="inlineStr">
        <is>
          <t>KALMAR LÄN</t>
        </is>
      </c>
      <c r="G565" t="inlineStr">
        <is>
          <t>EMMABODA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46160</v>
      </c>
      <c r="E566" s="1" t="n">
        <v>46266</v>
      </c>
      <c r="F566" t="inlineStr">
        <is>
          <t>KALMAR LÄN</t>
        </is>
      </c>
      <c r="G566" t="inlineStr">
        <is>
          <t>EMMABODA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46266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44959</v>
      </c>
      <c r="E568" s="1" t="n">
        <v>46266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45068</v>
      </c>
      <c r="E569" s="1" t="n">
        <v>46266</v>
      </c>
      <c r="F569" t="inlineStr">
        <is>
          <t>KALMAR LÄN</t>
        </is>
      </c>
      <c r="G569" t="inlineStr">
        <is>
          <t>EMMABODA</t>
        </is>
      </c>
      <c r="H569" t="inlineStr">
        <is>
          <t>Kommuner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8112-2025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46266</v>
      </c>
      <c r="F570" t="inlineStr">
        <is>
          <t>KALMAR LÄN</t>
        </is>
      </c>
      <c r="G570" t="inlineStr">
        <is>
          <t>EMMABODA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46728-2022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46266</v>
      </c>
      <c r="F571" t="inlineStr">
        <is>
          <t>KALMAR LÄN</t>
        </is>
      </c>
      <c r="G571" t="inlineStr">
        <is>
          <t>EMMABODA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46266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45095</v>
      </c>
      <c r="E573" s="1" t="n">
        <v>46266</v>
      </c>
      <c r="F573" t="inlineStr">
        <is>
          <t>KALMAR LÄN</t>
        </is>
      </c>
      <c r="G573" t="inlineStr">
        <is>
          <t>EMMABODA</t>
        </is>
      </c>
      <c r="I573" t="n">
        <v>11.3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44580</v>
      </c>
      <c r="E574" s="1" t="n">
        <v>46266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22837-2026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46160</v>
      </c>
      <c r="E575" s="1" t="n">
        <v>46266</v>
      </c>
      <c r="F575" t="inlineStr">
        <is>
          <t>KALMAR LÄN</t>
        </is>
      </c>
      <c r="G575" t="inlineStr">
        <is>
          <t>EMMABODA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41734-2025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45902</v>
      </c>
      <c r="E576" s="1" t="n">
        <v>46266</v>
      </c>
      <c r="F576" t="inlineStr">
        <is>
          <t>KALMAR LÄN</t>
        </is>
      </c>
      <c r="G576" t="inlineStr">
        <is>
          <t>EMMABODA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23295-2026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46266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11636-2024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45373</v>
      </c>
      <c r="E578" s="1" t="n">
        <v>46266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23292-2026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46162</v>
      </c>
      <c r="E579" s="1" t="n">
        <v>46266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38115-2023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45161</v>
      </c>
      <c r="E580" s="1" t="n">
        <v>46266</v>
      </c>
      <c r="F580" t="inlineStr">
        <is>
          <t>KALMAR LÄN</t>
        </is>
      </c>
      <c r="G580" t="inlineStr">
        <is>
          <t>EMMABODA</t>
        </is>
      </c>
      <c r="H580" t="inlineStr">
        <is>
          <t>Kommuner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9755-2023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44984</v>
      </c>
      <c r="E581" s="1" t="n">
        <v>46266</v>
      </c>
      <c r="F581" t="inlineStr">
        <is>
          <t>KALMAR LÄN</t>
        </is>
      </c>
      <c r="G581" t="inlineStr">
        <is>
          <t>EMMABODA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58839-2023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45252</v>
      </c>
      <c r="E582" s="1" t="n">
        <v>46266</v>
      </c>
      <c r="F582" t="inlineStr">
        <is>
          <t>KALMAR LÄN</t>
        </is>
      </c>
      <c r="G582" t="inlineStr">
        <is>
          <t>EMMABODA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30460-2022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44761</v>
      </c>
      <c r="E583" s="1" t="n">
        <v>46266</v>
      </c>
      <c r="F583" t="inlineStr">
        <is>
          <t>KALMAR LÄN</t>
        </is>
      </c>
      <c r="G583" t="inlineStr">
        <is>
          <t>EMMABODA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36043-2022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44802</v>
      </c>
      <c r="E584" s="1" t="n">
        <v>46266</v>
      </c>
      <c r="F584" t="inlineStr">
        <is>
          <t>KALMAR LÄN</t>
        </is>
      </c>
      <c r="G584" t="inlineStr">
        <is>
          <t>EMMABODA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18310-2024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45422</v>
      </c>
      <c r="E585" s="1" t="n">
        <v>46266</v>
      </c>
      <c r="F585" t="inlineStr">
        <is>
          <t>KALMAR LÄN</t>
        </is>
      </c>
      <c r="G585" t="inlineStr">
        <is>
          <t>EMMABODA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37296-2022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44808</v>
      </c>
      <c r="E586" s="1" t="n">
        <v>46266</v>
      </c>
      <c r="F586" t="inlineStr">
        <is>
          <t>KALMAR LÄN</t>
        </is>
      </c>
      <c r="G586" t="inlineStr">
        <is>
          <t>EMMABODA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48113-2021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44449</v>
      </c>
      <c r="E587" s="1" t="n">
        <v>46266</v>
      </c>
      <c r="F587" t="inlineStr">
        <is>
          <t>KALMAR LÄN</t>
        </is>
      </c>
      <c r="G587" t="inlineStr">
        <is>
          <t>EMMABODA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44542-2023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45189</v>
      </c>
      <c r="E588" s="1" t="n">
        <v>46266</v>
      </c>
      <c r="F588" t="inlineStr">
        <is>
          <t>KALMAR LÄN</t>
        </is>
      </c>
      <c r="G588" t="inlineStr">
        <is>
          <t>EMMABODA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24329-2026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46169</v>
      </c>
      <c r="E589" s="1" t="n">
        <v>46266</v>
      </c>
      <c r="F589" t="inlineStr">
        <is>
          <t>KALMAR LÄN</t>
        </is>
      </c>
      <c r="G589" t="inlineStr">
        <is>
          <t>EMMABODA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20052-2025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45772</v>
      </c>
      <c r="E590" s="1" t="n">
        <v>46266</v>
      </c>
      <c r="F590" t="inlineStr">
        <is>
          <t>KALMAR LÄN</t>
        </is>
      </c>
      <c r="G590" t="inlineStr">
        <is>
          <t>EMMABODA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19359-2023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45049</v>
      </c>
      <c r="E591" s="1" t="n">
        <v>46266</v>
      </c>
      <c r="F591" t="inlineStr">
        <is>
          <t>KALMAR LÄN</t>
        </is>
      </c>
      <c r="G591" t="inlineStr">
        <is>
          <t>EMMABODA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69464-2021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44531</v>
      </c>
      <c r="E592" s="1" t="n">
        <v>46266</v>
      </c>
      <c r="F592" t="inlineStr">
        <is>
          <t>KALMAR LÄN</t>
        </is>
      </c>
      <c r="G592" t="inlineStr">
        <is>
          <t>EMMABODA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45051</v>
      </c>
      <c r="E593" s="1" t="n">
        <v>46266</v>
      </c>
      <c r="F593" t="inlineStr">
        <is>
          <t>KALMAR LÄN</t>
        </is>
      </c>
      <c r="G593" t="inlineStr">
        <is>
          <t>EMMABODA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45051</v>
      </c>
      <c r="E594" s="1" t="n">
        <v>46266</v>
      </c>
      <c r="F594" t="inlineStr">
        <is>
          <t>KALMAR LÄN</t>
        </is>
      </c>
      <c r="G594" t="inlineStr">
        <is>
          <t>EMMABODA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33067-2023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45126</v>
      </c>
      <c r="E595" s="1" t="n">
        <v>46266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45126</v>
      </c>
      <c r="E596" s="1" t="n">
        <v>46266</v>
      </c>
      <c r="F596" t="inlineStr">
        <is>
          <t>KALMAR LÄN</t>
        </is>
      </c>
      <c r="G596" t="inlineStr">
        <is>
          <t>EMMABODA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46266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16703-2022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44673</v>
      </c>
      <c r="E598" s="1" t="n">
        <v>46266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49726-2024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46266</v>
      </c>
      <c r="F599" t="inlineStr">
        <is>
          <t>KALMAR LÄN</t>
        </is>
      </c>
      <c r="G599" t="inlineStr">
        <is>
          <t>EMMABODA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56606-2022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44893</v>
      </c>
      <c r="E600" s="1" t="n">
        <v>46266</v>
      </c>
      <c r="F600" t="inlineStr">
        <is>
          <t>KALMAR LÄN</t>
        </is>
      </c>
      <c r="G600" t="inlineStr">
        <is>
          <t>EMMABODA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45706-2025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45923</v>
      </c>
      <c r="E601" s="1" t="n">
        <v>46266</v>
      </c>
      <c r="F601" t="inlineStr">
        <is>
          <t>KALMAR LÄN</t>
        </is>
      </c>
      <c r="G601" t="inlineStr">
        <is>
          <t>EMMABODA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45668</v>
      </c>
      <c r="E602" s="1" t="n">
        <v>46266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30262-2022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44759</v>
      </c>
      <c r="E603" s="1" t="n">
        <v>46266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5182-2022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44594</v>
      </c>
      <c r="E604" s="1" t="n">
        <v>46266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45323</v>
      </c>
      <c r="E605" s="1" t="n">
        <v>46266</v>
      </c>
      <c r="F605" t="inlineStr">
        <is>
          <t>KALMAR LÄN</t>
        </is>
      </c>
      <c r="G605" t="inlineStr">
        <is>
          <t>EMMABODA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47149-2022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44852</v>
      </c>
      <c r="E606" s="1" t="n">
        <v>46266</v>
      </c>
      <c r="F606" t="inlineStr">
        <is>
          <t>KALMAR LÄN</t>
        </is>
      </c>
      <c r="G606" t="inlineStr">
        <is>
          <t>EMMABODA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36009-2023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45149</v>
      </c>
      <c r="E607" s="1" t="n">
        <v>46266</v>
      </c>
      <c r="F607" t="inlineStr">
        <is>
          <t>KALMAR LÄN</t>
        </is>
      </c>
      <c r="G607" t="inlineStr">
        <is>
          <t>EMMABODA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30515-2023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45111</v>
      </c>
      <c r="E608" s="1" t="n">
        <v>46266</v>
      </c>
      <c r="F608" t="inlineStr">
        <is>
          <t>KALMAR LÄN</t>
        </is>
      </c>
      <c r="G608" t="inlineStr">
        <is>
          <t>EMMABODA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46266</v>
      </c>
      <c r="F609" t="inlineStr">
        <is>
          <t>KALMAR LÄN</t>
        </is>
      </c>
      <c r="G609" t="inlineStr">
        <is>
          <t>EMMABODA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48926-2023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46266</v>
      </c>
      <c r="F610" t="inlineStr">
        <is>
          <t>KALMAR LÄN</t>
        </is>
      </c>
      <c r="G610" t="inlineStr">
        <is>
          <t>EMMABODA</t>
        </is>
      </c>
      <c r="H610" t="inlineStr">
        <is>
          <t>Övriga Aktiebolag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21291-2023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45062</v>
      </c>
      <c r="E611" s="1" t="n">
        <v>46266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46266</v>
      </c>
      <c r="F612" t="inlineStr">
        <is>
          <t>KALMAR LÄN</t>
        </is>
      </c>
      <c r="G612" t="inlineStr">
        <is>
          <t>EMMABODA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46266</v>
      </c>
      <c r="F613" t="inlineStr">
        <is>
          <t>KALMAR LÄN</t>
        </is>
      </c>
      <c r="G613" t="inlineStr">
        <is>
          <t>EMMABODA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45562</v>
      </c>
      <c r="E614" s="1" t="n">
        <v>46266</v>
      </c>
      <c r="F614" t="inlineStr">
        <is>
          <t>KALMAR LÄN</t>
        </is>
      </c>
      <c r="G614" t="inlineStr">
        <is>
          <t>EMMABODA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45103</v>
      </c>
      <c r="E615" s="1" t="n">
        <v>46266</v>
      </c>
      <c r="F615" t="inlineStr">
        <is>
          <t>KALMAR LÄN</t>
        </is>
      </c>
      <c r="G615" t="inlineStr">
        <is>
          <t>EMMABODA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45688</v>
      </c>
      <c r="E616" s="1" t="n">
        <v>46266</v>
      </c>
      <c r="F616" t="inlineStr">
        <is>
          <t>KALMAR LÄN</t>
        </is>
      </c>
      <c r="G616" t="inlineStr">
        <is>
          <t>EMMABODA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4387-2022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44589</v>
      </c>
      <c r="E617" s="1" t="n">
        <v>46266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26502-2026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46183</v>
      </c>
      <c r="E618" s="1" t="n">
        <v>46266</v>
      </c>
      <c r="F618" t="inlineStr">
        <is>
          <t>KALMAR LÄN</t>
        </is>
      </c>
      <c r="G618" t="inlineStr">
        <is>
          <t>EMMABODA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24460-2022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44726</v>
      </c>
      <c r="E619" s="1" t="n">
        <v>46266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14792-2025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45742</v>
      </c>
      <c r="E620" s="1" t="n">
        <v>46266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67538-2021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44524</v>
      </c>
      <c r="E621" s="1" t="n">
        <v>46266</v>
      </c>
      <c r="F621" t="inlineStr">
        <is>
          <t>KALMAR LÄN</t>
        </is>
      </c>
      <c r="G621" t="inlineStr">
        <is>
          <t>EMMABODA</t>
        </is>
      </c>
      <c r="I621" t="n">
        <v>11.6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24983-2022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44728</v>
      </c>
      <c r="E622" s="1" t="n">
        <v>46266</v>
      </c>
      <c r="F622" t="inlineStr">
        <is>
          <t>KALMAR LÄN</t>
        </is>
      </c>
      <c r="G622" t="inlineStr">
        <is>
          <t>EMMABODA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42943-2023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45182</v>
      </c>
      <c r="E623" s="1" t="n">
        <v>46266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38924-2022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44816</v>
      </c>
      <c r="E624" s="1" t="n">
        <v>46266</v>
      </c>
      <c r="F624" t="inlineStr">
        <is>
          <t>KALMAR LÄN</t>
        </is>
      </c>
      <c r="G624" t="inlineStr">
        <is>
          <t>EMMABODA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44924-2022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44840</v>
      </c>
      <c r="E625" s="1" t="n">
        <v>46266</v>
      </c>
      <c r="F625" t="inlineStr">
        <is>
          <t>KALMAR LÄN</t>
        </is>
      </c>
      <c r="G625" t="inlineStr">
        <is>
          <t>EMMABODA</t>
        </is>
      </c>
      <c r="H625" t="inlineStr">
        <is>
          <t>Övriga Aktiebolag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46266</v>
      </c>
      <c r="F626" t="inlineStr">
        <is>
          <t>KALMAR LÄN</t>
        </is>
      </c>
      <c r="G626" t="inlineStr">
        <is>
          <t>EMMABODA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49284-2024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45595</v>
      </c>
      <c r="E627" s="1" t="n">
        <v>46266</v>
      </c>
      <c r="F627" t="inlineStr">
        <is>
          <t>KALMAR LÄN</t>
        </is>
      </c>
      <c r="G627" t="inlineStr">
        <is>
          <t>EMMABODA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46266</v>
      </c>
      <c r="F628" t="inlineStr">
        <is>
          <t>KALMAR LÄN</t>
        </is>
      </c>
      <c r="G628" t="inlineStr">
        <is>
          <t>EMMABODA</t>
        </is>
      </c>
      <c r="I628" t="n">
        <v>9.1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27173-2026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46266</v>
      </c>
      <c r="F629" t="inlineStr">
        <is>
          <t>KALMAR LÄN</t>
        </is>
      </c>
      <c r="G629" t="inlineStr">
        <is>
          <t>EMMABODA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27193-2026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46266</v>
      </c>
      <c r="F630" t="inlineStr">
        <is>
          <t>KALMAR LÄN</t>
        </is>
      </c>
      <c r="G630" t="inlineStr">
        <is>
          <t>EMMABODA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27028-2026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46266</v>
      </c>
      <c r="F631" t="inlineStr">
        <is>
          <t>KALMAR LÄN</t>
        </is>
      </c>
      <c r="G631" t="inlineStr">
        <is>
          <t>EMMABODA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57794-2022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44897</v>
      </c>
      <c r="E632" s="1" t="n">
        <v>46266</v>
      </c>
      <c r="F632" t="inlineStr">
        <is>
          <t>KALMAR LÄN</t>
        </is>
      </c>
      <c r="G632" t="inlineStr">
        <is>
          <t>EMMABODA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27133-2026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46188</v>
      </c>
      <c r="E633" s="1" t="n">
        <v>46266</v>
      </c>
      <c r="F633" t="inlineStr">
        <is>
          <t>KALMAR LÄN</t>
        </is>
      </c>
      <c r="G633" t="inlineStr">
        <is>
          <t>EMMABODA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63215-2023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45273</v>
      </c>
      <c r="E634" s="1" t="n">
        <v>46266</v>
      </c>
      <c r="F634" t="inlineStr">
        <is>
          <t>KALMAR LÄN</t>
        </is>
      </c>
      <c r="G634" t="inlineStr">
        <is>
          <t>EMMABODA</t>
        </is>
      </c>
      <c r="H634" t="inlineStr">
        <is>
          <t>Kommuner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7839-2024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45349</v>
      </c>
      <c r="E635" s="1" t="n">
        <v>46266</v>
      </c>
      <c r="F635" t="inlineStr">
        <is>
          <t>KALMAR LÄN</t>
        </is>
      </c>
      <c r="G635" t="inlineStr">
        <is>
          <t>EMMABODA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41545-2022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44827</v>
      </c>
      <c r="E636" s="1" t="n">
        <v>46266</v>
      </c>
      <c r="F636" t="inlineStr">
        <is>
          <t>KALMAR LÄN</t>
        </is>
      </c>
      <c r="G636" t="inlineStr">
        <is>
          <t>EMMABODA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46266</v>
      </c>
      <c r="F637" t="inlineStr">
        <is>
          <t>KALMAR LÄN</t>
        </is>
      </c>
      <c r="G637" t="inlineStr">
        <is>
          <t>EMMABODA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27016-2026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46266</v>
      </c>
      <c r="F638" t="inlineStr">
        <is>
          <t>KALMAR LÄN</t>
        </is>
      </c>
      <c r="G638" t="inlineStr">
        <is>
          <t>EMMABODA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27414-2023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45092</v>
      </c>
      <c r="E639" s="1" t="n">
        <v>46266</v>
      </c>
      <c r="F639" t="inlineStr">
        <is>
          <t>KALMAR LÄN</t>
        </is>
      </c>
      <c r="G639" t="inlineStr">
        <is>
          <t>EMMABODA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73058-2021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44550</v>
      </c>
      <c r="E640" s="1" t="n">
        <v>46266</v>
      </c>
      <c r="F640" t="inlineStr">
        <is>
          <t>KALMAR LÄN</t>
        </is>
      </c>
      <c r="G640" t="inlineStr">
        <is>
          <t>EMMABODA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46266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12959-2024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45385</v>
      </c>
      <c r="E642" s="1" t="n">
        <v>46266</v>
      </c>
      <c r="F642" t="inlineStr">
        <is>
          <t>KALMAR LÄN</t>
        </is>
      </c>
      <c r="G642" t="inlineStr">
        <is>
          <t>EMMABODA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32687-2024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45515</v>
      </c>
      <c r="E643" s="1" t="n">
        <v>46266</v>
      </c>
      <c r="F643" t="inlineStr">
        <is>
          <t>KALMAR LÄN</t>
        </is>
      </c>
      <c r="G643" t="inlineStr">
        <is>
          <t>EMMABODA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46190</v>
      </c>
      <c r="E644" s="1" t="n">
        <v>46266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45307</v>
      </c>
      <c r="E645" s="1" t="n">
        <v>46266</v>
      </c>
      <c r="F645" t="inlineStr">
        <is>
          <t>KALMAR LÄN</t>
        </is>
      </c>
      <c r="G645" t="inlineStr">
        <is>
          <t>EMMABODA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45317</v>
      </c>
      <c r="E646" s="1" t="n">
        <v>46266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43719-2023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45187</v>
      </c>
      <c r="E647" s="1" t="n">
        <v>46266</v>
      </c>
      <c r="F647" t="inlineStr">
        <is>
          <t>KALMAR LÄN</t>
        </is>
      </c>
      <c r="G647" t="inlineStr">
        <is>
          <t>EMMABODA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28600-2022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44748</v>
      </c>
      <c r="E648" s="1" t="n">
        <v>46266</v>
      </c>
      <c r="F648" t="inlineStr">
        <is>
          <t>KALMAR LÄN</t>
        </is>
      </c>
      <c r="G648" t="inlineStr">
        <is>
          <t>EMMABODA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17417-2026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46266</v>
      </c>
      <c r="F649" t="inlineStr">
        <is>
          <t>KALMAR LÄN</t>
        </is>
      </c>
      <c r="G649" t="inlineStr">
        <is>
          <t>EMMABODA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20505-2022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44699</v>
      </c>
      <c r="E650" s="1" t="n">
        <v>46266</v>
      </c>
      <c r="F650" t="inlineStr">
        <is>
          <t>KALMAR LÄN</t>
        </is>
      </c>
      <c r="G650" t="inlineStr">
        <is>
          <t>EMMABODA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46266</v>
      </c>
      <c r="F651" t="inlineStr">
        <is>
          <t>KALMAR LÄN</t>
        </is>
      </c>
      <c r="G651" t="inlineStr">
        <is>
          <t>EMMABODA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15362-2024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45400</v>
      </c>
      <c r="E652" s="1" t="n">
        <v>46266</v>
      </c>
      <c r="F652" t="inlineStr">
        <is>
          <t>KALMAR LÄN</t>
        </is>
      </c>
      <c r="G652" t="inlineStr">
        <is>
          <t>EMMABODA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46266</v>
      </c>
      <c r="F653" t="inlineStr">
        <is>
          <t>KALMAR LÄN</t>
        </is>
      </c>
      <c r="G653" t="inlineStr">
        <is>
          <t>EMMABODA</t>
        </is>
      </c>
      <c r="H653" t="inlineStr">
        <is>
          <t>Kyrkan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46266</v>
      </c>
      <c r="F654" t="inlineStr">
        <is>
          <t>KALMAR LÄN</t>
        </is>
      </c>
      <c r="G654" t="inlineStr">
        <is>
          <t>EMMABODA</t>
        </is>
      </c>
      <c r="H654" t="inlineStr">
        <is>
          <t>Kyrkan</t>
        </is>
      </c>
      <c r="I654" t="n">
        <v>7.5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45229</v>
      </c>
      <c r="E655" s="1" t="n">
        <v>46266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45293-2023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46266</v>
      </c>
      <c r="F656" t="inlineStr">
        <is>
          <t>KALMAR LÄN</t>
        </is>
      </c>
      <c r="G656" t="inlineStr">
        <is>
          <t>EMMABODA</t>
        </is>
      </c>
      <c r="H656" t="inlineStr">
        <is>
          <t>Kyrkan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19350-2025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45769</v>
      </c>
      <c r="E657" s="1" t="n">
        <v>46266</v>
      </c>
      <c r="F657" t="inlineStr">
        <is>
          <t>KALMAR LÄN</t>
        </is>
      </c>
      <c r="G657" t="inlineStr">
        <is>
          <t>EMMABODA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28990-2026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46196</v>
      </c>
      <c r="E658" s="1" t="n">
        <v>46266</v>
      </c>
      <c r="F658" t="inlineStr">
        <is>
          <t>KALMAR LÄN</t>
        </is>
      </c>
      <c r="G658" t="inlineStr">
        <is>
          <t>EMMABODA</t>
        </is>
      </c>
      <c r="H658" t="inlineStr">
        <is>
          <t>Kyrkan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31070-2022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44769</v>
      </c>
      <c r="E659" s="1" t="n">
        <v>46266</v>
      </c>
      <c r="F659" t="inlineStr">
        <is>
          <t>KALMAR LÄN</t>
        </is>
      </c>
      <c r="G659" t="inlineStr">
        <is>
          <t>EMMABODA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58592-2021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44488</v>
      </c>
      <c r="E660" s="1" t="n">
        <v>46266</v>
      </c>
      <c r="F660" t="inlineStr">
        <is>
          <t>KALMAR LÄN</t>
        </is>
      </c>
      <c r="G660" t="inlineStr">
        <is>
          <t>EMMABODA</t>
        </is>
      </c>
      <c r="H660" t="inlineStr">
        <is>
          <t>Kommuner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19151-2025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45769</v>
      </c>
      <c r="E661" s="1" t="n">
        <v>46266</v>
      </c>
      <c r="F661" t="inlineStr">
        <is>
          <t>KALMAR LÄN</t>
        </is>
      </c>
      <c r="G661" t="inlineStr">
        <is>
          <t>EMMABODA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63254-2025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46010</v>
      </c>
      <c r="E662" s="1" t="n">
        <v>46266</v>
      </c>
      <c r="F662" t="inlineStr">
        <is>
          <t>KALMAR LÄN</t>
        </is>
      </c>
      <c r="G662" t="inlineStr">
        <is>
          <t>EMMABODA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46266</v>
      </c>
      <c r="F663" t="inlineStr">
        <is>
          <t>KALMAR LÄN</t>
        </is>
      </c>
      <c r="G663" t="inlineStr">
        <is>
          <t>EMMABODA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46197</v>
      </c>
      <c r="E664" s="1" t="n">
        <v>46266</v>
      </c>
      <c r="F664" t="inlineStr">
        <is>
          <t>KALMAR LÄN</t>
        </is>
      </c>
      <c r="G664" t="inlineStr">
        <is>
          <t>EMMABODA</t>
        </is>
      </c>
      <c r="H664" t="inlineStr">
        <is>
          <t>Sveaskog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46266</v>
      </c>
      <c r="F665" t="inlineStr">
        <is>
          <t>KALMAR LÄN</t>
        </is>
      </c>
      <c r="G665" t="inlineStr">
        <is>
          <t>EMMABODA</t>
        </is>
      </c>
      <c r="H665" t="inlineStr">
        <is>
          <t>Sveaskog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46266</v>
      </c>
      <c r="F666" t="inlineStr">
        <is>
          <t>KALMAR LÄN</t>
        </is>
      </c>
      <c r="G666" t="inlineStr">
        <is>
          <t>EMMABODA</t>
        </is>
      </c>
      <c r="H666" t="inlineStr">
        <is>
          <t>Sveaskog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46244</v>
      </c>
      <c r="E667" s="1" t="n">
        <v>46266</v>
      </c>
      <c r="F667" t="inlineStr">
        <is>
          <t>KALMAR LÄN</t>
        </is>
      </c>
      <c r="G667" t="inlineStr">
        <is>
          <t>EMMABODA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29293-2026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46202</v>
      </c>
      <c r="E668" s="1" t="n">
        <v>46266</v>
      </c>
      <c r="F668" t="inlineStr">
        <is>
          <t>KALMAR LÄN</t>
        </is>
      </c>
      <c r="G668" t="inlineStr">
        <is>
          <t>EMMABODA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29943-2026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46266</v>
      </c>
      <c r="F669" t="inlineStr">
        <is>
          <t>KALMAR LÄN</t>
        </is>
      </c>
      <c r="G669" t="inlineStr">
        <is>
          <t>EMMABODA</t>
        </is>
      </c>
      <c r="H669" t="inlineStr">
        <is>
          <t>Sveaskog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33759-2026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46266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46266</v>
      </c>
      <c r="F671" t="inlineStr">
        <is>
          <t>KALMAR LÄN</t>
        </is>
      </c>
      <c r="G671" t="inlineStr">
        <is>
          <t>EMMABODA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18424-2026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46127</v>
      </c>
      <c r="E672" s="1" t="n">
        <v>46266</v>
      </c>
      <c r="F672" t="inlineStr">
        <is>
          <t>KALMAR LÄN</t>
        </is>
      </c>
      <c r="G672" t="inlineStr">
        <is>
          <t>EMMABODA</t>
        </is>
      </c>
      <c r="H672" t="inlineStr">
        <is>
          <t>Sveaskog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46253</v>
      </c>
      <c r="E673" s="1" t="n">
        <v>46266</v>
      </c>
      <c r="F673" t="inlineStr">
        <is>
          <t>KALMAR LÄN</t>
        </is>
      </c>
      <c r="G673" t="inlineStr">
        <is>
          <t>EMMABODA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46212</v>
      </c>
      <c r="E674" s="1" t="n">
        <v>46266</v>
      </c>
      <c r="F674" t="inlineStr">
        <is>
          <t>KALMAR LÄN</t>
        </is>
      </c>
      <c r="G674" t="inlineStr">
        <is>
          <t>EMMABODA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30689-2026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46266</v>
      </c>
      <c r="F675" t="inlineStr">
        <is>
          <t>KALMAR LÄN</t>
        </is>
      </c>
      <c r="G675" t="inlineStr">
        <is>
          <t>EMMABODA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46212</v>
      </c>
      <c r="E676" s="1" t="n">
        <v>46266</v>
      </c>
      <c r="F676" t="inlineStr">
        <is>
          <t>KALMAR LÄN</t>
        </is>
      </c>
      <c r="G676" t="inlineStr">
        <is>
          <t>EMMABODA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46266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46266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46213</v>
      </c>
      <c r="E679" s="1" t="n">
        <v>46266</v>
      </c>
      <c r="F679" t="inlineStr">
        <is>
          <t>KALMAR LÄN</t>
        </is>
      </c>
      <c r="G679" t="inlineStr">
        <is>
          <t>EMMABODA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46266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34891-2026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46266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46259</v>
      </c>
      <c r="E682" s="1" t="n">
        <v>46266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46266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46266</v>
      </c>
      <c r="F684" t="inlineStr">
        <is>
          <t>KALMAR LÄN</t>
        </is>
      </c>
      <c r="G684" t="inlineStr">
        <is>
          <t>EMMABODA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46266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46266</v>
      </c>
      <c r="F686" t="inlineStr">
        <is>
          <t>KALMAR LÄN</t>
        </is>
      </c>
      <c r="G686" t="inlineStr">
        <is>
          <t>EMMABODA</t>
        </is>
      </c>
      <c r="H686" t="inlineStr">
        <is>
          <t>Kyrkan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34907-2026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46266</v>
      </c>
      <c r="F687" t="inlineStr">
        <is>
          <t>KALMAR LÄN</t>
        </is>
      </c>
      <c r="G687" t="inlineStr">
        <is>
          <t>EMMABODA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33160-2026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46245</v>
      </c>
      <c r="E688" s="1" t="n">
        <v>46266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19551-2026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46134</v>
      </c>
      <c r="E689" s="1" t="n">
        <v>46266</v>
      </c>
      <c r="F689" t="inlineStr">
        <is>
          <t>KALMAR LÄN</t>
        </is>
      </c>
      <c r="G689" t="inlineStr">
        <is>
          <t>EMMABODA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27155-2026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46188</v>
      </c>
      <c r="E690" s="1" t="n">
        <v>46266</v>
      </c>
      <c r="F690" t="inlineStr">
        <is>
          <t>KALMAR LÄN</t>
        </is>
      </c>
      <c r="G690" t="inlineStr">
        <is>
          <t>EMMABODA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46266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46266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46266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46266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46266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46266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46266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46266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46266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46266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46266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46266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46266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46266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46266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46266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46266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46266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46266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46266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46266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46266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46266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46266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46266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46266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46266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46266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46266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46266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46266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46266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46266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46266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46266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46266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46266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46266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46266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46266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46266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46266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46266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46266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46266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46266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46266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46266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46266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46266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2026-09-01T02:05:18Z</dcterms:created>
  <dcterms:modified xmlns:dcterms="http://purl.org/dc/terms/" xmlns:xsi="http://www.w3.org/2001/XMLSchema-instance" xsi:type="dcterms:W3CDTF">2026-09-01T02:05:19Z</dcterms:modified>
</cp:coreProperties>
</file>