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46250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46250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46250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46250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46250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46250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46250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46250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46250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46250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46250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46250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46250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46250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46250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46250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46250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46250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46250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52182-2025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45953</v>
      </c>
      <c r="E26" s="1" t="n">
        <v>46250</v>
      </c>
      <c r="F26" t="inlineStr">
        <is>
          <t>KALMAR LÄN</t>
        </is>
      </c>
      <c r="G26" t="inlineStr">
        <is>
          <t>EMMABODA</t>
        </is>
      </c>
      <c r="I26" t="n">
        <v>7.6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Göktyta</t>
        </is>
      </c>
      <c r="W26">
        <f>HYPERLINK("https://klasma.github.io/Logging_0862/artfynd/A 52182-2025 artfynd.xlsx", "A 52182-2025")</f>
        <v/>
      </c>
      <c r="X26">
        <f>HYPERLINK("https://klasma.github.io/Logging_0862/kartor/A 52182-2025 karta.png", "A 52182-2025")</f>
        <v/>
      </c>
      <c r="Y26">
        <f>HYPERLINK("https://klasma.github.io/Logging_0862/kartor_geotiff/A 52182-2025 georefererad karta.tif", "A 52182-2025")</f>
        <v/>
      </c>
      <c r="AA26">
        <f>HYPERLINK("https://klasma.github.io/Logging_0862/klagomål/A 52182-2025 FSC-klagomål.docx", "A 52182-2025")</f>
        <v/>
      </c>
      <c r="AB26">
        <f>HYPERLINK("https://klasma.github.io/Logging_0862/klagomålsmail/A 52182-2025 FSC-klagomål mail.docx", "A 52182-2025")</f>
        <v/>
      </c>
      <c r="AC26">
        <f>HYPERLINK("https://klasma.github.io/Logging_0862/tillsyn/A 52182-2025 tillsynsbegäran.docx", "A 52182-2025")</f>
        <v/>
      </c>
      <c r="AD26">
        <f>HYPERLINK("https://klasma.github.io/Logging_0862/tillsynsmail/A 52182-2025 tillsynsbegäran mail.docx", "A 52182-2025")</f>
        <v/>
      </c>
      <c r="AE26">
        <f>HYPERLINK("https://klasma.github.io/Logging_0862/fåglar/A 52182-2025 prioriterade fågelarter.docx", "A 52182-2025")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46250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46250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46250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9633-2023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46250</v>
      </c>
      <c r="F30" t="inlineStr">
        <is>
          <t>KALMAR LÄN</t>
        </is>
      </c>
      <c r="G30" t="inlineStr">
        <is>
          <t>EMMABODA</t>
        </is>
      </c>
      <c r="I30" t="n">
        <v>3.5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Småjungfrukam</t>
        </is>
      </c>
      <c r="W30">
        <f>HYPERLINK("https://klasma.github.io/Logging_0862/artfynd/A 9633-2023 artfynd.xlsx", "A 9633-2023")</f>
        <v/>
      </c>
      <c r="X30">
        <f>HYPERLINK("https://klasma.github.io/Logging_0862/kartor/A 9633-2023 karta.png", "A 9633-2023")</f>
        <v/>
      </c>
      <c r="Y30">
        <f>HYPERLINK("https://klasma.github.io/Logging_0862/kartor_geotiff/A 9633-2023 georefererad karta.tif", "A 9633-2023")</f>
        <v/>
      </c>
      <c r="AA30">
        <f>HYPERLINK("https://klasma.github.io/Logging_0862/klagomål/A 9633-2023 FSC-klagomål.docx", "A 9633-2023")</f>
        <v/>
      </c>
      <c r="AB30">
        <f>HYPERLINK("https://klasma.github.io/Logging_0862/klagomålsmail/A 9633-2023 FSC-klagomål mail.docx", "A 9633-2023")</f>
        <v/>
      </c>
      <c r="AC30">
        <f>HYPERLINK("https://klasma.github.io/Logging_0862/tillsyn/A 9633-2023 tillsynsbegäran.docx", "A 9633-2023")</f>
        <v/>
      </c>
      <c r="AD30">
        <f>HYPERLINK("https://klasma.github.io/Logging_0862/tillsynsmail/A 9633-2023 tillsynsbegäran mail.docx", "A 9633-2023")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46250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46250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46250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18621-2025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46250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Pärluggla</t>
        </is>
      </c>
      <c r="W34">
        <f>HYPERLINK("https://klasma.github.io/Logging_0862/artfynd/A 18621-2025 artfynd.xlsx", "A 18621-2025")</f>
        <v/>
      </c>
      <c r="X34">
        <f>HYPERLINK("https://klasma.github.io/Logging_0862/kartor/A 18621-2025 karta.png", "A 18621-2025")</f>
        <v/>
      </c>
      <c r="Y34">
        <f>HYPERLINK("https://klasma.github.io/Logging_0862/kartor_geotiff/A 18621-2025 georefererad karta.tif", "A 18621-2025")</f>
        <v/>
      </c>
      <c r="AA34">
        <f>HYPERLINK("https://klasma.github.io/Logging_0862/klagomål/A 18621-2025 FSC-klagomål.docx", "A 18621-2025")</f>
        <v/>
      </c>
      <c r="AB34">
        <f>HYPERLINK("https://klasma.github.io/Logging_0862/klagomålsmail/A 18621-2025 FSC-klagomål mail.docx", "A 18621-2025")</f>
        <v/>
      </c>
      <c r="AC34">
        <f>HYPERLINK("https://klasma.github.io/Logging_0862/tillsyn/A 18621-2025 tillsynsbegäran.docx", "A 18621-2025")</f>
        <v/>
      </c>
      <c r="AD34">
        <f>HYPERLINK("https://klasma.github.io/Logging_0862/tillsynsmail/A 18621-2025 tillsynsbegäran mail.docx", "A 18621-2025")</f>
        <v/>
      </c>
      <c r="AE34">
        <f>HYPERLINK("https://klasma.github.io/Logging_0862/fåglar/A 18621-2025 prioriterade fågelarter.docx", "A 18621-2025")</f>
        <v/>
      </c>
    </row>
    <row r="35" ht="15" customHeight="1">
      <c r="A35" t="inlineStr">
        <is>
          <t>A 53370-2023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46250</v>
      </c>
      <c r="F35" t="inlineStr">
        <is>
          <t>KALMAR LÄN</t>
        </is>
      </c>
      <c r="G35" t="inlineStr">
        <is>
          <t>EMMABODA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53370-2023 artfynd.xlsx", "A 53370-2023")</f>
        <v/>
      </c>
      <c r="X35">
        <f>HYPERLINK("https://klasma.github.io/Logging_0862/kartor/A 53370-2023 karta.png", "A 53370-2023")</f>
        <v/>
      </c>
      <c r="Y35">
        <f>HYPERLINK("https://klasma.github.io/Logging_0862/kartor_geotiff/A 53370-2023 georefererad karta.tif", "A 53370-2023")</f>
        <v/>
      </c>
      <c r="Z35">
        <f>HYPERLINK("https://klasma.github.io/Logging_0862/knärot/A 53370-2023 karta knärot.png", "A 53370-2023")</f>
        <v/>
      </c>
      <c r="AA35">
        <f>HYPERLINK("https://klasma.github.io/Logging_0862/klagomål/A 53370-2023 FSC-klagomål.docx", "A 53370-2023")</f>
        <v/>
      </c>
      <c r="AB35">
        <f>HYPERLINK("https://klasma.github.io/Logging_0862/klagomålsmail/A 53370-2023 FSC-klagomål mail.docx", "A 53370-2023")</f>
        <v/>
      </c>
      <c r="AC35">
        <f>HYPERLINK("https://klasma.github.io/Logging_0862/tillsyn/A 53370-2023 tillsynsbegäran.docx", "A 53370-2023")</f>
        <v/>
      </c>
      <c r="AD35">
        <f>HYPERLINK("https://klasma.github.io/Logging_0862/tillsynsmail/A 53370-2023 tillsynsbegäran mail.docx", "A 53370-2023")</f>
        <v/>
      </c>
    </row>
    <row r="36" ht="15" customHeight="1">
      <c r="A36" t="inlineStr">
        <is>
          <t>A 6612-2023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46250</v>
      </c>
      <c r="F36" t="inlineStr">
        <is>
          <t>KALMAR LÄN</t>
        </is>
      </c>
      <c r="G36" t="inlineStr">
        <is>
          <t>EMMABODA</t>
        </is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HYPERLINK("https://klasma.github.io/Logging_0862/artfynd/A 6612-2023 artfynd.xlsx", "A 6612-2023")</f>
        <v/>
      </c>
      <c r="X36">
        <f>HYPERLINK("https://klasma.github.io/Logging_0862/kartor/A 6612-2023 karta.png", "A 6612-2023")</f>
        <v/>
      </c>
      <c r="Y36">
        <f>HYPERLINK("https://klasma.github.io/Logging_0862/kartor_geotiff/A 6612-2023 georefererad karta.tif", "A 6612-2023")</f>
        <v/>
      </c>
      <c r="AA36">
        <f>HYPERLINK("https://klasma.github.io/Logging_0862/klagomål/A 6612-2023 FSC-klagomål.docx", "A 6612-2023")</f>
        <v/>
      </c>
      <c r="AB36">
        <f>HYPERLINK("https://klasma.github.io/Logging_0862/klagomålsmail/A 6612-2023 FSC-klagomål mail.docx", "A 6612-2023")</f>
        <v/>
      </c>
      <c r="AC36">
        <f>HYPERLINK("https://klasma.github.io/Logging_0862/tillsyn/A 6612-2023 tillsynsbegäran.docx", "A 6612-2023")</f>
        <v/>
      </c>
      <c r="AD36">
        <f>HYPERLINK("https://klasma.github.io/Logging_0862/tillsynsmail/A 6612-2023 tillsynsbegäran mail.docx", "A 6612-2023")</f>
        <v/>
      </c>
    </row>
    <row r="37" ht="15" customHeight="1">
      <c r="A37" t="inlineStr">
        <is>
          <t>A 46187-2023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46250</v>
      </c>
      <c r="F37" t="inlineStr">
        <is>
          <t>KALMAR LÄN</t>
        </is>
      </c>
      <c r="G37" t="inlineStr">
        <is>
          <t>EMMABODA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HYPERLINK("https://klasma.github.io/Logging_0862/artfynd/A 46187-2023 artfynd.xlsx", "A 46187-2023")</f>
        <v/>
      </c>
      <c r="X37">
        <f>HYPERLINK("https://klasma.github.io/Logging_0862/kartor/A 46187-2023 karta.png", "A 46187-2023")</f>
        <v/>
      </c>
      <c r="Y37">
        <f>HYPERLINK("https://klasma.github.io/Logging_0862/kartor_geotiff/A 46187-2023 georefererad karta.tif", "A 46187-2023")</f>
        <v/>
      </c>
      <c r="AA37">
        <f>HYPERLINK("https://klasma.github.io/Logging_0862/klagomål/A 46187-2023 FSC-klagomål.docx", "A 46187-2023")</f>
        <v/>
      </c>
      <c r="AB37">
        <f>HYPERLINK("https://klasma.github.io/Logging_0862/klagomålsmail/A 46187-2023 FSC-klagomål mail.docx", "A 46187-2023")</f>
        <v/>
      </c>
      <c r="AC37">
        <f>HYPERLINK("https://klasma.github.io/Logging_0862/tillsyn/A 46187-2023 tillsynsbegäran.docx", "A 46187-2023")</f>
        <v/>
      </c>
      <c r="AD37">
        <f>HYPERLINK("https://klasma.github.io/Logging_0862/tillsynsmail/A 46187-2023 tillsynsbegäran mail.docx", "A 46187-2023")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46250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HYPERLINK("https://klasma.github.io/Logging_0862/artfynd/A 6247-2026 artfynd.xlsx", "A 6247-2026")</f>
        <v/>
      </c>
      <c r="X38">
        <f>HYPERLINK("https://klasma.github.io/Logging_0862/kartor/A 6247-2026 karta.png", "A 6247-2026")</f>
        <v/>
      </c>
      <c r="Y38">
        <f>HYPERLINK("https://klasma.github.io/Logging_0862/kartor_geotiff/A 6247-2026 georefererad karta.tif", "A 6247-2026")</f>
        <v/>
      </c>
      <c r="AA38">
        <f>HYPERLINK("https://klasma.github.io/Logging_0862/klagomål/A 6247-2026 FSC-klagomål.docx", "A 6247-2026")</f>
        <v/>
      </c>
      <c r="AB38">
        <f>HYPERLINK("https://klasma.github.io/Logging_0862/klagomålsmail/A 6247-2026 FSC-klagomål mail.docx", "A 6247-2026")</f>
        <v/>
      </c>
      <c r="AC38">
        <f>HYPERLINK("https://klasma.github.io/Logging_0862/tillsyn/A 6247-2026 tillsynsbegäran.docx", "A 6247-2026")</f>
        <v/>
      </c>
      <c r="AD38">
        <f>HYPERLINK("https://klasma.github.io/Logging_0862/tillsynsmail/A 6247-2026 tillsynsbegäran mail.docx", "A 6247-2026")</f>
        <v/>
      </c>
    </row>
    <row r="39" ht="15" customHeight="1">
      <c r="A39" t="inlineStr">
        <is>
          <t>A 58297-2021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44488</v>
      </c>
      <c r="E39" s="1" t="n">
        <v>46250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58297-2021 artfynd.xlsx", "A 58297-2021")</f>
        <v/>
      </c>
      <c r="X39">
        <f>HYPERLINK("https://klasma.github.io/Logging_0862/kartor/A 58297-2021 karta.png", "A 58297-2021")</f>
        <v/>
      </c>
      <c r="Y39">
        <f>HYPERLINK("https://klasma.github.io/Logging_0862/kartor_geotiff/A 58297-2021 georefererad karta.tif", "A 58297-2021")</f>
        <v/>
      </c>
      <c r="AA39">
        <f>HYPERLINK("https://klasma.github.io/Logging_0862/klagomål/A 58297-2021 FSC-klagomål.docx", "A 58297-2021")</f>
        <v/>
      </c>
      <c r="AB39">
        <f>HYPERLINK("https://klasma.github.io/Logging_0862/klagomålsmail/A 58297-2021 FSC-klagomål mail.docx", "A 58297-2021")</f>
        <v/>
      </c>
      <c r="AC39">
        <f>HYPERLINK("https://klasma.github.io/Logging_0862/tillsyn/A 58297-2021 tillsynsbegäran.docx", "A 58297-2021")</f>
        <v/>
      </c>
      <c r="AD39">
        <f>HYPERLINK("https://klasma.github.io/Logging_0862/tillsynsmail/A 58297-2021 tillsynsbegäran mail.docx", "A 58297-2021")</f>
        <v/>
      </c>
    </row>
    <row r="40" ht="15" customHeight="1">
      <c r="A40" t="inlineStr">
        <is>
          <t>A 5884-2024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46250</v>
      </c>
      <c r="F40" t="inlineStr">
        <is>
          <t>KALMAR LÄN</t>
        </is>
      </c>
      <c r="G40" t="inlineStr">
        <is>
          <t>EMMABODA</t>
        </is>
      </c>
      <c r="I40" t="n">
        <v>4.7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HYPERLINK("https://klasma.github.io/Logging_0862/artfynd/A 5884-2024 artfynd.xlsx", "A 5884-2024")</f>
        <v/>
      </c>
      <c r="X40">
        <f>HYPERLINK("https://klasma.github.io/Logging_0862/kartor/A 5884-2024 karta.png", "A 5884-2024")</f>
        <v/>
      </c>
      <c r="Y40">
        <f>HYPERLINK("https://klasma.github.io/Logging_0862/kartor_geotiff/A 5884-2024 georefererad karta.tif", "A 5884-2024")</f>
        <v/>
      </c>
      <c r="AA40">
        <f>HYPERLINK("https://klasma.github.io/Logging_0862/klagomål/A 5884-2024 FSC-klagomål.docx", "A 5884-2024")</f>
        <v/>
      </c>
      <c r="AB40">
        <f>HYPERLINK("https://klasma.github.io/Logging_0862/klagomålsmail/A 5884-2024 FSC-klagomål mail.docx", "A 5884-2024")</f>
        <v/>
      </c>
      <c r="AC40">
        <f>HYPERLINK("https://klasma.github.io/Logging_0862/tillsyn/A 5884-2024 tillsynsbegäran.docx", "A 5884-2024")</f>
        <v/>
      </c>
      <c r="AD40">
        <f>HYPERLINK("https://klasma.github.io/Logging_0862/tillsynsmail/A 5884-2024 tillsynsbegäran mail.docx", "A 5884-2024")</f>
        <v/>
      </c>
    </row>
    <row r="41" ht="15" customHeight="1">
      <c r="A41" t="inlineStr">
        <is>
          <t>A 21846-2023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46250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21846-2023 artfynd.xlsx", "A 21846-2023")</f>
        <v/>
      </c>
      <c r="X41">
        <f>HYPERLINK("https://klasma.github.io/Logging_0862/kartor/A 21846-2023 karta.png", "A 21846-2023")</f>
        <v/>
      </c>
      <c r="Y41">
        <f>HYPERLINK("https://klasma.github.io/Logging_0862/kartor_geotiff/A 21846-2023 georefererad karta.tif", "A 21846-2023")</f>
        <v/>
      </c>
      <c r="AA41">
        <f>HYPERLINK("https://klasma.github.io/Logging_0862/klagomål/A 21846-2023 FSC-klagomål.docx", "A 21846-2023")</f>
        <v/>
      </c>
      <c r="AB41">
        <f>HYPERLINK("https://klasma.github.io/Logging_0862/klagomålsmail/A 21846-2023 FSC-klagomål mail.docx", "A 21846-2023")</f>
        <v/>
      </c>
      <c r="AC41">
        <f>HYPERLINK("https://klasma.github.io/Logging_0862/tillsyn/A 21846-2023 tillsynsbegäran.docx", "A 21846-2023")</f>
        <v/>
      </c>
      <c r="AD41">
        <f>HYPERLINK("https://klasma.github.io/Logging_0862/tillsynsmail/A 21846-2023 tillsynsbegäran mail.docx", "A 21846-2023")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46250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HYPERLINK("https://klasma.github.io/Logging_0862/artfynd/A 29859-2023 artfynd.xlsx", "A 29859-2023")</f>
        <v/>
      </c>
      <c r="X42">
        <f>HYPERLINK("https://klasma.github.io/Logging_0862/kartor/A 29859-2023 karta.png", "A 29859-2023")</f>
        <v/>
      </c>
      <c r="Y42">
        <f>HYPERLINK("https://klasma.github.io/Logging_0862/kartor_geotiff/A 29859-2023 georefererad karta.tif", "A 29859-2023")</f>
        <v/>
      </c>
      <c r="AA42">
        <f>HYPERLINK("https://klasma.github.io/Logging_0862/klagomål/A 29859-2023 FSC-klagomål.docx", "A 29859-2023")</f>
        <v/>
      </c>
      <c r="AB42">
        <f>HYPERLINK("https://klasma.github.io/Logging_0862/klagomålsmail/A 29859-2023 FSC-klagomål mail.docx", "A 29859-2023")</f>
        <v/>
      </c>
      <c r="AC42">
        <f>HYPERLINK("https://klasma.github.io/Logging_0862/tillsyn/A 29859-2023 tillsynsbegäran.docx", "A 29859-2023")</f>
        <v/>
      </c>
      <c r="AD42">
        <f>HYPERLINK("https://klasma.github.io/Logging_0862/tillsynsmail/A 29859-2023 tillsynsbegäran mail.docx", "A 29859-2023")</f>
        <v/>
      </c>
      <c r="AE42">
        <f>HYPERLINK("https://klasma.github.io/Logging_0862/fåglar/A 29859-2023 prioriterade fågelarter.docx", "A 29859-2023")</f>
        <v/>
      </c>
    </row>
    <row r="43" ht="15" customHeight="1">
      <c r="A43" t="inlineStr">
        <is>
          <t>A 28871-2023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46250</v>
      </c>
      <c r="F43" t="inlineStr">
        <is>
          <t>KALMAR LÄN</t>
        </is>
      </c>
      <c r="G43" t="inlineStr">
        <is>
          <t>EMMABODA</t>
        </is>
      </c>
      <c r="I43" t="n">
        <v>1.7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HYPERLINK("https://klasma.github.io/Logging_0862/artfynd/A 28871-2023 artfynd.xlsx", "A 28871-2023")</f>
        <v/>
      </c>
      <c r="X43">
        <f>HYPERLINK("https://klasma.github.io/Logging_0862/kartor/A 28871-2023 karta.png", "A 28871-2023")</f>
        <v/>
      </c>
      <c r="Y43">
        <f>HYPERLINK("https://klasma.github.io/Logging_0862/kartor_geotiff/A 28871-2023 georefererad karta.tif", "A 28871-2023")</f>
        <v/>
      </c>
      <c r="AA43">
        <f>HYPERLINK("https://klasma.github.io/Logging_0862/klagomål/A 28871-2023 FSC-klagomål.docx", "A 28871-2023")</f>
        <v/>
      </c>
      <c r="AB43">
        <f>HYPERLINK("https://klasma.github.io/Logging_0862/klagomålsmail/A 28871-2023 FSC-klagomål mail.docx", "A 28871-2023")</f>
        <v/>
      </c>
      <c r="AC43">
        <f>HYPERLINK("https://klasma.github.io/Logging_0862/tillsyn/A 28871-2023 tillsynsbegäran.docx", "A 28871-2023")</f>
        <v/>
      </c>
      <c r="AD43">
        <f>HYPERLINK("https://klasma.github.io/Logging_0862/tillsynsmail/A 28871-2023 tillsynsbegäran mail.docx", "A 28871-2023")</f>
        <v/>
      </c>
    </row>
    <row r="44" ht="15" customHeight="1">
      <c r="A44" t="inlineStr">
        <is>
          <t>A 58883-2022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46250</v>
      </c>
      <c r="F44" t="inlineStr">
        <is>
          <t>KALMAR LÄN</t>
        </is>
      </c>
      <c r="G44" t="inlineStr">
        <is>
          <t>EMMABODA</t>
        </is>
      </c>
      <c r="I44" t="n">
        <v>2.5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HYPERLINK("https://klasma.github.io/Logging_0862/artfynd/A 58883-2022 artfynd.xlsx", "A 58883-2022")</f>
        <v/>
      </c>
      <c r="X44">
        <f>HYPERLINK("https://klasma.github.io/Logging_0862/kartor/A 58883-2022 karta.png", "A 58883-2022")</f>
        <v/>
      </c>
      <c r="Y44">
        <f>HYPERLINK("https://klasma.github.io/Logging_0862/kartor_geotiff/A 58883-2022 georefererad karta.tif", "A 58883-2022")</f>
        <v/>
      </c>
      <c r="AA44">
        <f>HYPERLINK("https://klasma.github.io/Logging_0862/klagomål/A 58883-2022 FSC-klagomål.docx", "A 58883-2022")</f>
        <v/>
      </c>
      <c r="AB44">
        <f>HYPERLINK("https://klasma.github.io/Logging_0862/klagomålsmail/A 58883-2022 FSC-klagomål mail.docx", "A 58883-2022")</f>
        <v/>
      </c>
      <c r="AC44">
        <f>HYPERLINK("https://klasma.github.io/Logging_0862/tillsyn/A 58883-2022 tillsynsbegäran.docx", "A 58883-2022")</f>
        <v/>
      </c>
      <c r="AD44">
        <f>HYPERLINK("https://klasma.github.io/Logging_0862/tillsynsmail/A 58883-2022 tillsynsbegäran mail.docx", "A 58883-2022")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46250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46250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31261-2026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46250</v>
      </c>
      <c r="F47" t="inlineStr">
        <is>
          <t>KALMAR LÄN</t>
        </is>
      </c>
      <c r="G47" t="inlineStr">
        <is>
          <t>EMMABODA</t>
        </is>
      </c>
      <c r="I47" t="n">
        <v>5.7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Stubbspretmossa</t>
        </is>
      </c>
      <c r="W47">
        <f>HYPERLINK("https://klasma.github.io/Logging_0862/artfynd/A 31261-2026 artfynd.xlsx", "A 31261-2026")</f>
        <v/>
      </c>
      <c r="X47">
        <f>HYPERLINK("https://klasma.github.io/Logging_0862/kartor/A 31261-2026 karta.png", "A 31261-2026")</f>
        <v/>
      </c>
      <c r="Y47">
        <f>HYPERLINK("https://klasma.github.io/Logging_0862/kartor_geotiff/A 31261-2026 georefererad karta.tif", "A 31261-2026")</f>
        <v/>
      </c>
      <c r="AA47">
        <f>HYPERLINK("https://klasma.github.io/Logging_0862/klagomål/A 31261-2026 FSC-klagomål.docx", "A 31261-2026")</f>
        <v/>
      </c>
      <c r="AB47">
        <f>HYPERLINK("https://klasma.github.io/Logging_0862/klagomålsmail/A 31261-2026 FSC-klagomål mail.docx", "A 31261-2026")</f>
        <v/>
      </c>
      <c r="AC47">
        <f>HYPERLINK("https://klasma.github.io/Logging_0862/tillsyn/A 31261-2026 tillsynsbegäran.docx", "A 31261-2026")</f>
        <v/>
      </c>
      <c r="AD47">
        <f>HYPERLINK("https://klasma.github.io/Logging_0862/tillsynsmail/A 31261-2026 tillsynsbegäran mail.docx", "A 31261-2026")</f>
        <v/>
      </c>
    </row>
    <row r="48" ht="15" customHeight="1">
      <c r="A48" t="inlineStr">
        <is>
          <t>A 770-2022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44570</v>
      </c>
      <c r="E48" s="1" t="n">
        <v>46250</v>
      </c>
      <c r="F48" t="inlineStr">
        <is>
          <t>KALMAR LÄN</t>
        </is>
      </c>
      <c r="G48" t="inlineStr">
        <is>
          <t>EMMABODA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Grönpyrola</t>
        </is>
      </c>
      <c r="W48">
        <f>HYPERLINK("https://klasma.github.io/Logging_0862/artfynd/A 770-2022 artfynd.xlsx", "A 770-2022")</f>
        <v/>
      </c>
      <c r="X48">
        <f>HYPERLINK("https://klasma.github.io/Logging_0862/kartor/A 770-2022 karta.png", "A 770-2022")</f>
        <v/>
      </c>
      <c r="Y48">
        <f>HYPERLINK("https://klasma.github.io/Logging_0862/kartor_geotiff/A 770-2022 georefererad karta.tif", "A 770-2022")</f>
        <v/>
      </c>
      <c r="AA48">
        <f>HYPERLINK("https://klasma.github.io/Logging_0862/klagomål/A 770-2022 FSC-klagomål.docx", "A 770-2022")</f>
        <v/>
      </c>
      <c r="AB48">
        <f>HYPERLINK("https://klasma.github.io/Logging_0862/klagomålsmail/A 770-2022 FSC-klagomål mail.docx", "A 770-2022")</f>
        <v/>
      </c>
      <c r="AC48">
        <f>HYPERLINK("https://klasma.github.io/Logging_0862/tillsyn/A 770-2022 tillsynsbegäran.docx", "A 770-2022")</f>
        <v/>
      </c>
      <c r="AD48">
        <f>HYPERLINK("https://klasma.github.io/Logging_0862/tillsynsmail/A 770-2022 tillsynsbegäran mail.docx", "A 770-2022")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46250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46250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46250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46250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46250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46250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46250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46250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46250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46250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46250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46250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46250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46250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46250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46250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46250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46250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46250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46250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46250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46250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46250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46250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46250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46250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46250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46250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46250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46250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46250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46250</v>
      </c>
      <c r="F80" t="inlineStr">
        <is>
          <t>KALMAR LÄN</t>
        </is>
      </c>
      <c r="G80" t="inlineStr">
        <is>
          <t>EMMABODA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46250</v>
      </c>
      <c r="F81" t="inlineStr">
        <is>
          <t>KALMAR LÄN</t>
        </is>
      </c>
      <c r="G81" t="inlineStr">
        <is>
          <t>EMMABODA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46250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46250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46250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46250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46250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46250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46250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46250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46250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46250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46250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46250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46250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46250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46250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68368-2021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46250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46250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46250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46250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46250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46250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46250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46250</v>
      </c>
      <c r="F104" t="inlineStr">
        <is>
          <t>KALMAR LÄN</t>
        </is>
      </c>
      <c r="G104" t="inlineStr">
        <is>
          <t>EMMABODA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46250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46250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46250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46250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46250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46250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46250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46250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46250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46250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46250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46250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46250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46250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46250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46250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46250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46250</v>
      </c>
      <c r="F122" t="inlineStr">
        <is>
          <t>KALMAR LÄN</t>
        </is>
      </c>
      <c r="G122" t="inlineStr">
        <is>
          <t>EMMABODA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44470</v>
      </c>
      <c r="E123" s="1" t="n">
        <v>46250</v>
      </c>
      <c r="F123" t="inlineStr">
        <is>
          <t>KALMAR LÄN</t>
        </is>
      </c>
      <c r="G123" t="inlineStr">
        <is>
          <t>EMMABODA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46250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46250</v>
      </c>
      <c r="F125" t="inlineStr">
        <is>
          <t>KALMAR LÄN</t>
        </is>
      </c>
      <c r="G125" t="inlineStr">
        <is>
          <t>EMMABODA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46250</v>
      </c>
      <c r="F126" t="inlineStr">
        <is>
          <t>KALMAR LÄN</t>
        </is>
      </c>
      <c r="G126" t="inlineStr">
        <is>
          <t>EMMABODA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45411</v>
      </c>
      <c r="E127" s="1" t="n">
        <v>46250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46250</v>
      </c>
      <c r="F128" t="inlineStr">
        <is>
          <t>KALMAR LÄN</t>
        </is>
      </c>
      <c r="G128" t="inlineStr">
        <is>
          <t>EMMABODA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46250</v>
      </c>
      <c r="F129" t="inlineStr">
        <is>
          <t>KALMAR LÄN</t>
        </is>
      </c>
      <c r="G129" t="inlineStr">
        <is>
          <t>EMMABODA</t>
        </is>
      </c>
      <c r="H129" t="inlineStr">
        <is>
          <t>Övriga Aktiebolag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44431</v>
      </c>
      <c r="E130" s="1" t="n">
        <v>46250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46250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46250</v>
      </c>
      <c r="F132" t="inlineStr">
        <is>
          <t>KALMAR LÄN</t>
        </is>
      </c>
      <c r="G132" t="inlineStr">
        <is>
          <t>EMMABODA</t>
        </is>
      </c>
      <c r="H132" t="inlineStr">
        <is>
          <t>Kyrkan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46250</v>
      </c>
      <c r="F133" t="inlineStr">
        <is>
          <t>KALMAR LÄN</t>
        </is>
      </c>
      <c r="G133" t="inlineStr">
        <is>
          <t>EMMABODA</t>
        </is>
      </c>
      <c r="H133" t="inlineStr">
        <is>
          <t>Kyrkan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46250</v>
      </c>
      <c r="F134" t="inlineStr">
        <is>
          <t>KALMAR LÄN</t>
        </is>
      </c>
      <c r="G134" t="inlineStr">
        <is>
          <t>EMMABODA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46250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44725</v>
      </c>
      <c r="E136" s="1" t="n">
        <v>46250</v>
      </c>
      <c r="F136" t="inlineStr">
        <is>
          <t>KALMAR LÄN</t>
        </is>
      </c>
      <c r="G136" t="inlineStr">
        <is>
          <t>EMMABODA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46250</v>
      </c>
      <c r="F137" t="inlineStr">
        <is>
          <t>KALMAR LÄN</t>
        </is>
      </c>
      <c r="G137" t="inlineStr">
        <is>
          <t>EMMABODA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46250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46250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46250</v>
      </c>
      <c r="F140" t="inlineStr">
        <is>
          <t>KALMAR LÄN</t>
        </is>
      </c>
      <c r="G140" t="inlineStr">
        <is>
          <t>EMMABODA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44847</v>
      </c>
      <c r="E141" s="1" t="n">
        <v>46250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44673</v>
      </c>
      <c r="E142" s="1" t="n">
        <v>46250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46250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58312-2021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46250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44452</v>
      </c>
      <c r="E145" s="1" t="n">
        <v>46250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45164</v>
      </c>
      <c r="E146" s="1" t="n">
        <v>46250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46250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46250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44802</v>
      </c>
      <c r="E149" s="1" t="n">
        <v>46250</v>
      </c>
      <c r="F149" t="inlineStr">
        <is>
          <t>KALMAR LÄN</t>
        </is>
      </c>
      <c r="G149" t="inlineStr">
        <is>
          <t>EMMABODA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44589</v>
      </c>
      <c r="E150" s="1" t="n">
        <v>46250</v>
      </c>
      <c r="F150" t="inlineStr">
        <is>
          <t>KALMAR LÄN</t>
        </is>
      </c>
      <c r="G150" t="inlineStr">
        <is>
          <t>EMMABODA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46250</v>
      </c>
      <c r="F151" t="inlineStr">
        <is>
          <t>KALMAR LÄN</t>
        </is>
      </c>
      <c r="G151" t="inlineStr">
        <is>
          <t>EMMABODA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46250</v>
      </c>
      <c r="F152" t="inlineStr">
        <is>
          <t>KALMAR LÄN</t>
        </is>
      </c>
      <c r="G152" t="inlineStr">
        <is>
          <t>EMMABODA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46250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45735</v>
      </c>
      <c r="E154" s="1" t="n">
        <v>46250</v>
      </c>
      <c r="F154" t="inlineStr">
        <is>
          <t>KALMAR LÄN</t>
        </is>
      </c>
      <c r="G154" t="inlineStr">
        <is>
          <t>EMMABODA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46250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46250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44655</v>
      </c>
      <c r="E157" s="1" t="n">
        <v>46250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45461</v>
      </c>
      <c r="E158" s="1" t="n">
        <v>46250</v>
      </c>
      <c r="F158" t="inlineStr">
        <is>
          <t>KALMAR LÄN</t>
        </is>
      </c>
      <c r="G158" t="inlineStr">
        <is>
          <t>EMMABODA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46250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44861</v>
      </c>
      <c r="E160" s="1" t="n">
        <v>46250</v>
      </c>
      <c r="F160" t="inlineStr">
        <is>
          <t>KALMAR LÄN</t>
        </is>
      </c>
      <c r="G160" t="inlineStr">
        <is>
          <t>EMMABODA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45475</v>
      </c>
      <c r="E161" s="1" t="n">
        <v>46250</v>
      </c>
      <c r="F161" t="inlineStr">
        <is>
          <t>KALMAR LÄN</t>
        </is>
      </c>
      <c r="G161" t="inlineStr">
        <is>
          <t>EMMABODA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46250</v>
      </c>
      <c r="F162" t="inlineStr">
        <is>
          <t>KALMAR LÄN</t>
        </is>
      </c>
      <c r="G162" t="inlineStr">
        <is>
          <t>EMMABODA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46250</v>
      </c>
      <c r="F163" t="inlineStr">
        <is>
          <t>KALMAR LÄN</t>
        </is>
      </c>
      <c r="G163" t="inlineStr">
        <is>
          <t>EMMABODA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45400</v>
      </c>
      <c r="E164" s="1" t="n">
        <v>46250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46250</v>
      </c>
      <c r="F165" t="inlineStr">
        <is>
          <t>KALMAR LÄN</t>
        </is>
      </c>
      <c r="G165" t="inlineStr">
        <is>
          <t>EMMABODA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46250</v>
      </c>
      <c r="F166" t="inlineStr">
        <is>
          <t>KALMAR LÄN</t>
        </is>
      </c>
      <c r="G166" t="inlineStr">
        <is>
          <t>EMMABODA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46250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68952-2021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46250</v>
      </c>
      <c r="F168" t="inlineStr">
        <is>
          <t>KALMAR LÄN</t>
        </is>
      </c>
      <c r="G168" t="inlineStr">
        <is>
          <t>EMMABODA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46250</v>
      </c>
      <c r="F169" t="inlineStr">
        <is>
          <t>KALMAR LÄN</t>
        </is>
      </c>
      <c r="G169" t="inlineStr">
        <is>
          <t>EMMABODA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46250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46250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46250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45048</v>
      </c>
      <c r="E173" s="1" t="n">
        <v>46250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46250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45219</v>
      </c>
      <c r="E175" s="1" t="n">
        <v>46250</v>
      </c>
      <c r="F175" t="inlineStr">
        <is>
          <t>KALMAR LÄN</t>
        </is>
      </c>
      <c r="G175" t="inlineStr">
        <is>
          <t>EMMABODA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45335</v>
      </c>
      <c r="E176" s="1" t="n">
        <v>46250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46250</v>
      </c>
      <c r="F177" t="inlineStr">
        <is>
          <t>KALMAR LÄN</t>
        </is>
      </c>
      <c r="G177" t="inlineStr">
        <is>
          <t>EMMABODA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46250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46250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46250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45477</v>
      </c>
      <c r="E181" s="1" t="n">
        <v>46250</v>
      </c>
      <c r="F181" t="inlineStr">
        <is>
          <t>KALMAR LÄN</t>
        </is>
      </c>
      <c r="G181" t="inlineStr">
        <is>
          <t>EMMABODA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45514</v>
      </c>
      <c r="E182" s="1" t="n">
        <v>46250</v>
      </c>
      <c r="F182" t="inlineStr">
        <is>
          <t>KALMAR LÄN</t>
        </is>
      </c>
      <c r="G182" t="inlineStr">
        <is>
          <t>EMMABODA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46250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46250</v>
      </c>
      <c r="F184" t="inlineStr">
        <is>
          <t>KALMAR LÄN</t>
        </is>
      </c>
      <c r="G184" t="inlineStr">
        <is>
          <t>EMMABODA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46250</v>
      </c>
      <c r="F185" t="inlineStr">
        <is>
          <t>KALMAR LÄN</t>
        </is>
      </c>
      <c r="G185" t="inlineStr">
        <is>
          <t>EMMABODA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46250</v>
      </c>
      <c r="F186" t="inlineStr">
        <is>
          <t>KALMAR LÄN</t>
        </is>
      </c>
      <c r="G186" t="inlineStr">
        <is>
          <t>EMMABODA</t>
        </is>
      </c>
      <c r="H186" t="inlineStr">
        <is>
          <t>Kommuner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44519</v>
      </c>
      <c r="E187" s="1" t="n">
        <v>46250</v>
      </c>
      <c r="F187" t="inlineStr">
        <is>
          <t>KALMAR LÄN</t>
        </is>
      </c>
      <c r="G187" t="inlineStr">
        <is>
          <t>EMMABODA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46250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44799</v>
      </c>
      <c r="E189" s="1" t="n">
        <v>46250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68940-2021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46250</v>
      </c>
      <c r="F190" t="inlineStr">
        <is>
          <t>KALMAR LÄN</t>
        </is>
      </c>
      <c r="G190" t="inlineStr">
        <is>
          <t>EMMABODA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46250</v>
      </c>
      <c r="F191" t="inlineStr">
        <is>
          <t>KALMAR LÄN</t>
        </is>
      </c>
      <c r="G191" t="inlineStr">
        <is>
          <t>EMMABODA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46250</v>
      </c>
      <c r="F192" t="inlineStr">
        <is>
          <t>KALMAR LÄN</t>
        </is>
      </c>
      <c r="G192" t="inlineStr">
        <is>
          <t>EMMABODA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46250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45348</v>
      </c>
      <c r="E194" s="1" t="n">
        <v>46250</v>
      </c>
      <c r="F194" t="inlineStr">
        <is>
          <t>KALMAR LÄN</t>
        </is>
      </c>
      <c r="G194" t="inlineStr">
        <is>
          <t>EMMABODA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46250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46250</v>
      </c>
      <c r="F196" t="inlineStr">
        <is>
          <t>KALMAR LÄN</t>
        </is>
      </c>
      <c r="G196" t="inlineStr">
        <is>
          <t>EMMABODA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46250</v>
      </c>
      <c r="F197" t="inlineStr">
        <is>
          <t>KALMAR LÄN</t>
        </is>
      </c>
      <c r="G197" t="inlineStr">
        <is>
          <t>EMMABODA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45189</v>
      </c>
      <c r="E198" s="1" t="n">
        <v>46250</v>
      </c>
      <c r="F198" t="inlineStr">
        <is>
          <t>KALMAR LÄN</t>
        </is>
      </c>
      <c r="G198" t="inlineStr">
        <is>
          <t>EMMABODA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46250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45397</v>
      </c>
      <c r="E200" s="1" t="n">
        <v>46250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46250</v>
      </c>
      <c r="F201" t="inlineStr">
        <is>
          <t>KALMAR LÄN</t>
        </is>
      </c>
      <c r="G201" t="inlineStr">
        <is>
          <t>EMMABODA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73058-2021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46250</v>
      </c>
      <c r="F202" t="inlineStr">
        <is>
          <t>KALMAR LÄN</t>
        </is>
      </c>
      <c r="G202" t="inlineStr">
        <is>
          <t>EMMABODA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46250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46250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46250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46250</v>
      </c>
      <c r="F206" t="inlineStr">
        <is>
          <t>KALMAR LÄN</t>
        </is>
      </c>
      <c r="G206" t="inlineStr">
        <is>
          <t>EMMABODA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46250</v>
      </c>
      <c r="F207" t="inlineStr">
        <is>
          <t>KALMAR LÄN</t>
        </is>
      </c>
      <c r="G207" t="inlineStr">
        <is>
          <t>EMMABODA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46250</v>
      </c>
      <c r="F208" t="inlineStr">
        <is>
          <t>KALMAR LÄN</t>
        </is>
      </c>
      <c r="G208" t="inlineStr">
        <is>
          <t>EMMABODA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46250</v>
      </c>
      <c r="F209" t="inlineStr">
        <is>
          <t>KALMAR LÄN</t>
        </is>
      </c>
      <c r="G209" t="inlineStr">
        <is>
          <t>EMMABODA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46250</v>
      </c>
      <c r="F210" t="inlineStr">
        <is>
          <t>KALMAR LÄN</t>
        </is>
      </c>
      <c r="G210" t="inlineStr">
        <is>
          <t>EMMABODA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46250</v>
      </c>
      <c r="F211" t="inlineStr">
        <is>
          <t>KALMAR LÄN</t>
        </is>
      </c>
      <c r="G211" t="inlineStr">
        <is>
          <t>EMMABODA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45921</v>
      </c>
      <c r="E212" s="1" t="n">
        <v>46250</v>
      </c>
      <c r="F212" t="inlineStr">
        <is>
          <t>KALMAR LÄN</t>
        </is>
      </c>
      <c r="G212" t="inlineStr">
        <is>
          <t>EMMABODA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45475</v>
      </c>
      <c r="E213" s="1" t="n">
        <v>46250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46250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46250</v>
      </c>
      <c r="F215" t="inlineStr">
        <is>
          <t>KALMAR LÄN</t>
        </is>
      </c>
      <c r="G215" t="inlineStr">
        <is>
          <t>EMMABODA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46250</v>
      </c>
      <c r="F216" t="inlineStr">
        <is>
          <t>KALMAR LÄN</t>
        </is>
      </c>
      <c r="G216" t="inlineStr">
        <is>
          <t>EMMABODA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46250</v>
      </c>
      <c r="F217" t="inlineStr">
        <is>
          <t>KALMAR LÄN</t>
        </is>
      </c>
      <c r="G217" t="inlineStr">
        <is>
          <t>EMMABODA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46250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46250</v>
      </c>
      <c r="F219" t="inlineStr">
        <is>
          <t>KALMAR LÄN</t>
        </is>
      </c>
      <c r="G219" t="inlineStr">
        <is>
          <t>EMMABODA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44683</v>
      </c>
      <c r="E220" s="1" t="n">
        <v>46250</v>
      </c>
      <c r="F220" t="inlineStr">
        <is>
          <t>KALMAR LÄN</t>
        </is>
      </c>
      <c r="G220" t="inlineStr">
        <is>
          <t>EMMABODA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45301</v>
      </c>
      <c r="E221" s="1" t="n">
        <v>46250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46250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46250</v>
      </c>
      <c r="F223" t="inlineStr">
        <is>
          <t>KALMAR LÄN</t>
        </is>
      </c>
      <c r="G223" t="inlineStr">
        <is>
          <t>EMMABODA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45309</v>
      </c>
      <c r="E224" s="1" t="n">
        <v>46250</v>
      </c>
      <c r="F224" t="inlineStr">
        <is>
          <t>KALMAR LÄN</t>
        </is>
      </c>
      <c r="G224" t="inlineStr">
        <is>
          <t>EMMABODA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45126</v>
      </c>
      <c r="E225" s="1" t="n">
        <v>46250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46250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12014-2023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44995</v>
      </c>
      <c r="E227" s="1" t="n">
        <v>46250</v>
      </c>
      <c r="F227" t="inlineStr">
        <is>
          <t>KALMAR LÄN</t>
        </is>
      </c>
      <c r="G227" t="inlineStr">
        <is>
          <t>EMMABODA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46250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46250</v>
      </c>
      <c r="F229" t="inlineStr">
        <is>
          <t>KALMAR LÄN</t>
        </is>
      </c>
      <c r="G229" t="inlineStr">
        <is>
          <t>EMMABODA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46250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45190</v>
      </c>
      <c r="E231" s="1" t="n">
        <v>46250</v>
      </c>
      <c r="F231" t="inlineStr">
        <is>
          <t>KALMAR LÄN</t>
        </is>
      </c>
      <c r="G231" t="inlineStr">
        <is>
          <t>EMMABODA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46250</v>
      </c>
      <c r="F232" t="inlineStr">
        <is>
          <t>KALMAR LÄN</t>
        </is>
      </c>
      <c r="G232" t="inlineStr">
        <is>
          <t>EMMABODA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46250</v>
      </c>
      <c r="F233" t="inlineStr">
        <is>
          <t>KALMAR LÄN</t>
        </is>
      </c>
      <c r="G233" t="inlineStr">
        <is>
          <t>EMMABODA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46250</v>
      </c>
      <c r="F234" t="inlineStr">
        <is>
          <t>KALMAR LÄN</t>
        </is>
      </c>
      <c r="G234" t="inlineStr">
        <is>
          <t>EMMABODA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44851</v>
      </c>
      <c r="E235" s="1" t="n">
        <v>46250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46250</v>
      </c>
      <c r="F236" t="inlineStr">
        <is>
          <t>KALMAR LÄN</t>
        </is>
      </c>
      <c r="G236" t="inlineStr">
        <is>
          <t>EMMABODA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46250</v>
      </c>
      <c r="F237" t="inlineStr">
        <is>
          <t>KALMAR LÄN</t>
        </is>
      </c>
      <c r="G237" t="inlineStr">
        <is>
          <t>EMMABODA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25417-2023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46250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46250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46250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46250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45349</v>
      </c>
      <c r="E242" s="1" t="n">
        <v>46250</v>
      </c>
      <c r="F242" t="inlineStr">
        <is>
          <t>KALMAR LÄN</t>
        </is>
      </c>
      <c r="G242" t="inlineStr">
        <is>
          <t>EMMABODA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46250</v>
      </c>
      <c r="F243" t="inlineStr">
        <is>
          <t>KALMAR LÄN</t>
        </is>
      </c>
      <c r="G243" t="inlineStr">
        <is>
          <t>EMMABODA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46250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46250</v>
      </c>
      <c r="F245" t="inlineStr">
        <is>
          <t>KALMAR LÄN</t>
        </is>
      </c>
      <c r="G245" t="inlineStr">
        <is>
          <t>EMMABODA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44769</v>
      </c>
      <c r="E246" s="1" t="n">
        <v>46250</v>
      </c>
      <c r="F246" t="inlineStr">
        <is>
          <t>KALMAR LÄN</t>
        </is>
      </c>
      <c r="G246" t="inlineStr">
        <is>
          <t>EMMABODA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45400</v>
      </c>
      <c r="E247" s="1" t="n">
        <v>46250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46250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46250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45401</v>
      </c>
      <c r="E250" s="1" t="n">
        <v>46250</v>
      </c>
      <c r="F250" t="inlineStr">
        <is>
          <t>KALMAR LÄN</t>
        </is>
      </c>
      <c r="G250" t="inlineStr">
        <is>
          <t>EMMABODA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46250</v>
      </c>
      <c r="F251" t="inlineStr">
        <is>
          <t>KALMAR LÄN</t>
        </is>
      </c>
      <c r="G251" t="inlineStr">
        <is>
          <t>EMMABODA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45196</v>
      </c>
      <c r="E252" s="1" t="n">
        <v>46250</v>
      </c>
      <c r="F252" t="inlineStr">
        <is>
          <t>KALMAR LÄN</t>
        </is>
      </c>
      <c r="G252" t="inlineStr">
        <is>
          <t>EMMABODA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46250</v>
      </c>
      <c r="F253" t="inlineStr">
        <is>
          <t>KALMAR LÄN</t>
        </is>
      </c>
      <c r="G253" t="inlineStr">
        <is>
          <t>EMMABODA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46250</v>
      </c>
      <c r="F254" t="inlineStr">
        <is>
          <t>KALMAR LÄN</t>
        </is>
      </c>
      <c r="G254" t="inlineStr">
        <is>
          <t>EMMABODA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45392</v>
      </c>
      <c r="E255" s="1" t="n">
        <v>46250</v>
      </c>
      <c r="F255" t="inlineStr">
        <is>
          <t>KALMAR LÄN</t>
        </is>
      </c>
      <c r="G255" t="inlineStr">
        <is>
          <t>EMMABODA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46250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44955</v>
      </c>
      <c r="E257" s="1" t="n">
        <v>46250</v>
      </c>
      <c r="F257" t="inlineStr">
        <is>
          <t>KALMAR LÄN</t>
        </is>
      </c>
      <c r="G257" t="inlineStr">
        <is>
          <t>EMMABODA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46250</v>
      </c>
      <c r="F258" t="inlineStr">
        <is>
          <t>KALMAR LÄN</t>
        </is>
      </c>
      <c r="G258" t="inlineStr">
        <is>
          <t>EMMABODA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46250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46250</v>
      </c>
      <c r="F260" t="inlineStr">
        <is>
          <t>KALMAR LÄN</t>
        </is>
      </c>
      <c r="G260" t="inlineStr">
        <is>
          <t>EMMABODA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27996-2023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45098</v>
      </c>
      <c r="E261" s="1" t="n">
        <v>46250</v>
      </c>
      <c r="F261" t="inlineStr">
        <is>
          <t>KALMAR LÄN</t>
        </is>
      </c>
      <c r="G261" t="inlineStr">
        <is>
          <t>EMMABODA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46250</v>
      </c>
      <c r="F262" t="inlineStr">
        <is>
          <t>KALMAR LÄN</t>
        </is>
      </c>
      <c r="G262" t="inlineStr">
        <is>
          <t>EMMABODA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46250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46250</v>
      </c>
      <c r="F264" t="inlineStr">
        <is>
          <t>KALMAR LÄN</t>
        </is>
      </c>
      <c r="G264" t="inlineStr">
        <is>
          <t>EMMABODA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44445</v>
      </c>
      <c r="E265" s="1" t="n">
        <v>46250</v>
      </c>
      <c r="F265" t="inlineStr">
        <is>
          <t>KALMAR LÄN</t>
        </is>
      </c>
      <c r="G265" t="inlineStr">
        <is>
          <t>EMMABODA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46250</v>
      </c>
      <c r="F266" t="inlineStr">
        <is>
          <t>KALMAR LÄN</t>
        </is>
      </c>
      <c r="G266" t="inlineStr">
        <is>
          <t>EMMABODA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46250</v>
      </c>
      <c r="F267" t="inlineStr">
        <is>
          <t>KALMAR LÄN</t>
        </is>
      </c>
      <c r="G267" t="inlineStr">
        <is>
          <t>EMMABODA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46250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44487</v>
      </c>
      <c r="E269" s="1" t="n">
        <v>46250</v>
      </c>
      <c r="F269" t="inlineStr">
        <is>
          <t>KALMAR LÄN</t>
        </is>
      </c>
      <c r="G269" t="inlineStr">
        <is>
          <t>EMMABODA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46250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46250</v>
      </c>
      <c r="F271" t="inlineStr">
        <is>
          <t>KALMAR LÄN</t>
        </is>
      </c>
      <c r="G271" t="inlineStr">
        <is>
          <t>EMMABODA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44995</v>
      </c>
      <c r="E272" s="1" t="n">
        <v>46250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46250</v>
      </c>
      <c r="F273" t="inlineStr">
        <is>
          <t>KALMAR LÄN</t>
        </is>
      </c>
      <c r="G273" t="inlineStr">
        <is>
          <t>EMMABODA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46250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46250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44594</v>
      </c>
      <c r="E276" s="1" t="n">
        <v>46250</v>
      </c>
      <c r="F276" t="inlineStr">
        <is>
          <t>KALMAR LÄN</t>
        </is>
      </c>
      <c r="G276" t="inlineStr">
        <is>
          <t>EMMABODA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46250</v>
      </c>
      <c r="F277" t="inlineStr">
        <is>
          <t>KALMAR LÄN</t>
        </is>
      </c>
      <c r="G277" t="inlineStr">
        <is>
          <t>EMMABODA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67543-2021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44524</v>
      </c>
      <c r="E278" s="1" t="n">
        <v>46250</v>
      </c>
      <c r="F278" t="inlineStr">
        <is>
          <t>KALMAR LÄN</t>
        </is>
      </c>
      <c r="G278" t="inlineStr">
        <is>
          <t>EMMABODA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46250</v>
      </c>
      <c r="F279" t="inlineStr">
        <is>
          <t>KALMAR LÄN</t>
        </is>
      </c>
      <c r="G279" t="inlineStr">
        <is>
          <t>EMMABODA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46250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46250</v>
      </c>
      <c r="F281" t="inlineStr">
        <is>
          <t>KALMAR LÄN</t>
        </is>
      </c>
      <c r="G281" t="inlineStr">
        <is>
          <t>EMMABODA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45707</v>
      </c>
      <c r="E282" s="1" t="n">
        <v>46250</v>
      </c>
      <c r="F282" t="inlineStr">
        <is>
          <t>KALMAR LÄN</t>
        </is>
      </c>
      <c r="G282" t="inlineStr">
        <is>
          <t>EMMABODA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45637</v>
      </c>
      <c r="E283" s="1" t="n">
        <v>46250</v>
      </c>
      <c r="F283" t="inlineStr">
        <is>
          <t>KALMAR LÄN</t>
        </is>
      </c>
      <c r="G283" t="inlineStr">
        <is>
          <t>EMMABODA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46250</v>
      </c>
      <c r="F284" t="inlineStr">
        <is>
          <t>KALMAR LÄN</t>
        </is>
      </c>
      <c r="G284" t="inlineStr">
        <is>
          <t>EMMABODA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44424</v>
      </c>
      <c r="E285" s="1" t="n">
        <v>46250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46250</v>
      </c>
      <c r="F286" t="inlineStr">
        <is>
          <t>KALMAR LÄN</t>
        </is>
      </c>
      <c r="G286" t="inlineStr">
        <is>
          <t>EMMABODA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44690</v>
      </c>
      <c r="E287" s="1" t="n">
        <v>46250</v>
      </c>
      <c r="F287" t="inlineStr">
        <is>
          <t>KALMAR LÄN</t>
        </is>
      </c>
      <c r="G287" t="inlineStr">
        <is>
          <t>EMMABODA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46250</v>
      </c>
      <c r="F288" t="inlineStr">
        <is>
          <t>KALMAR LÄN</t>
        </is>
      </c>
      <c r="G288" t="inlineStr">
        <is>
          <t>EMMABODA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46250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45466</v>
      </c>
      <c r="E290" s="1" t="n">
        <v>46250</v>
      </c>
      <c r="F290" t="inlineStr">
        <is>
          <t>KALMAR LÄN</t>
        </is>
      </c>
      <c r="G290" t="inlineStr">
        <is>
          <t>EMMABODA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46250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54983-2025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45967</v>
      </c>
      <c r="E292" s="1" t="n">
        <v>46250</v>
      </c>
      <c r="F292" t="inlineStr">
        <is>
          <t>KALMAR LÄN</t>
        </is>
      </c>
      <c r="G292" t="inlineStr">
        <is>
          <t>EMMABODA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58592-2021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44488</v>
      </c>
      <c r="E293" s="1" t="n">
        <v>46250</v>
      </c>
      <c r="F293" t="inlineStr">
        <is>
          <t>KALMAR LÄN</t>
        </is>
      </c>
      <c r="G293" t="inlineStr">
        <is>
          <t>EMMABODA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46250</v>
      </c>
      <c r="F294" t="inlineStr">
        <is>
          <t>KALMAR LÄN</t>
        </is>
      </c>
      <c r="G294" t="inlineStr">
        <is>
          <t>EMMABODA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54982-2025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45967</v>
      </c>
      <c r="E295" s="1" t="n">
        <v>46250</v>
      </c>
      <c r="F295" t="inlineStr">
        <is>
          <t>KALMAR LÄN</t>
        </is>
      </c>
      <c r="G295" t="inlineStr">
        <is>
          <t>EMMABODA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46250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45048</v>
      </c>
      <c r="E297" s="1" t="n">
        <v>46250</v>
      </c>
      <c r="F297" t="inlineStr">
        <is>
          <t>KALMAR LÄN</t>
        </is>
      </c>
      <c r="G297" t="inlineStr">
        <is>
          <t>EMMABODA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46250</v>
      </c>
      <c r="F298" t="inlineStr">
        <is>
          <t>KALMAR LÄN</t>
        </is>
      </c>
      <c r="G298" t="inlineStr">
        <is>
          <t>EMMABODA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46250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44424</v>
      </c>
      <c r="E300" s="1" t="n">
        <v>46250</v>
      </c>
      <c r="F300" t="inlineStr">
        <is>
          <t>KALMAR LÄN</t>
        </is>
      </c>
      <c r="G300" t="inlineStr">
        <is>
          <t>EMMABODA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45182</v>
      </c>
      <c r="E301" s="1" t="n">
        <v>46250</v>
      </c>
      <c r="F301" t="inlineStr">
        <is>
          <t>KALMAR LÄN</t>
        </is>
      </c>
      <c r="G301" t="inlineStr">
        <is>
          <t>EMMABODA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44748</v>
      </c>
      <c r="E302" s="1" t="n">
        <v>46250</v>
      </c>
      <c r="F302" t="inlineStr">
        <is>
          <t>KALMAR LÄN</t>
        </is>
      </c>
      <c r="G302" t="inlineStr">
        <is>
          <t>EMMABODA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68947-2021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44530</v>
      </c>
      <c r="E303" s="1" t="n">
        <v>46250</v>
      </c>
      <c r="F303" t="inlineStr">
        <is>
          <t>KALMAR LÄN</t>
        </is>
      </c>
      <c r="G303" t="inlineStr">
        <is>
          <t>EMMABODA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44586</v>
      </c>
      <c r="E304" s="1" t="n">
        <v>46250</v>
      </c>
      <c r="F304" t="inlineStr">
        <is>
          <t>KALMAR LÄN</t>
        </is>
      </c>
      <c r="G304" t="inlineStr">
        <is>
          <t>EMMABODA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46250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46250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45095</v>
      </c>
      <c r="E307" s="1" t="n">
        <v>46250</v>
      </c>
      <c r="F307" t="inlineStr">
        <is>
          <t>KALMAR LÄN</t>
        </is>
      </c>
      <c r="G307" t="inlineStr">
        <is>
          <t>EMMABODA</t>
        </is>
      </c>
      <c r="I307" t="n">
        <v>11.3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47219-2021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44447</v>
      </c>
      <c r="E308" s="1" t="n">
        <v>46250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44777</v>
      </c>
      <c r="E309" s="1" t="n">
        <v>46250</v>
      </c>
      <c r="F309" t="inlineStr">
        <is>
          <t>KALMAR LÄN</t>
        </is>
      </c>
      <c r="G309" t="inlineStr">
        <is>
          <t>EMMABODA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44589</v>
      </c>
      <c r="E310" s="1" t="n">
        <v>46250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46250</v>
      </c>
      <c r="F311" t="inlineStr">
        <is>
          <t>KALMAR LÄN</t>
        </is>
      </c>
      <c r="G311" t="inlineStr">
        <is>
          <t>EMMABODA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46250</v>
      </c>
      <c r="F312" t="inlineStr">
        <is>
          <t>KALMAR LÄN</t>
        </is>
      </c>
      <c r="G312" t="inlineStr">
        <is>
          <t>EMMABODA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46250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45362</v>
      </c>
      <c r="E314" s="1" t="n">
        <v>46250</v>
      </c>
      <c r="F314" t="inlineStr">
        <is>
          <t>KALMAR LÄN</t>
        </is>
      </c>
      <c r="G314" t="inlineStr">
        <is>
          <t>EMMABODA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46250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46250</v>
      </c>
      <c r="F316" t="inlineStr">
        <is>
          <t>KALMAR LÄN</t>
        </is>
      </c>
      <c r="G316" t="inlineStr">
        <is>
          <t>EMMABODA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45422</v>
      </c>
      <c r="E317" s="1" t="n">
        <v>46250</v>
      </c>
      <c r="F317" t="inlineStr">
        <is>
          <t>KALMAR LÄN</t>
        </is>
      </c>
      <c r="G317" t="inlineStr">
        <is>
          <t>EMMABODA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45559</v>
      </c>
      <c r="E318" s="1" t="n">
        <v>46250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63180-2021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44507</v>
      </c>
      <c r="E319" s="1" t="n">
        <v>46250</v>
      </c>
      <c r="F319" t="inlineStr">
        <is>
          <t>KALMAR LÄN</t>
        </is>
      </c>
      <c r="G319" t="inlineStr">
        <is>
          <t>EMMABODA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46250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46250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46250</v>
      </c>
      <c r="F322" t="inlineStr">
        <is>
          <t>KALMAR LÄN</t>
        </is>
      </c>
      <c r="G322" t="inlineStr">
        <is>
          <t>EMMABODA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45355</v>
      </c>
      <c r="E323" s="1" t="n">
        <v>46250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46250</v>
      </c>
      <c r="F324" t="inlineStr">
        <is>
          <t>KALMAR LÄN</t>
        </is>
      </c>
      <c r="G324" t="inlineStr">
        <is>
          <t>EMMABODA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46250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46250</v>
      </c>
      <c r="F326" t="inlineStr">
        <is>
          <t>KALMAR LÄN</t>
        </is>
      </c>
      <c r="G326" t="inlineStr">
        <is>
          <t>EMMABODA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46250</v>
      </c>
      <c r="F327" t="inlineStr">
        <is>
          <t>KALMAR LÄN</t>
        </is>
      </c>
      <c r="G327" t="inlineStr">
        <is>
          <t>EMMABODA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44979</v>
      </c>
      <c r="E328" s="1" t="n">
        <v>46250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46250</v>
      </c>
      <c r="F329" t="inlineStr">
        <is>
          <t>KALMAR LÄN</t>
        </is>
      </c>
      <c r="G329" t="inlineStr">
        <is>
          <t>EMMABODA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47120-2022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44852</v>
      </c>
      <c r="E330" s="1" t="n">
        <v>46250</v>
      </c>
      <c r="F330" t="inlineStr">
        <is>
          <t>KALMAR LÄN</t>
        </is>
      </c>
      <c r="G330" t="inlineStr">
        <is>
          <t>EMMABODA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46250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45606</v>
      </c>
      <c r="E332" s="1" t="n">
        <v>46250</v>
      </c>
      <c r="F332" t="inlineStr">
        <is>
          <t>KALMAR LÄN</t>
        </is>
      </c>
      <c r="G332" t="inlineStr">
        <is>
          <t>EMMABODA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45574</v>
      </c>
      <c r="E333" s="1" t="n">
        <v>46250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46250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46250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46250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46250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18437-2026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46127</v>
      </c>
      <c r="E338" s="1" t="n">
        <v>46250</v>
      </c>
      <c r="F338" t="inlineStr">
        <is>
          <t>KALMAR LÄN</t>
        </is>
      </c>
      <c r="G338" t="inlineStr">
        <is>
          <t>EMMABODA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18444-2026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46127</v>
      </c>
      <c r="E339" s="1" t="n">
        <v>46250</v>
      </c>
      <c r="F339" t="inlineStr">
        <is>
          <t>KALMAR LÄN</t>
        </is>
      </c>
      <c r="G339" t="inlineStr">
        <is>
          <t>EMMABODA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46250</v>
      </c>
      <c r="F340" t="inlineStr">
        <is>
          <t>KALMAR LÄN</t>
        </is>
      </c>
      <c r="G340" t="inlineStr">
        <is>
          <t>EMMABODA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46250</v>
      </c>
      <c r="F341" t="inlineStr">
        <is>
          <t>KALMAR LÄN</t>
        </is>
      </c>
      <c r="G341" t="inlineStr">
        <is>
          <t>EMMABODA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46250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46250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46250</v>
      </c>
      <c r="F344" t="inlineStr">
        <is>
          <t>KALMAR LÄN</t>
        </is>
      </c>
      <c r="G344" t="inlineStr">
        <is>
          <t>EMMABODA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45986</v>
      </c>
      <c r="E345" s="1" t="n">
        <v>46250</v>
      </c>
      <c r="F345" t="inlineStr">
        <is>
          <t>KALMAR LÄN</t>
        </is>
      </c>
      <c r="G345" t="inlineStr">
        <is>
          <t>EMMABODA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45370</v>
      </c>
      <c r="E346" s="1" t="n">
        <v>46250</v>
      </c>
      <c r="F346" t="inlineStr">
        <is>
          <t>KALMAR LÄN</t>
        </is>
      </c>
      <c r="G346" t="inlineStr">
        <is>
          <t>EMMABODA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46250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46250</v>
      </c>
      <c r="F348" t="inlineStr">
        <is>
          <t>KALMAR LÄN</t>
        </is>
      </c>
      <c r="G348" t="inlineStr">
        <is>
          <t>EMMABODA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45149</v>
      </c>
      <c r="E349" s="1" t="n">
        <v>46250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46250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45515</v>
      </c>
      <c r="E351" s="1" t="n">
        <v>46250</v>
      </c>
      <c r="F351" t="inlineStr">
        <is>
          <t>KALMAR LÄN</t>
        </is>
      </c>
      <c r="G351" t="inlineStr">
        <is>
          <t>EMMABODA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46250</v>
      </c>
      <c r="F352" t="inlineStr">
        <is>
          <t>KALMAR LÄN</t>
        </is>
      </c>
      <c r="G352" t="inlineStr">
        <is>
          <t>EMMABODA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46250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46250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54482-2021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46250</v>
      </c>
      <c r="F355" t="inlineStr">
        <is>
          <t>KALMAR LÄN</t>
        </is>
      </c>
      <c r="G355" t="inlineStr">
        <is>
          <t>EMMABODA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46250</v>
      </c>
      <c r="F356" t="inlineStr">
        <is>
          <t>KALMAR LÄN</t>
        </is>
      </c>
      <c r="G356" t="inlineStr">
        <is>
          <t>EMMABODA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46250</v>
      </c>
      <c r="F357" t="inlineStr">
        <is>
          <t>KALMAR LÄN</t>
        </is>
      </c>
      <c r="G357" t="inlineStr">
        <is>
          <t>EMMABODA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46250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44728</v>
      </c>
      <c r="E359" s="1" t="n">
        <v>46250</v>
      </c>
      <c r="F359" t="inlineStr">
        <is>
          <t>KALMAR LÄN</t>
        </is>
      </c>
      <c r="G359" t="inlineStr">
        <is>
          <t>EMMABODA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46250</v>
      </c>
      <c r="F360" t="inlineStr">
        <is>
          <t>KALMAR LÄN</t>
        </is>
      </c>
      <c r="G360" t="inlineStr">
        <is>
          <t>EMMABODA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45425</v>
      </c>
      <c r="E361" s="1" t="n">
        <v>46250</v>
      </c>
      <c r="F361" t="inlineStr">
        <is>
          <t>KALMAR LÄN</t>
        </is>
      </c>
      <c r="G361" t="inlineStr">
        <is>
          <t>EMMABODA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45036</v>
      </c>
      <c r="E362" s="1" t="n">
        <v>46250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46250</v>
      </c>
      <c r="F363" t="inlineStr">
        <is>
          <t>KALMAR LÄN</t>
        </is>
      </c>
      <c r="G363" t="inlineStr">
        <is>
          <t>EMMABODA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46250</v>
      </c>
      <c r="F364" t="inlineStr">
        <is>
          <t>KALMAR LÄN</t>
        </is>
      </c>
      <c r="G364" t="inlineStr">
        <is>
          <t>EMMABODA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46250</v>
      </c>
      <c r="F365" t="inlineStr">
        <is>
          <t>KALMAR LÄN</t>
        </is>
      </c>
      <c r="G365" t="inlineStr">
        <is>
          <t>EMMABODA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45401</v>
      </c>
      <c r="E366" s="1" t="n">
        <v>46250</v>
      </c>
      <c r="F366" t="inlineStr">
        <is>
          <t>KALMAR LÄN</t>
        </is>
      </c>
      <c r="G366" t="inlineStr">
        <is>
          <t>EMMABODA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46250</v>
      </c>
      <c r="F367" t="inlineStr">
        <is>
          <t>KALMAR LÄN</t>
        </is>
      </c>
      <c r="G367" t="inlineStr">
        <is>
          <t>EMMABODA</t>
        </is>
      </c>
      <c r="H367" t="inlineStr">
        <is>
          <t>Sveaskog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46250</v>
      </c>
      <c r="F368" t="inlineStr">
        <is>
          <t>KALMAR LÄN</t>
        </is>
      </c>
      <c r="G368" t="inlineStr">
        <is>
          <t>EMMABODA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46250</v>
      </c>
      <c r="F369" t="inlineStr">
        <is>
          <t>KALMAR LÄN</t>
        </is>
      </c>
      <c r="G369" t="inlineStr">
        <is>
          <t>EMMABODA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46250</v>
      </c>
      <c r="F370" t="inlineStr">
        <is>
          <t>KALMAR LÄN</t>
        </is>
      </c>
      <c r="G370" t="inlineStr">
        <is>
          <t>EMMABODA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45051</v>
      </c>
      <c r="E371" s="1" t="n">
        <v>46250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45051</v>
      </c>
      <c r="E372" s="1" t="n">
        <v>46250</v>
      </c>
      <c r="F372" t="inlineStr">
        <is>
          <t>KALMAR LÄN</t>
        </is>
      </c>
      <c r="G372" t="inlineStr">
        <is>
          <t>EMMABODA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46250</v>
      </c>
      <c r="F373" t="inlineStr">
        <is>
          <t>KALMAR LÄN</t>
        </is>
      </c>
      <c r="G373" t="inlineStr">
        <is>
          <t>EMMABODA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49726-2024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46250</v>
      </c>
      <c r="F374" t="inlineStr">
        <is>
          <t>KALMAR LÄN</t>
        </is>
      </c>
      <c r="G374" t="inlineStr">
        <is>
          <t>EMMABODA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46250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48352-2024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45590</v>
      </c>
      <c r="E376" s="1" t="n">
        <v>46250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44808</v>
      </c>
      <c r="E377" s="1" t="n">
        <v>46250</v>
      </c>
      <c r="F377" t="inlineStr">
        <is>
          <t>KALMAR LÄN</t>
        </is>
      </c>
      <c r="G377" t="inlineStr">
        <is>
          <t>EMMABODA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45102</v>
      </c>
      <c r="E378" s="1" t="n">
        <v>46250</v>
      </c>
      <c r="F378" t="inlineStr">
        <is>
          <t>KALMAR LÄN</t>
        </is>
      </c>
      <c r="G378" t="inlineStr">
        <is>
          <t>EMMABODA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45102</v>
      </c>
      <c r="E379" s="1" t="n">
        <v>46250</v>
      </c>
      <c r="F379" t="inlineStr">
        <is>
          <t>KALMAR LÄN</t>
        </is>
      </c>
      <c r="G379" t="inlineStr">
        <is>
          <t>EMMABODA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25090-2022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44729</v>
      </c>
      <c r="E380" s="1" t="n">
        <v>46250</v>
      </c>
      <c r="F380" t="inlineStr">
        <is>
          <t>KALMAR LÄN</t>
        </is>
      </c>
      <c r="G380" t="inlineStr">
        <is>
          <t>EMMABODA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46250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41429-2025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46250</v>
      </c>
      <c r="F382" t="inlineStr">
        <is>
          <t>KALMAR LÄN</t>
        </is>
      </c>
      <c r="G382" t="inlineStr">
        <is>
          <t>EMMABODA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44944</v>
      </c>
      <c r="E383" s="1" t="n">
        <v>46250</v>
      </c>
      <c r="F383" t="inlineStr">
        <is>
          <t>KALMAR LÄN</t>
        </is>
      </c>
      <c r="G383" t="inlineStr">
        <is>
          <t>EMMABODA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46250</v>
      </c>
      <c r="F384" t="inlineStr">
        <is>
          <t>KALMAR LÄN</t>
        </is>
      </c>
      <c r="G384" t="inlineStr">
        <is>
          <t>EMMABODA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46250</v>
      </c>
      <c r="F385" t="inlineStr">
        <is>
          <t>KALMAR LÄN</t>
        </is>
      </c>
      <c r="G385" t="inlineStr">
        <is>
          <t>EMMABODA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46250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58136-2021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44487</v>
      </c>
      <c r="E387" s="1" t="n">
        <v>46250</v>
      </c>
      <c r="F387" t="inlineStr">
        <is>
          <t>KALMAR LÄN</t>
        </is>
      </c>
      <c r="G387" t="inlineStr">
        <is>
          <t>EMMABODA</t>
        </is>
      </c>
      <c r="H387" t="inlineStr">
        <is>
          <t>Kommuner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45514</v>
      </c>
      <c r="E388" s="1" t="n">
        <v>46250</v>
      </c>
      <c r="F388" t="inlineStr">
        <is>
          <t>KALMAR LÄN</t>
        </is>
      </c>
      <c r="G388" t="inlineStr">
        <is>
          <t>EMMABODA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45514</v>
      </c>
      <c r="E389" s="1" t="n">
        <v>46250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45392</v>
      </c>
      <c r="E390" s="1" t="n">
        <v>46250</v>
      </c>
      <c r="F390" t="inlineStr">
        <is>
          <t>KALMAR LÄN</t>
        </is>
      </c>
      <c r="G390" t="inlineStr">
        <is>
          <t>EMMABODA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46250</v>
      </c>
      <c r="F391" t="inlineStr">
        <is>
          <t>KALMAR LÄN</t>
        </is>
      </c>
      <c r="G391" t="inlineStr">
        <is>
          <t>EMMABODA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46250</v>
      </c>
      <c r="F392" t="inlineStr">
        <is>
          <t>KALMAR LÄN</t>
        </is>
      </c>
      <c r="G392" t="inlineStr">
        <is>
          <t>EMMABODA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46250</v>
      </c>
      <c r="F393" t="inlineStr">
        <is>
          <t>KALMAR LÄN</t>
        </is>
      </c>
      <c r="G393" t="inlineStr">
        <is>
          <t>EMMABODA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32242-2022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44781</v>
      </c>
      <c r="E394" s="1" t="n">
        <v>46250</v>
      </c>
      <c r="F394" t="inlineStr">
        <is>
          <t>KALMAR LÄN</t>
        </is>
      </c>
      <c r="G394" t="inlineStr">
        <is>
          <t>EMMABODA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35848-2023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46250</v>
      </c>
      <c r="F395" t="inlineStr">
        <is>
          <t>KALMAR LÄN</t>
        </is>
      </c>
      <c r="G395" t="inlineStr">
        <is>
          <t>EMMABODA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46250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44761</v>
      </c>
      <c r="E397" s="1" t="n">
        <v>46250</v>
      </c>
      <c r="F397" t="inlineStr">
        <is>
          <t>KALMAR LÄN</t>
        </is>
      </c>
      <c r="G397" t="inlineStr">
        <is>
          <t>EMMABODA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46250</v>
      </c>
      <c r="F398" t="inlineStr">
        <is>
          <t>KALMAR LÄN</t>
        </is>
      </c>
      <c r="G398" t="inlineStr">
        <is>
          <t>EMMABODA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46250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46250</v>
      </c>
      <c r="F400" t="inlineStr">
        <is>
          <t>KALMAR LÄN</t>
        </is>
      </c>
      <c r="G400" t="inlineStr">
        <is>
          <t>EMMABODA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45392</v>
      </c>
      <c r="E401" s="1" t="n">
        <v>46250</v>
      </c>
      <c r="F401" t="inlineStr">
        <is>
          <t>KALMAR LÄN</t>
        </is>
      </c>
      <c r="G401" t="inlineStr">
        <is>
          <t>EMMABODA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46250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17826-2022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44683</v>
      </c>
      <c r="E403" s="1" t="n">
        <v>46250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46250</v>
      </c>
      <c r="F404" t="inlineStr">
        <is>
          <t>KALMAR LÄN</t>
        </is>
      </c>
      <c r="G404" t="inlineStr">
        <is>
          <t>EMMABODA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46250</v>
      </c>
      <c r="F405" t="inlineStr">
        <is>
          <t>KALMAR LÄN</t>
        </is>
      </c>
      <c r="G405" t="inlineStr">
        <is>
          <t>EMMABODA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50467-2021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44455</v>
      </c>
      <c r="E406" s="1" t="n">
        <v>46250</v>
      </c>
      <c r="F406" t="inlineStr">
        <is>
          <t>KALMAR LÄN</t>
        </is>
      </c>
      <c r="G406" t="inlineStr">
        <is>
          <t>EMMABODA</t>
        </is>
      </c>
      <c r="H406" t="inlineStr">
        <is>
          <t>Övriga Aktiebolag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46250</v>
      </c>
      <c r="F407" t="inlineStr">
        <is>
          <t>KALMAR LÄN</t>
        </is>
      </c>
      <c r="G407" t="inlineStr">
        <is>
          <t>EMMABODA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45445</v>
      </c>
      <c r="E408" s="1" t="n">
        <v>46250</v>
      </c>
      <c r="F408" t="inlineStr">
        <is>
          <t>KALMAR LÄN</t>
        </is>
      </c>
      <c r="G408" t="inlineStr">
        <is>
          <t>EMMABODA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46250</v>
      </c>
      <c r="F409" t="inlineStr">
        <is>
          <t>KALMAR LÄN</t>
        </is>
      </c>
      <c r="G409" t="inlineStr">
        <is>
          <t>EMMABODA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46250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46250</v>
      </c>
      <c r="F411" t="inlineStr">
        <is>
          <t>KALMAR LÄN</t>
        </is>
      </c>
      <c r="G411" t="inlineStr">
        <is>
          <t>EMMABODA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45668</v>
      </c>
      <c r="E412" s="1" t="n">
        <v>46250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46250</v>
      </c>
      <c r="F413" t="inlineStr">
        <is>
          <t>KALMAR LÄN</t>
        </is>
      </c>
      <c r="G413" t="inlineStr">
        <is>
          <t>EMMABODA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46250</v>
      </c>
      <c r="F414" t="inlineStr">
        <is>
          <t>KALMAR LÄN</t>
        </is>
      </c>
      <c r="G414" t="inlineStr">
        <is>
          <t>EMMABODA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45641</v>
      </c>
      <c r="E415" s="1" t="n">
        <v>46250</v>
      </c>
      <c r="F415" t="inlineStr">
        <is>
          <t>KALMAR LÄN</t>
        </is>
      </c>
      <c r="G415" t="inlineStr">
        <is>
          <t>EMMABODA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45021</v>
      </c>
      <c r="E416" s="1" t="n">
        <v>46250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34245-2024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45524</v>
      </c>
      <c r="E417" s="1" t="n">
        <v>46250</v>
      </c>
      <c r="F417" t="inlineStr">
        <is>
          <t>KALMAR LÄN</t>
        </is>
      </c>
      <c r="G417" t="inlineStr">
        <is>
          <t>EMMABODA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45067</v>
      </c>
      <c r="E418" s="1" t="n">
        <v>46250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44791</v>
      </c>
      <c r="E419" s="1" t="n">
        <v>46250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45310</v>
      </c>
      <c r="E420" s="1" t="n">
        <v>46250</v>
      </c>
      <c r="F420" t="inlineStr">
        <is>
          <t>KALMAR LÄN</t>
        </is>
      </c>
      <c r="G420" t="inlineStr">
        <is>
          <t>EMMABODA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61791-2022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44911</v>
      </c>
      <c r="E421" s="1" t="n">
        <v>46250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45394</v>
      </c>
      <c r="E422" s="1" t="n">
        <v>46250</v>
      </c>
      <c r="F422" t="inlineStr">
        <is>
          <t>KALMAR LÄN</t>
        </is>
      </c>
      <c r="G422" t="inlineStr">
        <is>
          <t>EMMABODA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46250</v>
      </c>
      <c r="F423" t="inlineStr">
        <is>
          <t>KALMAR LÄN</t>
        </is>
      </c>
      <c r="G423" t="inlineStr">
        <is>
          <t>EMMABODA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46250</v>
      </c>
      <c r="F424" t="inlineStr">
        <is>
          <t>KALMAR LÄN</t>
        </is>
      </c>
      <c r="G424" t="inlineStr">
        <is>
          <t>EMMABODA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46250</v>
      </c>
      <c r="F425" t="inlineStr">
        <is>
          <t>KALMAR LÄN</t>
        </is>
      </c>
      <c r="G425" t="inlineStr">
        <is>
          <t>EMMABODA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16236-2023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45028</v>
      </c>
      <c r="E426" s="1" t="n">
        <v>46250</v>
      </c>
      <c r="F426" t="inlineStr">
        <is>
          <t>KALMAR LÄN</t>
        </is>
      </c>
      <c r="G426" t="inlineStr">
        <is>
          <t>EMMABODA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46250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45772</v>
      </c>
      <c r="E428" s="1" t="n">
        <v>46250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45200</v>
      </c>
      <c r="E429" s="1" t="n">
        <v>46250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45740</v>
      </c>
      <c r="E430" s="1" t="n">
        <v>46250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46250</v>
      </c>
      <c r="F431" t="inlineStr">
        <is>
          <t>KALMAR LÄN</t>
        </is>
      </c>
      <c r="G431" t="inlineStr">
        <is>
          <t>EMMABODA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46250</v>
      </c>
      <c r="F432" t="inlineStr">
        <is>
          <t>KALMAR LÄN</t>
        </is>
      </c>
      <c r="G432" t="inlineStr">
        <is>
          <t>EMMABODA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66333-2021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44518</v>
      </c>
      <c r="E433" s="1" t="n">
        <v>46250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46250</v>
      </c>
      <c r="F434" t="inlineStr">
        <is>
          <t>KALMAR LÄN</t>
        </is>
      </c>
      <c r="G434" t="inlineStr">
        <is>
          <t>EMMABODA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44433</v>
      </c>
      <c r="E435" s="1" t="n">
        <v>46250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46250</v>
      </c>
      <c r="F436" t="inlineStr">
        <is>
          <t>KALMAR LÄN</t>
        </is>
      </c>
      <c r="G436" t="inlineStr">
        <is>
          <t>EMMABODA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46250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46250</v>
      </c>
      <c r="F438" t="inlineStr">
        <is>
          <t>KALMAR LÄN</t>
        </is>
      </c>
      <c r="G438" t="inlineStr">
        <is>
          <t>EMMABODA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46250</v>
      </c>
      <c r="F439" t="inlineStr">
        <is>
          <t>KALMAR LÄN</t>
        </is>
      </c>
      <c r="G439" t="inlineStr">
        <is>
          <t>EMMABODA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46250</v>
      </c>
      <c r="F440" t="inlineStr">
        <is>
          <t>KALMAR LÄN</t>
        </is>
      </c>
      <c r="G440" t="inlineStr">
        <is>
          <t>EMMABODA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46250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51649-2024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45606</v>
      </c>
      <c r="E442" s="1" t="n">
        <v>46250</v>
      </c>
      <c r="F442" t="inlineStr">
        <is>
          <t>KALMAR LÄN</t>
        </is>
      </c>
      <c r="G442" t="inlineStr">
        <is>
          <t>EMMABODA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45049</v>
      </c>
      <c r="E443" s="1" t="n">
        <v>46250</v>
      </c>
      <c r="F443" t="inlineStr">
        <is>
          <t>KALMAR LÄN</t>
        </is>
      </c>
      <c r="G443" t="inlineStr">
        <is>
          <t>EMMABODA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46250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45976</v>
      </c>
      <c r="E445" s="1" t="n">
        <v>46250</v>
      </c>
      <c r="F445" t="inlineStr">
        <is>
          <t>KALMAR LÄN</t>
        </is>
      </c>
      <c r="G445" t="inlineStr">
        <is>
          <t>EMMABODA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18947-2022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44690</v>
      </c>
      <c r="E446" s="1" t="n">
        <v>46250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46250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46250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67538-2021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44524</v>
      </c>
      <c r="E449" s="1" t="n">
        <v>46250</v>
      </c>
      <c r="F449" t="inlineStr">
        <is>
          <t>KALMAR LÄN</t>
        </is>
      </c>
      <c r="G449" t="inlineStr">
        <is>
          <t>EMMABODA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46250</v>
      </c>
      <c r="F450" t="inlineStr">
        <is>
          <t>KALMAR LÄN</t>
        </is>
      </c>
      <c r="G450" t="inlineStr">
        <is>
          <t>EMMABODA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46250</v>
      </c>
      <c r="F451" t="inlineStr">
        <is>
          <t>KALMAR LÄN</t>
        </is>
      </c>
      <c r="G451" t="inlineStr">
        <is>
          <t>EMMABODA</t>
        </is>
      </c>
      <c r="H451" t="inlineStr">
        <is>
          <t>Kommuner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45164</v>
      </c>
      <c r="E452" s="1" t="n">
        <v>46250</v>
      </c>
      <c r="F452" t="inlineStr">
        <is>
          <t>KALMAR LÄN</t>
        </is>
      </c>
      <c r="G452" t="inlineStr">
        <is>
          <t>EMMABODA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17001-2025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45755</v>
      </c>
      <c r="E453" s="1" t="n">
        <v>46250</v>
      </c>
      <c r="F453" t="inlineStr">
        <is>
          <t>KALMAR LÄN</t>
        </is>
      </c>
      <c r="G453" t="inlineStr">
        <is>
          <t>EMMABODA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45111</v>
      </c>
      <c r="E454" s="1" t="n">
        <v>46250</v>
      </c>
      <c r="F454" t="inlineStr">
        <is>
          <t>KALMAR LÄN</t>
        </is>
      </c>
      <c r="G454" t="inlineStr">
        <is>
          <t>EMMABODA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46250</v>
      </c>
      <c r="F455" t="inlineStr">
        <is>
          <t>KALMAR LÄN</t>
        </is>
      </c>
      <c r="G455" t="inlineStr">
        <is>
          <t>EMMABODA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45772</v>
      </c>
      <c r="E456" s="1" t="n">
        <v>46250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46250</v>
      </c>
      <c r="F457" t="inlineStr">
        <is>
          <t>KALMAR LÄN</t>
        </is>
      </c>
      <c r="G457" t="inlineStr">
        <is>
          <t>EMMABODA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46250</v>
      </c>
      <c r="F458" t="inlineStr">
        <is>
          <t>KALMAR LÄN</t>
        </is>
      </c>
      <c r="G458" t="inlineStr">
        <is>
          <t>EMMABODA</t>
        </is>
      </c>
      <c r="H458" t="inlineStr">
        <is>
          <t>Övriga Aktiebolag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45727</v>
      </c>
      <c r="E459" s="1" t="n">
        <v>46250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49626-2023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46250</v>
      </c>
      <c r="F460" t="inlineStr">
        <is>
          <t>KALMAR LÄN</t>
        </is>
      </c>
      <c r="G460" t="inlineStr">
        <is>
          <t>EMMABODA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46250</v>
      </c>
      <c r="F461" t="inlineStr">
        <is>
          <t>KALMAR LÄN</t>
        </is>
      </c>
      <c r="G461" t="inlineStr">
        <is>
          <t>EMMABODA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46250</v>
      </c>
      <c r="F462" t="inlineStr">
        <is>
          <t>KALMAR LÄN</t>
        </is>
      </c>
      <c r="G462" t="inlineStr">
        <is>
          <t>EMMABODA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45317</v>
      </c>
      <c r="E463" s="1" t="n">
        <v>46250</v>
      </c>
      <c r="F463" t="inlineStr">
        <is>
          <t>KALMAR LÄN</t>
        </is>
      </c>
      <c r="G463" t="inlineStr">
        <is>
          <t>EMMABODA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46250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46250</v>
      </c>
      <c r="F465" t="inlineStr">
        <is>
          <t>KALMAR LÄN</t>
        </is>
      </c>
      <c r="G465" t="inlineStr">
        <is>
          <t>EMMABODA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46250</v>
      </c>
      <c r="F466" t="inlineStr">
        <is>
          <t>KALMAR LÄN</t>
        </is>
      </c>
      <c r="G466" t="inlineStr">
        <is>
          <t>EMMABODA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46250</v>
      </c>
      <c r="F467" t="inlineStr">
        <is>
          <t>KALMAR LÄN</t>
        </is>
      </c>
      <c r="G467" t="inlineStr">
        <is>
          <t>EMMABODA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45909</v>
      </c>
      <c r="E468" s="1" t="n">
        <v>46250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46250</v>
      </c>
      <c r="F469" t="inlineStr">
        <is>
          <t>KALMAR LÄN</t>
        </is>
      </c>
      <c r="G469" t="inlineStr">
        <is>
          <t>EMMABODA</t>
        </is>
      </c>
      <c r="H469" t="inlineStr">
        <is>
          <t>Kyrkan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45574</v>
      </c>
      <c r="E470" s="1" t="n">
        <v>46250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46250</v>
      </c>
      <c r="F471" t="inlineStr">
        <is>
          <t>KALMAR LÄN</t>
        </is>
      </c>
      <c r="G471" t="inlineStr">
        <is>
          <t>EMMABODA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46250</v>
      </c>
      <c r="F472" t="inlineStr">
        <is>
          <t>KALMAR LÄN</t>
        </is>
      </c>
      <c r="G472" t="inlineStr">
        <is>
          <t>EMMABODA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45373</v>
      </c>
      <c r="E473" s="1" t="n">
        <v>46250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46250</v>
      </c>
      <c r="F474" t="inlineStr">
        <is>
          <t>KALMAR LÄN</t>
        </is>
      </c>
      <c r="G474" t="inlineStr">
        <is>
          <t>EMMABODA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28159-2023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46250</v>
      </c>
      <c r="F475" t="inlineStr">
        <is>
          <t>KALMAR LÄN</t>
        </is>
      </c>
      <c r="G475" t="inlineStr">
        <is>
          <t>EMMABODA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9723-2026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46250</v>
      </c>
      <c r="F476" t="inlineStr">
        <is>
          <t>KALMAR LÄN</t>
        </is>
      </c>
      <c r="G476" t="inlineStr">
        <is>
          <t>EMMABODA</t>
        </is>
      </c>
      <c r="H476" t="inlineStr">
        <is>
          <t>Kyrkan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46250</v>
      </c>
      <c r="F477" t="inlineStr">
        <is>
          <t>KALMAR LÄN</t>
        </is>
      </c>
      <c r="G477" t="inlineStr">
        <is>
          <t>EMMABODA</t>
        </is>
      </c>
      <c r="H477" t="inlineStr">
        <is>
          <t>Övriga Aktiebolag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45335</v>
      </c>
      <c r="E478" s="1" t="n">
        <v>46250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46250</v>
      </c>
      <c r="F479" t="inlineStr">
        <is>
          <t>KALMAR LÄN</t>
        </is>
      </c>
      <c r="G479" t="inlineStr">
        <is>
          <t>EMMABODA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45369</v>
      </c>
      <c r="E480" s="1" t="n">
        <v>46250</v>
      </c>
      <c r="F480" t="inlineStr">
        <is>
          <t>KALMAR LÄN</t>
        </is>
      </c>
      <c r="G480" t="inlineStr">
        <is>
          <t>EMMABODA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46250</v>
      </c>
      <c r="F481" t="inlineStr">
        <is>
          <t>KALMAR LÄN</t>
        </is>
      </c>
      <c r="G481" t="inlineStr">
        <is>
          <t>EMMABODA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45273</v>
      </c>
      <c r="E482" s="1" t="n">
        <v>46250</v>
      </c>
      <c r="F482" t="inlineStr">
        <is>
          <t>KALMAR LÄN</t>
        </is>
      </c>
      <c r="G482" t="inlineStr">
        <is>
          <t>EMMABODA</t>
        </is>
      </c>
      <c r="H482" t="inlineStr">
        <is>
          <t>Kommuner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45204</v>
      </c>
      <c r="E483" s="1" t="n">
        <v>46250</v>
      </c>
      <c r="F483" t="inlineStr">
        <is>
          <t>KALMAR LÄN</t>
        </is>
      </c>
      <c r="G483" t="inlineStr">
        <is>
          <t>EMMABODA</t>
        </is>
      </c>
      <c r="H483" t="inlineStr">
        <is>
          <t>Övriga Aktiebolag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38924-2022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44816</v>
      </c>
      <c r="E484" s="1" t="n">
        <v>46250</v>
      </c>
      <c r="F484" t="inlineStr">
        <is>
          <t>KALMAR LÄN</t>
        </is>
      </c>
      <c r="G484" t="inlineStr">
        <is>
          <t>EMMABODA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46142</v>
      </c>
      <c r="E485" s="1" t="n">
        <v>46250</v>
      </c>
      <c r="F485" t="inlineStr">
        <is>
          <t>KALMAR LÄN</t>
        </is>
      </c>
      <c r="G485" t="inlineStr">
        <is>
          <t>EMMABODA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10991-2026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46250</v>
      </c>
      <c r="F486" t="inlineStr">
        <is>
          <t>KALMAR LÄN</t>
        </is>
      </c>
      <c r="G486" t="inlineStr">
        <is>
          <t>EMMABODA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46079</v>
      </c>
      <c r="E487" s="1" t="n">
        <v>46250</v>
      </c>
      <c r="F487" t="inlineStr">
        <is>
          <t>KALMAR LÄN</t>
        </is>
      </c>
      <c r="G487" t="inlineStr">
        <is>
          <t>EMMABODA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44608</v>
      </c>
      <c r="E488" s="1" t="n">
        <v>46250</v>
      </c>
      <c r="F488" t="inlineStr">
        <is>
          <t>KALMAR LÄN</t>
        </is>
      </c>
      <c r="G488" t="inlineStr">
        <is>
          <t>EMMABODA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56691-2025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45976</v>
      </c>
      <c r="E489" s="1" t="n">
        <v>46250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49284-2024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45595</v>
      </c>
      <c r="E490" s="1" t="n">
        <v>46250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19881-2024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45433</v>
      </c>
      <c r="E491" s="1" t="n">
        <v>46250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45349</v>
      </c>
      <c r="E492" s="1" t="n">
        <v>46250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55174-2023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45237</v>
      </c>
      <c r="E493" s="1" t="n">
        <v>46250</v>
      </c>
      <c r="F493" t="inlineStr">
        <is>
          <t>KALMAR LÄN</t>
        </is>
      </c>
      <c r="G493" t="inlineStr">
        <is>
          <t>EMMABODA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69464-2021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44531</v>
      </c>
      <c r="E494" s="1" t="n">
        <v>46250</v>
      </c>
      <c r="F494" t="inlineStr">
        <is>
          <t>KALMAR LÄN</t>
        </is>
      </c>
      <c r="G494" t="inlineStr">
        <is>
          <t>EMMABODA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62733-2021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44504</v>
      </c>
      <c r="E495" s="1" t="n">
        <v>46250</v>
      </c>
      <c r="F495" t="inlineStr">
        <is>
          <t>KALMAR LÄN</t>
        </is>
      </c>
      <c r="G495" t="inlineStr">
        <is>
          <t>EMMABODA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46250</v>
      </c>
      <c r="F496" t="inlineStr">
        <is>
          <t>KALMAR LÄN</t>
        </is>
      </c>
      <c r="G496" t="inlineStr">
        <is>
          <t>EMMABODA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46250</v>
      </c>
      <c r="F497" t="inlineStr">
        <is>
          <t>KALMAR LÄN</t>
        </is>
      </c>
      <c r="G497" t="inlineStr">
        <is>
          <t>EMMABODA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45341</v>
      </c>
      <c r="E498" s="1" t="n">
        <v>46250</v>
      </c>
      <c r="F498" t="inlineStr">
        <is>
          <t>KALMAR LÄN</t>
        </is>
      </c>
      <c r="G498" t="inlineStr">
        <is>
          <t>EMMABODA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46250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30262-2022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44759</v>
      </c>
      <c r="E500" s="1" t="n">
        <v>46250</v>
      </c>
      <c r="F500" t="inlineStr">
        <is>
          <t>KALMAR LÄN</t>
        </is>
      </c>
      <c r="G500" t="inlineStr">
        <is>
          <t>EMMABODA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45317</v>
      </c>
      <c r="E501" s="1" t="n">
        <v>46250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45665</v>
      </c>
      <c r="E502" s="1" t="n">
        <v>46250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46250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46250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46250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46250</v>
      </c>
      <c r="F506" t="inlineStr">
        <is>
          <t>KALMAR LÄN</t>
        </is>
      </c>
      <c r="G506" t="inlineStr">
        <is>
          <t>EMMABODA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46250</v>
      </c>
      <c r="F507" t="inlineStr">
        <is>
          <t>KALMAR LÄN</t>
        </is>
      </c>
      <c r="G507" t="inlineStr">
        <is>
          <t>EMMABODA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48113-2021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44449</v>
      </c>
      <c r="E508" s="1" t="n">
        <v>46250</v>
      </c>
      <c r="F508" t="inlineStr">
        <is>
          <t>KALMAR LÄN</t>
        </is>
      </c>
      <c r="G508" t="inlineStr">
        <is>
          <t>EMMABODA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37060-2023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45155</v>
      </c>
      <c r="E509" s="1" t="n">
        <v>46250</v>
      </c>
      <c r="F509" t="inlineStr">
        <is>
          <t>KALMAR LÄN</t>
        </is>
      </c>
      <c r="G509" t="inlineStr">
        <is>
          <t>EMMABODA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45126</v>
      </c>
      <c r="E510" s="1" t="n">
        <v>46250</v>
      </c>
      <c r="F510" t="inlineStr">
        <is>
          <t>KALMAR LÄN</t>
        </is>
      </c>
      <c r="G510" t="inlineStr">
        <is>
          <t>EMMABODA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57791-2022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46250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44959</v>
      </c>
      <c r="E512" s="1" t="n">
        <v>46250</v>
      </c>
      <c r="F512" t="inlineStr">
        <is>
          <t>KALMAR LÄN</t>
        </is>
      </c>
      <c r="G512" t="inlineStr">
        <is>
          <t>EMMABODA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45716</v>
      </c>
      <c r="E513" s="1" t="n">
        <v>46250</v>
      </c>
      <c r="F513" t="inlineStr">
        <is>
          <t>KALMAR LÄN</t>
        </is>
      </c>
      <c r="G513" t="inlineStr">
        <is>
          <t>EMMABODA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46250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45327</v>
      </c>
      <c r="E515" s="1" t="n">
        <v>46250</v>
      </c>
      <c r="F515" t="inlineStr">
        <is>
          <t>KALMAR LÄN</t>
        </is>
      </c>
      <c r="G515" t="inlineStr">
        <is>
          <t>EMMABODA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45789</v>
      </c>
      <c r="E516" s="1" t="n">
        <v>46250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46250</v>
      </c>
      <c r="F517" t="inlineStr">
        <is>
          <t>KALMAR LÄN</t>
        </is>
      </c>
      <c r="G517" t="inlineStr">
        <is>
          <t>EMMABODA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46250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45707</v>
      </c>
      <c r="E519" s="1" t="n">
        <v>46250</v>
      </c>
      <c r="F519" t="inlineStr">
        <is>
          <t>KALMAR LÄN</t>
        </is>
      </c>
      <c r="G519" t="inlineStr">
        <is>
          <t>EMMABODA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46250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22602-2026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46250</v>
      </c>
      <c r="F521" t="inlineStr">
        <is>
          <t>KALMAR LÄN</t>
        </is>
      </c>
      <c r="G521" t="inlineStr">
        <is>
          <t>EMMABODA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66658-2021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44519</v>
      </c>
      <c r="E522" s="1" t="n">
        <v>46250</v>
      </c>
      <c r="F522" t="inlineStr">
        <is>
          <t>KALMAR LÄN</t>
        </is>
      </c>
      <c r="G522" t="inlineStr">
        <is>
          <t>EMMABODA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44728</v>
      </c>
      <c r="E523" s="1" t="n">
        <v>46250</v>
      </c>
      <c r="F523" t="inlineStr">
        <is>
          <t>KALMAR LÄN</t>
        </is>
      </c>
      <c r="G523" t="inlineStr">
        <is>
          <t>EMMABODA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46250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46160</v>
      </c>
      <c r="E525" s="1" t="n">
        <v>46250</v>
      </c>
      <c r="F525" t="inlineStr">
        <is>
          <t>KALMAR LÄN</t>
        </is>
      </c>
      <c r="G525" t="inlineStr">
        <is>
          <t>EMMABODA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46250</v>
      </c>
      <c r="F526" t="inlineStr">
        <is>
          <t>KALMAR LÄN</t>
        </is>
      </c>
      <c r="G526" t="inlineStr">
        <is>
          <t>EMMABODA</t>
        </is>
      </c>
      <c r="H526" t="inlineStr">
        <is>
          <t>Övriga Aktiebolag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46250</v>
      </c>
      <c r="F527" t="inlineStr">
        <is>
          <t>KALMAR LÄN</t>
        </is>
      </c>
      <c r="G527" t="inlineStr">
        <is>
          <t>EMMABODA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46250</v>
      </c>
      <c r="F528" t="inlineStr">
        <is>
          <t>KALMAR LÄN</t>
        </is>
      </c>
      <c r="G528" t="inlineStr">
        <is>
          <t>EMMABODA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44852</v>
      </c>
      <c r="E529" s="1" t="n">
        <v>46250</v>
      </c>
      <c r="F529" t="inlineStr">
        <is>
          <t>KALMAR LÄN</t>
        </is>
      </c>
      <c r="G529" t="inlineStr">
        <is>
          <t>EMMABODA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46250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46250</v>
      </c>
      <c r="F531" t="inlineStr">
        <is>
          <t>KALMAR LÄN</t>
        </is>
      </c>
      <c r="G531" t="inlineStr">
        <is>
          <t>EMMABODA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44979</v>
      </c>
      <c r="E532" s="1" t="n">
        <v>46250</v>
      </c>
      <c r="F532" t="inlineStr">
        <is>
          <t>KALMAR LÄN</t>
        </is>
      </c>
      <c r="G532" t="inlineStr">
        <is>
          <t>EMMABODA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46162</v>
      </c>
      <c r="E533" s="1" t="n">
        <v>46250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44953</v>
      </c>
      <c r="E534" s="1" t="n">
        <v>46250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45323</v>
      </c>
      <c r="E535" s="1" t="n">
        <v>46250</v>
      </c>
      <c r="F535" t="inlineStr">
        <is>
          <t>KALMAR LÄN</t>
        </is>
      </c>
      <c r="G535" t="inlineStr">
        <is>
          <t>EMMABODA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44953</v>
      </c>
      <c r="E536" s="1" t="n">
        <v>46250</v>
      </c>
      <c r="F536" t="inlineStr">
        <is>
          <t>KALMAR LÄN</t>
        </is>
      </c>
      <c r="G536" t="inlineStr">
        <is>
          <t>EMMABODA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44572</v>
      </c>
      <c r="E537" s="1" t="n">
        <v>46250</v>
      </c>
      <c r="F537" t="inlineStr">
        <is>
          <t>KALMAR LÄN</t>
        </is>
      </c>
      <c r="G537" t="inlineStr">
        <is>
          <t>EMMABODA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35382-2024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46250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41734-2025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45902</v>
      </c>
      <c r="E539" s="1" t="n">
        <v>46250</v>
      </c>
      <c r="F539" t="inlineStr">
        <is>
          <t>KALMAR LÄN</t>
        </is>
      </c>
      <c r="G539" t="inlineStr">
        <is>
          <t>EMMABODA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46162</v>
      </c>
      <c r="E540" s="1" t="n">
        <v>46250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46250</v>
      </c>
      <c r="F541" t="inlineStr">
        <is>
          <t>KALMAR LÄN</t>
        </is>
      </c>
      <c r="G541" t="inlineStr">
        <is>
          <t>EMMABODA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46250</v>
      </c>
      <c r="F542" t="inlineStr">
        <is>
          <t>KALMAR LÄN</t>
        </is>
      </c>
      <c r="G542" t="inlineStr">
        <is>
          <t>EMMABODA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23041-2026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46161</v>
      </c>
      <c r="E543" s="1" t="n">
        <v>46250</v>
      </c>
      <c r="F543" t="inlineStr">
        <is>
          <t>KALMAR LÄN</t>
        </is>
      </c>
      <c r="G543" t="inlineStr">
        <is>
          <t>EMMABODA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44593</v>
      </c>
      <c r="E544" s="1" t="n">
        <v>46250</v>
      </c>
      <c r="F544" t="inlineStr">
        <is>
          <t>KALMAR LÄN</t>
        </is>
      </c>
      <c r="G544" t="inlineStr">
        <is>
          <t>EMMABODA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46250</v>
      </c>
      <c r="F545" t="inlineStr">
        <is>
          <t>KALMAR LÄN</t>
        </is>
      </c>
      <c r="G545" t="inlineStr">
        <is>
          <t>EMMABODA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49953-2023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46250</v>
      </c>
      <c r="F546" t="inlineStr">
        <is>
          <t>KALMAR LÄN</t>
        </is>
      </c>
      <c r="G546" t="inlineStr">
        <is>
          <t>EMMABODA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44949</v>
      </c>
      <c r="E547" s="1" t="n">
        <v>46250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45684</v>
      </c>
      <c r="E548" s="1" t="n">
        <v>46250</v>
      </c>
      <c r="F548" t="inlineStr">
        <is>
          <t>KALMAR LÄN</t>
        </is>
      </c>
      <c r="G548" t="inlineStr">
        <is>
          <t>EMMABODA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45624</v>
      </c>
      <c r="E549" s="1" t="n">
        <v>46250</v>
      </c>
      <c r="F549" t="inlineStr">
        <is>
          <t>KALMAR LÄN</t>
        </is>
      </c>
      <c r="G549" t="inlineStr">
        <is>
          <t>EMMABODA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45769</v>
      </c>
      <c r="E550" s="1" t="n">
        <v>46250</v>
      </c>
      <c r="F550" t="inlineStr">
        <is>
          <t>KALMAR LÄN</t>
        </is>
      </c>
      <c r="G550" t="inlineStr">
        <is>
          <t>EMMABODA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46250</v>
      </c>
      <c r="F551" t="inlineStr">
        <is>
          <t>KALMAR LÄN</t>
        </is>
      </c>
      <c r="G551" t="inlineStr">
        <is>
          <t>EMMABODA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46250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29539-2024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45484</v>
      </c>
      <c r="E553" s="1" t="n">
        <v>46250</v>
      </c>
      <c r="F553" t="inlineStr">
        <is>
          <t>KALMAR LÄN</t>
        </is>
      </c>
      <c r="G553" t="inlineStr">
        <is>
          <t>EMMABODA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8151-2024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45351</v>
      </c>
      <c r="E554" s="1" t="n">
        <v>46250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45003</v>
      </c>
      <c r="E555" s="1" t="n">
        <v>46250</v>
      </c>
      <c r="F555" t="inlineStr">
        <is>
          <t>KALMAR LÄN</t>
        </is>
      </c>
      <c r="G555" t="inlineStr">
        <is>
          <t>EMMABODA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44984</v>
      </c>
      <c r="E556" s="1" t="n">
        <v>46250</v>
      </c>
      <c r="F556" t="inlineStr">
        <is>
          <t>KALMAR LÄN</t>
        </is>
      </c>
      <c r="G556" t="inlineStr">
        <is>
          <t>EMMABODA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45019</v>
      </c>
      <c r="E557" s="1" t="n">
        <v>46250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9246-2023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44980</v>
      </c>
      <c r="E558" s="1" t="n">
        <v>46250</v>
      </c>
      <c r="F558" t="inlineStr">
        <is>
          <t>KALMAR LÄN</t>
        </is>
      </c>
      <c r="G558" t="inlineStr">
        <is>
          <t>EMMABODA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44924-2022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46250</v>
      </c>
      <c r="F559" t="inlineStr">
        <is>
          <t>KALMAR LÄN</t>
        </is>
      </c>
      <c r="G559" t="inlineStr">
        <is>
          <t>EMMABODA</t>
        </is>
      </c>
      <c r="H559" t="inlineStr">
        <is>
          <t>Övriga Aktiebolag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46250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46250</v>
      </c>
      <c r="F561" t="inlineStr">
        <is>
          <t>KALMAR LÄN</t>
        </is>
      </c>
      <c r="G561" t="inlineStr">
        <is>
          <t>EMMABODA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45317</v>
      </c>
      <c r="E562" s="1" t="n">
        <v>46250</v>
      </c>
      <c r="F562" t="inlineStr">
        <is>
          <t>KALMAR LÄN</t>
        </is>
      </c>
      <c r="G562" t="inlineStr">
        <is>
          <t>EMMABODA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46250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45415</v>
      </c>
      <c r="E564" s="1" t="n">
        <v>46250</v>
      </c>
      <c r="F564" t="inlineStr">
        <is>
          <t>KALMAR LÄN</t>
        </is>
      </c>
      <c r="G564" t="inlineStr">
        <is>
          <t>EMMABODA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46250</v>
      </c>
      <c r="F565" t="inlineStr">
        <is>
          <t>KALMAR LÄN</t>
        </is>
      </c>
      <c r="G565" t="inlineStr">
        <is>
          <t>EMMABODA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46250</v>
      </c>
      <c r="F566" t="inlineStr">
        <is>
          <t>KALMAR LÄN</t>
        </is>
      </c>
      <c r="G566" t="inlineStr">
        <is>
          <t>EMMABODA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45132</v>
      </c>
      <c r="E567" s="1" t="n">
        <v>46250</v>
      </c>
      <c r="F567" t="inlineStr">
        <is>
          <t>KALMAR LÄN</t>
        </is>
      </c>
      <c r="G567" t="inlineStr">
        <is>
          <t>EMMABODA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46250</v>
      </c>
      <c r="F568" t="inlineStr">
        <is>
          <t>KALMAR LÄN</t>
        </is>
      </c>
      <c r="G568" t="inlineStr">
        <is>
          <t>EMMABODA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42448-2024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45565</v>
      </c>
      <c r="E569" s="1" t="n">
        <v>46250</v>
      </c>
      <c r="F569" t="inlineStr">
        <is>
          <t>KALMAR LÄN</t>
        </is>
      </c>
      <c r="G569" t="inlineStr">
        <is>
          <t>EMMABODA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45445</v>
      </c>
      <c r="E570" s="1" t="n">
        <v>46250</v>
      </c>
      <c r="F570" t="inlineStr">
        <is>
          <t>KALMAR LÄN</t>
        </is>
      </c>
      <c r="G570" t="inlineStr">
        <is>
          <t>EMMABODA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44600</v>
      </c>
      <c r="E571" s="1" t="n">
        <v>46250</v>
      </c>
      <c r="F571" t="inlineStr">
        <is>
          <t>KALMAR LÄN</t>
        </is>
      </c>
      <c r="G571" t="inlineStr">
        <is>
          <t>EMMABODA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39169-2024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46250</v>
      </c>
      <c r="F572" t="inlineStr">
        <is>
          <t>KALMAR LÄN</t>
        </is>
      </c>
      <c r="G572" t="inlineStr">
        <is>
          <t>EMMABODA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45037</v>
      </c>
      <c r="E573" s="1" t="n">
        <v>46250</v>
      </c>
      <c r="F573" t="inlineStr">
        <is>
          <t>KALMAR LÄN</t>
        </is>
      </c>
      <c r="G573" t="inlineStr">
        <is>
          <t>EMMABODA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46250</v>
      </c>
      <c r="F574" t="inlineStr">
        <is>
          <t>KALMAR LÄN</t>
        </is>
      </c>
      <c r="G574" t="inlineStr">
        <is>
          <t>EMMABODA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46250</v>
      </c>
      <c r="F575" t="inlineStr">
        <is>
          <t>KALMAR LÄN</t>
        </is>
      </c>
      <c r="G575" t="inlineStr">
        <is>
          <t>EMMABODA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44982</v>
      </c>
      <c r="E576" s="1" t="n">
        <v>46250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45484</v>
      </c>
      <c r="E577" s="1" t="n">
        <v>46250</v>
      </c>
      <c r="F577" t="inlineStr">
        <is>
          <t>KALMAR LÄN</t>
        </is>
      </c>
      <c r="G577" t="inlineStr">
        <is>
          <t>EMMABODA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46250</v>
      </c>
      <c r="F578" t="inlineStr">
        <is>
          <t>KALMAR LÄN</t>
        </is>
      </c>
      <c r="G578" t="inlineStr">
        <is>
          <t>EMMABODA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13148-2024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45386</v>
      </c>
      <c r="E579" s="1" t="n">
        <v>46250</v>
      </c>
      <c r="F579" t="inlineStr">
        <is>
          <t>KALMAR LÄN</t>
        </is>
      </c>
      <c r="G579" t="inlineStr">
        <is>
          <t>EMMABODA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20506-2025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46250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49066-2021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44453</v>
      </c>
      <c r="E581" s="1" t="n">
        <v>46250</v>
      </c>
      <c r="F581" t="inlineStr">
        <is>
          <t>KALMAR LÄN</t>
        </is>
      </c>
      <c r="G581" t="inlineStr">
        <is>
          <t>EMMABODA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46250</v>
      </c>
      <c r="F582" t="inlineStr">
        <is>
          <t>KALMAR LÄN</t>
        </is>
      </c>
      <c r="G582" t="inlineStr">
        <is>
          <t>EMMABODA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46250</v>
      </c>
      <c r="F583" t="inlineStr">
        <is>
          <t>KALMAR LÄN</t>
        </is>
      </c>
      <c r="G583" t="inlineStr">
        <is>
          <t>EMMABODA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42847-2024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45566</v>
      </c>
      <c r="E584" s="1" t="n">
        <v>46250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45481</v>
      </c>
      <c r="E585" s="1" t="n">
        <v>46250</v>
      </c>
      <c r="F585" t="inlineStr">
        <is>
          <t>KALMAR LÄN</t>
        </is>
      </c>
      <c r="G585" t="inlineStr">
        <is>
          <t>EMMABODA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46212</v>
      </c>
      <c r="E586" s="1" t="n">
        <v>46250</v>
      </c>
      <c r="F586" t="inlineStr">
        <is>
          <t>KALMAR LÄN</t>
        </is>
      </c>
      <c r="G586" t="inlineStr">
        <is>
          <t>EMMABODA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15281-2024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46250</v>
      </c>
      <c r="F587" t="inlineStr">
        <is>
          <t>KALMAR LÄN</t>
        </is>
      </c>
      <c r="G587" t="inlineStr">
        <is>
          <t>EMMABODA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11434-2023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46250</v>
      </c>
      <c r="F588" t="inlineStr">
        <is>
          <t>KALMAR LÄN</t>
        </is>
      </c>
      <c r="G588" t="inlineStr">
        <is>
          <t>EMMABODA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45433</v>
      </c>
      <c r="E589" s="1" t="n">
        <v>46250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46250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45455</v>
      </c>
      <c r="E591" s="1" t="n">
        <v>46250</v>
      </c>
      <c r="F591" t="inlineStr">
        <is>
          <t>KALMAR LÄN</t>
        </is>
      </c>
      <c r="G591" t="inlineStr">
        <is>
          <t>EMMABODA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45146</v>
      </c>
      <c r="E592" s="1" t="n">
        <v>46250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46250</v>
      </c>
      <c r="F593" t="inlineStr">
        <is>
          <t>KALMAR LÄN</t>
        </is>
      </c>
      <c r="G593" t="inlineStr">
        <is>
          <t>EMMABODA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46127</v>
      </c>
      <c r="E594" s="1" t="n">
        <v>46250</v>
      </c>
      <c r="F594" t="inlineStr">
        <is>
          <t>KALMAR LÄN</t>
        </is>
      </c>
      <c r="G594" t="inlineStr">
        <is>
          <t>EMMABODA</t>
        </is>
      </c>
      <c r="H594" t="inlineStr">
        <is>
          <t>Sveaskog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19551-2026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46134</v>
      </c>
      <c r="E595" s="1" t="n">
        <v>46250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59737-2021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44494</v>
      </c>
      <c r="E596" s="1" t="n">
        <v>46250</v>
      </c>
      <c r="F596" t="inlineStr">
        <is>
          <t>KALMAR LÄN</t>
        </is>
      </c>
      <c r="G596" t="inlineStr">
        <is>
          <t>EMMABODA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41366-2024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45559</v>
      </c>
      <c r="E597" s="1" t="n">
        <v>46250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25316-2025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46250</v>
      </c>
      <c r="F598" t="inlineStr">
        <is>
          <t>KALMAR LÄN</t>
        </is>
      </c>
      <c r="G598" t="inlineStr">
        <is>
          <t>EMMABODA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14970-2025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45743</v>
      </c>
      <c r="E599" s="1" t="n">
        <v>46250</v>
      </c>
      <c r="F599" t="inlineStr">
        <is>
          <t>KALMAR LÄN</t>
        </is>
      </c>
      <c r="G599" t="inlineStr">
        <is>
          <t>EMMABODA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45537</v>
      </c>
      <c r="E600" s="1" t="n">
        <v>46250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8397-2023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44977</v>
      </c>
      <c r="E601" s="1" t="n">
        <v>46250</v>
      </c>
      <c r="F601" t="inlineStr">
        <is>
          <t>KALMAR LÄN</t>
        </is>
      </c>
      <c r="G601" t="inlineStr">
        <is>
          <t>EMMABODA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45126</v>
      </c>
      <c r="E602" s="1" t="n">
        <v>46250</v>
      </c>
      <c r="F602" t="inlineStr">
        <is>
          <t>KALMAR LÄN</t>
        </is>
      </c>
      <c r="G602" t="inlineStr">
        <is>
          <t>EMMABODA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45126</v>
      </c>
      <c r="E603" s="1" t="n">
        <v>46250</v>
      </c>
      <c r="F603" t="inlineStr">
        <is>
          <t>KALMAR LÄN</t>
        </is>
      </c>
      <c r="G603" t="inlineStr">
        <is>
          <t>EMMABODA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46250</v>
      </c>
      <c r="F604" t="inlineStr">
        <is>
          <t>KALMAR LÄN</t>
        </is>
      </c>
      <c r="G604" t="inlineStr">
        <is>
          <t>EMMABODA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33070-2023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45126</v>
      </c>
      <c r="E605" s="1" t="n">
        <v>46250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45665</v>
      </c>
      <c r="E606" s="1" t="n">
        <v>46250</v>
      </c>
      <c r="F606" t="inlineStr">
        <is>
          <t>KALMAR LÄN</t>
        </is>
      </c>
      <c r="G606" t="inlineStr">
        <is>
          <t>EMMABODA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48233-2023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45205</v>
      </c>
      <c r="E607" s="1" t="n">
        <v>46250</v>
      </c>
      <c r="F607" t="inlineStr">
        <is>
          <t>KALMAR LÄN</t>
        </is>
      </c>
      <c r="G607" t="inlineStr">
        <is>
          <t>EMMABODA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39736-2023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45167</v>
      </c>
      <c r="E608" s="1" t="n">
        <v>46250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45804</v>
      </c>
      <c r="E609" s="1" t="n">
        <v>46250</v>
      </c>
      <c r="F609" t="inlineStr">
        <is>
          <t>KALMAR LÄN</t>
        </is>
      </c>
      <c r="G609" t="inlineStr">
        <is>
          <t>EMMABODA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4947-2023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44958</v>
      </c>
      <c r="E610" s="1" t="n">
        <v>46250</v>
      </c>
      <c r="F610" t="inlineStr">
        <is>
          <t>KALMAR LÄN</t>
        </is>
      </c>
      <c r="G610" t="inlineStr">
        <is>
          <t>EMMABODA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60674-2024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46250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45084</v>
      </c>
      <c r="E612" s="1" t="n">
        <v>46250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55590-2024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45622</v>
      </c>
      <c r="E613" s="1" t="n">
        <v>46250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37630-2023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45159</v>
      </c>
      <c r="E614" s="1" t="n">
        <v>46250</v>
      </c>
      <c r="F614" t="inlineStr">
        <is>
          <t>KALMAR LÄN</t>
        </is>
      </c>
      <c r="G614" t="inlineStr">
        <is>
          <t>EMMABODA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45573</v>
      </c>
      <c r="E615" s="1" t="n">
        <v>46250</v>
      </c>
      <c r="F615" t="inlineStr">
        <is>
          <t>KALMAR LÄN</t>
        </is>
      </c>
      <c r="G615" t="inlineStr">
        <is>
          <t>EMMABODA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52610-2023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45225</v>
      </c>
      <c r="E616" s="1" t="n">
        <v>46250</v>
      </c>
      <c r="F616" t="inlineStr">
        <is>
          <t>KALMAR LÄN</t>
        </is>
      </c>
      <c r="G616" t="inlineStr">
        <is>
          <t>EMMABODA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45327</v>
      </c>
      <c r="E617" s="1" t="n">
        <v>46250</v>
      </c>
      <c r="F617" t="inlineStr">
        <is>
          <t>KALMAR LÄN</t>
        </is>
      </c>
      <c r="G617" t="inlineStr">
        <is>
          <t>EMMABODA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46250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46250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46250</v>
      </c>
      <c r="F620" t="inlineStr">
        <is>
          <t>KALMAR LÄN</t>
        </is>
      </c>
      <c r="G620" t="inlineStr">
        <is>
          <t>EMMABODA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26199-2026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46250</v>
      </c>
      <c r="F621" t="inlineStr">
        <is>
          <t>KALMAR LÄN</t>
        </is>
      </c>
      <c r="G621" t="inlineStr">
        <is>
          <t>EMMABODA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32561-2022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44783</v>
      </c>
      <c r="E622" s="1" t="n">
        <v>46250</v>
      </c>
      <c r="F622" t="inlineStr">
        <is>
          <t>KALMAR LÄN</t>
        </is>
      </c>
      <c r="G622" t="inlineStr">
        <is>
          <t>EMMABODA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46250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26971-2023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45091</v>
      </c>
      <c r="E624" s="1" t="n">
        <v>46250</v>
      </c>
      <c r="F624" t="inlineStr">
        <is>
          <t>KALMAR LÄN</t>
        </is>
      </c>
      <c r="G624" t="inlineStr">
        <is>
          <t>EMMABODA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46250</v>
      </c>
      <c r="F625" t="inlineStr">
        <is>
          <t>KALMAR LÄN</t>
        </is>
      </c>
      <c r="G625" t="inlineStr">
        <is>
          <t>EMMABODA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14377-2022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44652</v>
      </c>
      <c r="E626" s="1" t="n">
        <v>46250</v>
      </c>
      <c r="F626" t="inlineStr">
        <is>
          <t>KALMAR LÄN</t>
        </is>
      </c>
      <c r="G626" t="inlineStr">
        <is>
          <t>EMMABODA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16134-2022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44665</v>
      </c>
      <c r="E627" s="1" t="n">
        <v>46250</v>
      </c>
      <c r="F627" t="inlineStr">
        <is>
          <t>KALMAR LÄN</t>
        </is>
      </c>
      <c r="G627" t="inlineStr">
        <is>
          <t>EMMABODA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46250</v>
      </c>
      <c r="F628" t="inlineStr">
        <is>
          <t>KALMAR LÄN</t>
        </is>
      </c>
      <c r="G628" t="inlineStr">
        <is>
          <t>EMMABODA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46250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29807-2025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46250</v>
      </c>
      <c r="F630" t="inlineStr">
        <is>
          <t>KALMAR LÄN</t>
        </is>
      </c>
      <c r="G630" t="inlineStr">
        <is>
          <t>EMMABODA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45826</v>
      </c>
      <c r="E631" s="1" t="n">
        <v>46250</v>
      </c>
      <c r="F631" t="inlineStr">
        <is>
          <t>KALMAR LÄN</t>
        </is>
      </c>
      <c r="G631" t="inlineStr">
        <is>
          <t>EMMABODA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45826</v>
      </c>
      <c r="E632" s="1" t="n">
        <v>46250</v>
      </c>
      <c r="F632" t="inlineStr">
        <is>
          <t>KALMAR LÄN</t>
        </is>
      </c>
      <c r="G632" t="inlineStr">
        <is>
          <t>EMMABODA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29874-2025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46250</v>
      </c>
      <c r="F633" t="inlineStr">
        <is>
          <t>KALMAR LÄN</t>
        </is>
      </c>
      <c r="G633" t="inlineStr">
        <is>
          <t>EMMABODA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29879-2025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45826</v>
      </c>
      <c r="E634" s="1" t="n">
        <v>46250</v>
      </c>
      <c r="F634" t="inlineStr">
        <is>
          <t>KALMAR LÄN</t>
        </is>
      </c>
      <c r="G634" t="inlineStr">
        <is>
          <t>EMMABODA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46250</v>
      </c>
      <c r="F635" t="inlineStr">
        <is>
          <t>KALMAR LÄN</t>
        </is>
      </c>
      <c r="G635" t="inlineStr">
        <is>
          <t>EMMABODA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29886-2025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45826</v>
      </c>
      <c r="E636" s="1" t="n">
        <v>46250</v>
      </c>
      <c r="F636" t="inlineStr">
        <is>
          <t>KALMAR LÄN</t>
        </is>
      </c>
      <c r="G636" t="inlineStr">
        <is>
          <t>EMMABODA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54230-2023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45232</v>
      </c>
      <c r="E637" s="1" t="n">
        <v>46250</v>
      </c>
      <c r="F637" t="inlineStr">
        <is>
          <t>KALMAR LÄN</t>
        </is>
      </c>
      <c r="G637" t="inlineStr">
        <is>
          <t>EMMABODA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45826</v>
      </c>
      <c r="E638" s="1" t="n">
        <v>46250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46250</v>
      </c>
      <c r="F639" t="inlineStr">
        <is>
          <t>KALMAR LÄN</t>
        </is>
      </c>
      <c r="G639" t="inlineStr">
        <is>
          <t>EMMABODA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45182</v>
      </c>
      <c r="E640" s="1" t="n">
        <v>46250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46250</v>
      </c>
      <c r="F641" t="inlineStr">
        <is>
          <t>KALMAR LÄN</t>
        </is>
      </c>
      <c r="G641" t="inlineStr">
        <is>
          <t>EMMABODA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46189</v>
      </c>
      <c r="E642" s="1" t="n">
        <v>46250</v>
      </c>
      <c r="F642" t="inlineStr">
        <is>
          <t>KALMAR LÄN</t>
        </is>
      </c>
      <c r="G642" t="inlineStr">
        <is>
          <t>EMMABODA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45832</v>
      </c>
      <c r="E643" s="1" t="n">
        <v>46250</v>
      </c>
      <c r="F643" t="inlineStr">
        <is>
          <t>KALMAR LÄN</t>
        </is>
      </c>
      <c r="G643" t="inlineStr">
        <is>
          <t>EMMABODA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45392</v>
      </c>
      <c r="E644" s="1" t="n">
        <v>46250</v>
      </c>
      <c r="F644" t="inlineStr">
        <is>
          <t>KALMAR LÄN</t>
        </is>
      </c>
      <c r="G644" t="inlineStr">
        <is>
          <t>EMMABODA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20505-2022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44699</v>
      </c>
      <c r="E645" s="1" t="n">
        <v>46250</v>
      </c>
      <c r="F645" t="inlineStr">
        <is>
          <t>KALMAR LÄN</t>
        </is>
      </c>
      <c r="G645" t="inlineStr">
        <is>
          <t>EMMABODA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27133-2026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46250</v>
      </c>
      <c r="F646" t="inlineStr">
        <is>
          <t>KALMAR LÄN</t>
        </is>
      </c>
      <c r="G646" t="inlineStr">
        <is>
          <t>EMMABODA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35849-2023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45148</v>
      </c>
      <c r="E647" s="1" t="n">
        <v>46250</v>
      </c>
      <c r="F647" t="inlineStr">
        <is>
          <t>KALMAR LÄN</t>
        </is>
      </c>
      <c r="G647" t="inlineStr">
        <is>
          <t>EMMABODA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27155-2026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46188</v>
      </c>
      <c r="E648" s="1" t="n">
        <v>46250</v>
      </c>
      <c r="F648" t="inlineStr">
        <is>
          <t>KALMAR LÄN</t>
        </is>
      </c>
      <c r="G648" t="inlineStr">
        <is>
          <t>EMMABODA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46250</v>
      </c>
      <c r="F649" t="inlineStr">
        <is>
          <t>KALMAR LÄN</t>
        </is>
      </c>
      <c r="G649" t="inlineStr">
        <is>
          <t>EMMABODA</t>
        </is>
      </c>
      <c r="H649" t="inlineStr">
        <is>
          <t>Sveaskog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35490-2024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45531</v>
      </c>
      <c r="E650" s="1" t="n">
        <v>46250</v>
      </c>
      <c r="F650" t="inlineStr">
        <is>
          <t>KALMAR LÄN</t>
        </is>
      </c>
      <c r="G650" t="inlineStr">
        <is>
          <t>EMMABODA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46250</v>
      </c>
      <c r="F651" t="inlineStr">
        <is>
          <t>KALMAR LÄN</t>
        </is>
      </c>
      <c r="G651" t="inlineStr">
        <is>
          <t>EMMABODA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45434</v>
      </c>
      <c r="E652" s="1" t="n">
        <v>46250</v>
      </c>
      <c r="F652" t="inlineStr">
        <is>
          <t>KALMAR LÄN</t>
        </is>
      </c>
      <c r="G652" t="inlineStr">
        <is>
          <t>EMMABODA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45835</v>
      </c>
      <c r="E653" s="1" t="n">
        <v>46250</v>
      </c>
      <c r="F653" t="inlineStr">
        <is>
          <t>KALMAR LÄN</t>
        </is>
      </c>
      <c r="G653" t="inlineStr">
        <is>
          <t>EMMABODA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9775-2022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44619</v>
      </c>
      <c r="E654" s="1" t="n">
        <v>46250</v>
      </c>
      <c r="F654" t="inlineStr">
        <is>
          <t>KALMAR LÄN</t>
        </is>
      </c>
      <c r="G654" t="inlineStr">
        <is>
          <t>EMMABODA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45408</v>
      </c>
      <c r="E655" s="1" t="n">
        <v>46250</v>
      </c>
      <c r="F655" t="inlineStr">
        <is>
          <t>KALMAR LÄN</t>
        </is>
      </c>
      <c r="G655" t="inlineStr">
        <is>
          <t>EMMABODA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26111-2025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45805</v>
      </c>
      <c r="E656" s="1" t="n">
        <v>46250</v>
      </c>
      <c r="F656" t="inlineStr">
        <is>
          <t>KALMAR LÄN</t>
        </is>
      </c>
      <c r="G656" t="inlineStr">
        <is>
          <t>EMMABODA</t>
        </is>
      </c>
      <c r="I656" t="n">
        <v>12.5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14467-2024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45394</v>
      </c>
      <c r="E657" s="1" t="n">
        <v>46250</v>
      </c>
      <c r="F657" t="inlineStr">
        <is>
          <t>KALMAR LÄN</t>
        </is>
      </c>
      <c r="G657" t="inlineStr">
        <is>
          <t>EMMABODA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55604-2024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45621</v>
      </c>
      <c r="E658" s="1" t="n">
        <v>46250</v>
      </c>
      <c r="F658" t="inlineStr">
        <is>
          <t>KALMAR LÄN</t>
        </is>
      </c>
      <c r="G658" t="inlineStr">
        <is>
          <t>EMMABODA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17417-2026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46250</v>
      </c>
      <c r="F659" t="inlineStr">
        <is>
          <t>KALMAR LÄN</t>
        </is>
      </c>
      <c r="G659" t="inlineStr">
        <is>
          <t>EMMABODA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46250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46250</v>
      </c>
      <c r="F661" t="inlineStr">
        <is>
          <t>KALMAR LÄN</t>
        </is>
      </c>
      <c r="G661" t="inlineStr">
        <is>
          <t>EMMABODA</t>
        </is>
      </c>
      <c r="H661" t="inlineStr">
        <is>
          <t>Kyrkan</t>
        </is>
      </c>
      <c r="I661" t="n">
        <v>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34055-2025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45845</v>
      </c>
      <c r="E662" s="1" t="n">
        <v>46250</v>
      </c>
      <c r="F662" t="inlineStr">
        <is>
          <t>KALMAR LÄN</t>
        </is>
      </c>
      <c r="G662" t="inlineStr">
        <is>
          <t>EMMABODA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28990-2026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46196</v>
      </c>
      <c r="E663" s="1" t="n">
        <v>46250</v>
      </c>
      <c r="F663" t="inlineStr">
        <is>
          <t>KALMAR LÄN</t>
        </is>
      </c>
      <c r="G663" t="inlineStr">
        <is>
          <t>EMMABODA</t>
        </is>
      </c>
      <c r="H663" t="inlineStr">
        <is>
          <t>Kyrkan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44728</v>
      </c>
      <c r="E664" s="1" t="n">
        <v>46250</v>
      </c>
      <c r="F664" t="inlineStr">
        <is>
          <t>KALMAR LÄN</t>
        </is>
      </c>
      <c r="G664" t="inlineStr">
        <is>
          <t>EMMABODA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11758-2025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45727</v>
      </c>
      <c r="E665" s="1" t="n">
        <v>46250</v>
      </c>
      <c r="F665" t="inlineStr">
        <is>
          <t>KALMAR LÄN</t>
        </is>
      </c>
      <c r="G665" t="inlineStr">
        <is>
          <t>EMMABODA</t>
        </is>
      </c>
      <c r="I665" t="n">
        <v>9.300000000000001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46250</v>
      </c>
      <c r="F666" t="inlineStr">
        <is>
          <t>KALMAR LÄN</t>
        </is>
      </c>
      <c r="G666" t="inlineStr">
        <is>
          <t>EMMABODA</t>
        </is>
      </c>
      <c r="H666" t="inlineStr">
        <is>
          <t>Sveaskog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46250</v>
      </c>
      <c r="F667" t="inlineStr">
        <is>
          <t>KALMAR LÄN</t>
        </is>
      </c>
      <c r="G667" t="inlineStr">
        <is>
          <t>EMMABODA</t>
        </is>
      </c>
      <c r="H667" t="inlineStr">
        <is>
          <t>Sveaskog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45772</v>
      </c>
      <c r="E668" s="1" t="n">
        <v>46250</v>
      </c>
      <c r="F668" t="inlineStr">
        <is>
          <t>KALMAR LÄN</t>
        </is>
      </c>
      <c r="G668" t="inlineStr">
        <is>
          <t>EMMABODA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20511-2025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45775</v>
      </c>
      <c r="E669" s="1" t="n">
        <v>46250</v>
      </c>
      <c r="F669" t="inlineStr">
        <is>
          <t>KALMAR LÄN</t>
        </is>
      </c>
      <c r="G669" t="inlineStr">
        <is>
          <t>EMMABODA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34878-2025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46250</v>
      </c>
      <c r="F670" t="inlineStr">
        <is>
          <t>KALMAR LÄN</t>
        </is>
      </c>
      <c r="G670" t="inlineStr">
        <is>
          <t>EMMABODA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9715-2025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45716</v>
      </c>
      <c r="E671" s="1" t="n">
        <v>46250</v>
      </c>
      <c r="F671" t="inlineStr">
        <is>
          <t>KALMAR LÄN</t>
        </is>
      </c>
      <c r="G671" t="inlineStr">
        <is>
          <t>EMMABODA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35020-2025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45851</v>
      </c>
      <c r="E672" s="1" t="n">
        <v>46250</v>
      </c>
      <c r="F672" t="inlineStr">
        <is>
          <t>KALMAR LÄN</t>
        </is>
      </c>
      <c r="G672" t="inlineStr">
        <is>
          <t>EMMABODA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45851</v>
      </c>
      <c r="E673" s="1" t="n">
        <v>46250</v>
      </c>
      <c r="F673" t="inlineStr">
        <is>
          <t>KALMAR LÄN</t>
        </is>
      </c>
      <c r="G673" t="inlineStr">
        <is>
          <t>EMMABODA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63254-2025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46250</v>
      </c>
      <c r="F674" t="inlineStr">
        <is>
          <t>KALMAR LÄN</t>
        </is>
      </c>
      <c r="G674" t="inlineStr">
        <is>
          <t>EMMABODA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46250</v>
      </c>
      <c r="F675" t="inlineStr">
        <is>
          <t>KALMAR LÄN</t>
        </is>
      </c>
      <c r="G675" t="inlineStr">
        <is>
          <t>EMMABODA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46197</v>
      </c>
      <c r="E676" s="1" t="n">
        <v>46250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35592-2025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45857</v>
      </c>
      <c r="E677" s="1" t="n">
        <v>46250</v>
      </c>
      <c r="F677" t="inlineStr">
        <is>
          <t>KALMAR LÄN</t>
        </is>
      </c>
      <c r="G677" t="inlineStr">
        <is>
          <t>EMMABODA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46250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45750</v>
      </c>
      <c r="E679" s="1" t="n">
        <v>46250</v>
      </c>
      <c r="F679" t="inlineStr">
        <is>
          <t>KALMAR LÄN</t>
        </is>
      </c>
      <c r="G679" t="inlineStr">
        <is>
          <t>EMMABODA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36012-2025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45863</v>
      </c>
      <c r="E680" s="1" t="n">
        <v>46250</v>
      </c>
      <c r="F680" t="inlineStr">
        <is>
          <t>KALMAR LÄN</t>
        </is>
      </c>
      <c r="G680" t="inlineStr">
        <is>
          <t>EMMABODA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22899-2025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45790</v>
      </c>
      <c r="E681" s="1" t="n">
        <v>46250</v>
      </c>
      <c r="F681" t="inlineStr">
        <is>
          <t>KALMAR LÄN</t>
        </is>
      </c>
      <c r="G681" t="inlineStr">
        <is>
          <t>EMMABODA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46250</v>
      </c>
      <c r="F682" t="inlineStr">
        <is>
          <t>KALMAR LÄN</t>
        </is>
      </c>
      <c r="G682" t="inlineStr">
        <is>
          <t>EMMABODA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29293-2026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46202</v>
      </c>
      <c r="E683" s="1" t="n">
        <v>46250</v>
      </c>
      <c r="F683" t="inlineStr">
        <is>
          <t>KALMAR LÄN</t>
        </is>
      </c>
      <c r="G683" t="inlineStr">
        <is>
          <t>EMMABODA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33160-2026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46245</v>
      </c>
      <c r="E684" s="1" t="n">
        <v>46250</v>
      </c>
      <c r="F684" t="inlineStr">
        <is>
          <t>KALMAR LÄN</t>
        </is>
      </c>
      <c r="G684" t="inlineStr">
        <is>
          <t>EMMABODA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46250</v>
      </c>
      <c r="F685" t="inlineStr">
        <is>
          <t>KALMAR LÄN</t>
        </is>
      </c>
      <c r="G685" t="inlineStr">
        <is>
          <t>EMMABODA</t>
        </is>
      </c>
      <c r="H685" t="inlineStr">
        <is>
          <t>Sveaskog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7596-2021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44476</v>
      </c>
      <c r="E686" s="1" t="n">
        <v>46250</v>
      </c>
      <c r="F686" t="inlineStr">
        <is>
          <t>KALMAR LÄN</t>
        </is>
      </c>
      <c r="G686" t="inlineStr">
        <is>
          <t>EMMABODA</t>
        </is>
      </c>
      <c r="I686" t="n">
        <v>35.3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3248-2023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45191</v>
      </c>
      <c r="E687" s="1" t="n">
        <v>46250</v>
      </c>
      <c r="F687" t="inlineStr">
        <is>
          <t>KALMAR LÄN</t>
        </is>
      </c>
      <c r="G687" t="inlineStr">
        <is>
          <t>EMMABODA</t>
        </is>
      </c>
      <c r="I687" t="n">
        <v>30.4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7095-2021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44462</v>
      </c>
      <c r="E688" s="1" t="n">
        <v>46250</v>
      </c>
      <c r="F688" t="inlineStr">
        <is>
          <t>KALMAR LÄN</t>
        </is>
      </c>
      <c r="G688" t="inlineStr">
        <is>
          <t>EMMABODA</t>
        </is>
      </c>
      <c r="I688" t="n">
        <v>129.3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46250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46250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46250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46250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46250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46250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46250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46250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46250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46250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46250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46250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46250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46250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46250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6935-2021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44460</v>
      </c>
      <c r="E704" s="1" t="n">
        <v>46250</v>
      </c>
      <c r="F704" t="inlineStr">
        <is>
          <t>KALMAR LÄN</t>
        </is>
      </c>
      <c r="G704" t="inlineStr">
        <is>
          <t>EMMABODA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46250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46250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46250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46250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46250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46250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46250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46250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46250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46250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46250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46250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46250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46250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46250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46250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46250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46250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46250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46250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46250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46250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46250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46250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46250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46250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46250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46250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46250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46250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46250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2026-08-16T01:42:12Z</dcterms:created>
  <dcterms:modified xmlns:dcterms="http://purl.org/dc/terms/" xmlns:xsi="http://www.w3.org/2001/XMLSchema-instance" xsi:type="dcterms:W3CDTF">2026-08-16T01:42:13Z</dcterms:modified>
</cp:coreProperties>
</file>