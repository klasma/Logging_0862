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46263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46263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46263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46263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46263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46263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46263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46263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46263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46263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46263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46263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46263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46263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46263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52182-2025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45953</v>
      </c>
      <c r="E22" s="1" t="n">
        <v>46263</v>
      </c>
      <c r="F22" t="inlineStr">
        <is>
          <t>KALMAR LÄN</t>
        </is>
      </c>
      <c r="G22" t="inlineStr">
        <is>
          <t>EMMABODA</t>
        </is>
      </c>
      <c r="I22" t="n">
        <v>7.6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Göktyta</t>
        </is>
      </c>
      <c r="W22">
        <f>HYPERLINK("https://klasma.github.io/Logging_0862/artfynd/A 52182-2025 artfynd.xlsx", "A 52182-2025")</f>
        <v/>
      </c>
      <c r="X22">
        <f>HYPERLINK("https://klasma.github.io/Logging_0862/kartor/A 52182-2025 karta.png", "A 52182-2025")</f>
        <v/>
      </c>
      <c r="Y22">
        <f>HYPERLINK("https://klasma.github.io/Logging_0862/kartor_geotiff/A 52182-2025 georefererad karta.tif", "A 52182-2025")</f>
        <v/>
      </c>
      <c r="AA22">
        <f>HYPERLINK("https://klasma.github.io/Logging_0862/klagomål/A 52182-2025 FSC-klagomål.docx", "A 52182-2025")</f>
        <v/>
      </c>
      <c r="AB22">
        <f>HYPERLINK("https://klasma.github.io/Logging_0862/klagomålsmail/A 52182-2025 FSC-klagomål mail.docx", "A 52182-2025")</f>
        <v/>
      </c>
      <c r="AC22">
        <f>HYPERLINK("https://klasma.github.io/Logging_0862/tillsyn/A 52182-2025 tillsynsbegäran.docx", "A 52182-2025")</f>
        <v/>
      </c>
      <c r="AD22">
        <f>HYPERLINK("https://klasma.github.io/Logging_0862/tillsynsmail/A 52182-2025 tillsynsbegäran mail.docx", "A 52182-2025")</f>
        <v/>
      </c>
      <c r="AE22">
        <f>HYPERLINK("https://klasma.github.io/Logging_0862/fåglar/A 52182-2025 prioriterade fågelarter.docx", "A 52182-2025")</f>
        <v/>
      </c>
    </row>
    <row r="23" ht="15" customHeight="1">
      <c r="A23" t="inlineStr">
        <is>
          <t>A 58883-2022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44895</v>
      </c>
      <c r="E23" s="1" t="n">
        <v>46263</v>
      </c>
      <c r="F23" t="inlineStr">
        <is>
          <t>KALMAR LÄN</t>
        </is>
      </c>
      <c r="G23" t="inlineStr">
        <is>
          <t>EMMABODA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HYPERLINK("https://klasma.github.io/Logging_0862/artfynd/A 58883-2022 artfynd.xlsx", "A 58883-2022")</f>
        <v/>
      </c>
      <c r="X23">
        <f>HYPERLINK("https://klasma.github.io/Logging_0862/kartor/A 58883-2022 karta.png", "A 58883-2022")</f>
        <v/>
      </c>
      <c r="Y23">
        <f>HYPERLINK("https://klasma.github.io/Logging_0862/kartor_geotiff/A 58883-2022 georefererad karta.tif", "A 58883-2022")</f>
        <v/>
      </c>
      <c r="AA23">
        <f>HYPERLINK("https://klasma.github.io/Logging_0862/klagomål/A 58883-2022 FSC-klagomål.docx", "A 58883-2022")</f>
        <v/>
      </c>
      <c r="AB23">
        <f>HYPERLINK("https://klasma.github.io/Logging_0862/klagomålsmail/A 58883-2022 FSC-klagomål mail.docx", "A 58883-2022")</f>
        <v/>
      </c>
      <c r="AC23">
        <f>HYPERLINK("https://klasma.github.io/Logging_0862/tillsyn/A 58883-2022 tillsynsbegäran.docx", "A 58883-2022")</f>
        <v/>
      </c>
      <c r="AD23">
        <f>HYPERLINK("https://klasma.github.io/Logging_0862/tillsynsmail/A 58883-2022 tillsynsbegäran mail.docx", "A 58883-2022")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46263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46263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46263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46263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46263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46263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60257-2021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46263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HYPERLINK("https://klasma.github.io/Logging_0862/artfynd/A 60257-2021 artfynd.xlsx", "A 60257-2021")</f>
        <v/>
      </c>
      <c r="X30">
        <f>HYPERLINK("https://klasma.github.io/Logging_0862/kartor/A 60257-2021 karta.png", "A 60257-2021")</f>
        <v/>
      </c>
      <c r="Y30">
        <f>HYPERLINK("https://klasma.github.io/Logging_0862/kartor_geotiff/A 60257-2021 georefererad karta.tif", "A 60257-2021")</f>
        <v/>
      </c>
      <c r="Z30">
        <f>HYPERLINK("https://klasma.github.io/Logging_0862/knärot/A 60257-2021 karta knärot.png", "A 60257-2021")</f>
        <v/>
      </c>
      <c r="AA30">
        <f>HYPERLINK("https://klasma.github.io/Logging_0862/klagomål/A 60257-2021 FSC-klagomål.docx", "A 60257-2021")</f>
        <v/>
      </c>
      <c r="AB30">
        <f>HYPERLINK("https://klasma.github.io/Logging_0862/klagomålsmail/A 60257-2021 FSC-klagomål mail.docx", "A 60257-2021")</f>
        <v/>
      </c>
      <c r="AC30">
        <f>HYPERLINK("https://klasma.github.io/Logging_0862/tillsyn/A 60257-2021 tillsynsbegäran.docx", "A 60257-2021")</f>
        <v/>
      </c>
      <c r="AD30">
        <f>HYPERLINK("https://klasma.github.io/Logging_0862/tillsynsmail/A 60257-2021 tillsynsbegäran mail.docx", "A 60257-2021")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46263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46263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6247-2026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46263</v>
      </c>
      <c r="F33" t="inlineStr">
        <is>
          <t>KALMAR LÄN</t>
        </is>
      </c>
      <c r="G33" t="inlineStr">
        <is>
          <t>EMMABODA</t>
        </is>
      </c>
      <c r="I33" t="n">
        <v>1.2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HYPERLINK("https://klasma.github.io/Logging_0862/artfynd/A 6247-2026 artfynd.xlsx", "A 6247-2026")</f>
        <v/>
      </c>
      <c r="X33">
        <f>HYPERLINK("https://klasma.github.io/Logging_0862/kartor/A 6247-2026 karta.png", "A 6247-2026")</f>
        <v/>
      </c>
      <c r="Y33">
        <f>HYPERLINK("https://klasma.github.io/Logging_0862/kartor_geotiff/A 6247-2026 georefererad karta.tif", "A 6247-2026")</f>
        <v/>
      </c>
      <c r="AA33">
        <f>HYPERLINK("https://klasma.github.io/Logging_0862/klagomål/A 6247-2026 FSC-klagomål.docx", "A 6247-2026")</f>
        <v/>
      </c>
      <c r="AB33">
        <f>HYPERLINK("https://klasma.github.io/Logging_0862/klagomålsmail/A 6247-2026 FSC-klagomål mail.docx", "A 6247-2026")</f>
        <v/>
      </c>
      <c r="AC33">
        <f>HYPERLINK("https://klasma.github.io/Logging_0862/tillsyn/A 6247-2026 tillsynsbegäran.docx", "A 6247-2026")</f>
        <v/>
      </c>
      <c r="AD33">
        <f>HYPERLINK("https://klasma.github.io/Logging_0862/tillsynsmail/A 6247-2026 tillsynsbegäran mail.docx", "A 6247-2026")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46263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46263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46263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46263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46263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9633-2023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46263</v>
      </c>
      <c r="F39" t="inlineStr">
        <is>
          <t>KALMAR LÄN</t>
        </is>
      </c>
      <c r="G39" t="inlineStr">
        <is>
          <t>EMMABODA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Småjungfrukam</t>
        </is>
      </c>
      <c r="W39">
        <f>HYPERLINK("https://klasma.github.io/Logging_0862/artfynd/A 9633-2023 artfynd.xlsx", "A 9633-2023")</f>
        <v/>
      </c>
      <c r="X39">
        <f>HYPERLINK("https://klasma.github.io/Logging_0862/kartor/A 9633-2023 karta.png", "A 9633-2023")</f>
        <v/>
      </c>
      <c r="Y39">
        <f>HYPERLINK("https://klasma.github.io/Logging_0862/kartor_geotiff/A 9633-2023 georefererad karta.tif", "A 9633-2023")</f>
        <v/>
      </c>
      <c r="AA39">
        <f>HYPERLINK("https://klasma.github.io/Logging_0862/klagomål/A 9633-2023 FSC-klagomål.docx", "A 9633-2023")</f>
        <v/>
      </c>
      <c r="AB39">
        <f>HYPERLINK("https://klasma.github.io/Logging_0862/klagomålsmail/A 9633-2023 FSC-klagomål mail.docx", "A 9633-2023")</f>
        <v/>
      </c>
      <c r="AC39">
        <f>HYPERLINK("https://klasma.github.io/Logging_0862/tillsyn/A 9633-2023 tillsynsbegäran.docx", "A 9633-2023")</f>
        <v/>
      </c>
      <c r="AD39">
        <f>HYPERLINK("https://klasma.github.io/Logging_0862/tillsynsmail/A 9633-2023 tillsynsbegäran mail.docx", "A 9633-2023")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46263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6612-2023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44966</v>
      </c>
      <c r="E41" s="1" t="n">
        <v>46263</v>
      </c>
      <c r="F41" t="inlineStr">
        <is>
          <t>KALMAR LÄN</t>
        </is>
      </c>
      <c r="G41" t="inlineStr">
        <is>
          <t>EMMABODA</t>
        </is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HYPERLINK("https://klasma.github.io/Logging_0862/artfynd/A 6612-2023 artfynd.xlsx", "A 6612-2023")</f>
        <v/>
      </c>
      <c r="X41">
        <f>HYPERLINK("https://klasma.github.io/Logging_0862/kartor/A 6612-2023 karta.png", "A 6612-2023")</f>
        <v/>
      </c>
      <c r="Y41">
        <f>HYPERLINK("https://klasma.github.io/Logging_0862/kartor_geotiff/A 6612-2023 georefererad karta.tif", "A 6612-2023")</f>
        <v/>
      </c>
      <c r="AA41">
        <f>HYPERLINK("https://klasma.github.io/Logging_0862/klagomål/A 6612-2023 FSC-klagomål.docx", "A 6612-2023")</f>
        <v/>
      </c>
      <c r="AB41">
        <f>HYPERLINK("https://klasma.github.io/Logging_0862/klagomålsmail/A 6612-2023 FSC-klagomål mail.docx", "A 6612-2023")</f>
        <v/>
      </c>
      <c r="AC41">
        <f>HYPERLINK("https://klasma.github.io/Logging_0862/tillsyn/A 6612-2023 tillsynsbegäran.docx", "A 6612-2023")</f>
        <v/>
      </c>
      <c r="AD41">
        <f>HYPERLINK("https://klasma.github.io/Logging_0862/tillsynsmail/A 6612-2023 tillsynsbegäran mail.docx", "A 6612-2023")</f>
        <v/>
      </c>
    </row>
    <row r="42" ht="15" customHeight="1">
      <c r="A42" t="inlineStr">
        <is>
          <t>A 58297-2021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44488</v>
      </c>
      <c r="E42" s="1" t="n">
        <v>46263</v>
      </c>
      <c r="F42" t="inlineStr">
        <is>
          <t>KALMAR LÄN</t>
        </is>
      </c>
      <c r="G42" t="inlineStr">
        <is>
          <t>EMMABODA</t>
        </is>
      </c>
      <c r="H42" t="inlineStr">
        <is>
          <t>Kommuner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HYPERLINK("https://klasma.github.io/Logging_0862/artfynd/A 58297-2021 artfynd.xlsx", "A 58297-2021")</f>
        <v/>
      </c>
      <c r="X42">
        <f>HYPERLINK("https://klasma.github.io/Logging_0862/kartor/A 58297-2021 karta.png", "A 58297-2021")</f>
        <v/>
      </c>
      <c r="Y42">
        <f>HYPERLINK("https://klasma.github.io/Logging_0862/kartor_geotiff/A 58297-2021 georefererad karta.tif", "A 58297-2021")</f>
        <v/>
      </c>
      <c r="AA42">
        <f>HYPERLINK("https://klasma.github.io/Logging_0862/klagomål/A 58297-2021 FSC-klagomål.docx", "A 58297-2021")</f>
        <v/>
      </c>
      <c r="AB42">
        <f>HYPERLINK("https://klasma.github.io/Logging_0862/klagomålsmail/A 58297-2021 FSC-klagomål mail.docx", "A 58297-2021")</f>
        <v/>
      </c>
      <c r="AC42">
        <f>HYPERLINK("https://klasma.github.io/Logging_0862/tillsyn/A 58297-2021 tillsynsbegäran.docx", "A 58297-2021")</f>
        <v/>
      </c>
      <c r="AD42">
        <f>HYPERLINK("https://klasma.github.io/Logging_0862/tillsynsmail/A 58297-2021 tillsynsbegäran mail.docx", "A 58297-2021")</f>
        <v/>
      </c>
    </row>
    <row r="43" ht="15" customHeight="1">
      <c r="A43" t="inlineStr">
        <is>
          <t>A 5884-2024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46263</v>
      </c>
      <c r="F43" t="inlineStr">
        <is>
          <t>KALMAR LÄN</t>
        </is>
      </c>
      <c r="G43" t="inlineStr">
        <is>
          <t>EMMABODA</t>
        </is>
      </c>
      <c r="I43" t="n">
        <v>4.7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HYPERLINK("https://klasma.github.io/Logging_0862/artfynd/A 5884-2024 artfynd.xlsx", "A 5884-2024")</f>
        <v/>
      </c>
      <c r="X43">
        <f>HYPERLINK("https://klasma.github.io/Logging_0862/kartor/A 5884-2024 karta.png", "A 5884-2024")</f>
        <v/>
      </c>
      <c r="Y43">
        <f>HYPERLINK("https://klasma.github.io/Logging_0862/kartor_geotiff/A 5884-2024 georefererad karta.tif", "A 5884-2024")</f>
        <v/>
      </c>
      <c r="AA43">
        <f>HYPERLINK("https://klasma.github.io/Logging_0862/klagomål/A 5884-2024 FSC-klagomål.docx", "A 5884-2024")</f>
        <v/>
      </c>
      <c r="AB43">
        <f>HYPERLINK("https://klasma.github.io/Logging_0862/klagomålsmail/A 5884-2024 FSC-klagomål mail.docx", "A 5884-2024")</f>
        <v/>
      </c>
      <c r="AC43">
        <f>HYPERLINK("https://klasma.github.io/Logging_0862/tillsyn/A 5884-2024 tillsynsbegäran.docx", "A 5884-2024")</f>
        <v/>
      </c>
      <c r="AD43">
        <f>HYPERLINK("https://klasma.github.io/Logging_0862/tillsynsmail/A 5884-2024 tillsynsbegäran mail.docx", "A 5884-2024")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46263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46263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A 30949-2026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46263</v>
      </c>
      <c r="F46" t="inlineStr">
        <is>
          <t>KALMAR LÄN</t>
        </is>
      </c>
      <c r="G46" t="inlineStr">
        <is>
          <t>EMMABODA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dunört</t>
        </is>
      </c>
      <c r="W46">
        <f>HYPERLINK("https://klasma.github.io/Logging_0862/artfynd/A 30949-2026 artfynd.xlsx", "A 30949-2026")</f>
        <v/>
      </c>
      <c r="X46">
        <f>HYPERLINK("https://klasma.github.io/Logging_0862/kartor/A 30949-2026 karta.png", "A 30949-2026")</f>
        <v/>
      </c>
      <c r="Y46">
        <f>HYPERLINK("https://klasma.github.io/Logging_0862/kartor_geotiff/A 30949-2026 georefererad karta.tif", "A 30949-2026")</f>
        <v/>
      </c>
      <c r="AA46">
        <f>HYPERLINK("https://klasma.github.io/Logging_0862/klagomål/A 30949-2026 FSC-klagomål.docx", "A 30949-2026")</f>
        <v/>
      </c>
      <c r="AB46">
        <f>HYPERLINK("https://klasma.github.io/Logging_0862/klagomålsmail/A 30949-2026 FSC-klagomål mail.docx", "A 30949-2026")</f>
        <v/>
      </c>
      <c r="AC46">
        <f>HYPERLINK("https://klasma.github.io/Logging_0862/tillsyn/A 30949-2026 tillsynsbegäran.docx", "A 30949-2026")</f>
        <v/>
      </c>
      <c r="AD46">
        <f>HYPERLINK("https://klasma.github.io/Logging_0862/tillsynsmail/A 30949-2026 tillsynsbegäran mail.docx", "A 30949-2026")</f>
        <v/>
      </c>
    </row>
    <row r="47" ht="15" customHeight="1">
      <c r="A47" t="inlineStr">
        <is>
          <t>A 31024-2026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46263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9</v>
      </c>
      <c r="U47" t="n">
        <v>0</v>
      </c>
      <c r="V47" s="2" t="inlineStr">
        <is>
          <t>Ask</t>
        </is>
      </c>
      <c r="W47">
        <f>HYPERLINK("https://klasma.github.io/Logging_0862/artfynd/A 31024-2026 artfynd.xlsx", "A 31024-2026")</f>
        <v/>
      </c>
      <c r="X47">
        <f>HYPERLINK("https://klasma.github.io/Logging_0862/kartor/A 31024-2026 karta.png", "A 31024-2026")</f>
        <v/>
      </c>
      <c r="Y47">
        <f>HYPERLINK("https://klasma.github.io/Logging_0862/kartor_geotiff/A 31024-2026 georefererad karta.tif", "A 31024-2026")</f>
        <v/>
      </c>
      <c r="AA47">
        <f>HYPERLINK("https://klasma.github.io/Logging_0862/klagomål/A 31024-2026 FSC-klagomål.docx", "A 31024-2026")</f>
        <v/>
      </c>
      <c r="AB47">
        <f>HYPERLINK("https://klasma.github.io/Logging_0862/klagomålsmail/A 31024-2026 FSC-klagomål mail.docx", "A 31024-2026")</f>
        <v/>
      </c>
      <c r="AC47">
        <f>HYPERLINK("https://klasma.github.io/Logging_0862/tillsyn/A 31024-2026 tillsynsbegäran.docx", "A 31024-2026")</f>
        <v/>
      </c>
      <c r="AD47">
        <f>HYPERLINK("https://klasma.github.io/Logging_0862/tillsynsmail/A 31024-2026 tillsynsbegäran mail.docx", "A 31024-2026")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46263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46263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46263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46263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46263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46263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46263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46263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46263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46263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46263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46263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46263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46263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46263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46263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46263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46263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46263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46263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46263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46263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46263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46263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46263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46263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46263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46263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46263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46263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46263</v>
      </c>
      <c r="F78" t="inlineStr">
        <is>
          <t>KALMAR LÄN</t>
        </is>
      </c>
      <c r="G78" t="inlineStr">
        <is>
          <t>EMMABODA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46263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46263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46263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46263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46263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46263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46263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46263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46263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46263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46263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46263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46263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46263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46263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46263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46263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46263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46263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46263</v>
      </c>
      <c r="F98" t="inlineStr">
        <is>
          <t>KALMAR LÄN</t>
        </is>
      </c>
      <c r="G98" t="inlineStr">
        <is>
          <t>EMMABODA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46263</v>
      </c>
      <c r="F99" t="inlineStr">
        <is>
          <t>KALMAR LÄN</t>
        </is>
      </c>
      <c r="G99" t="inlineStr">
        <is>
          <t>EMMABODA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46263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46263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46263</v>
      </c>
      <c r="F102" t="inlineStr">
        <is>
          <t>KALMAR LÄN</t>
        </is>
      </c>
      <c r="G102" t="inlineStr">
        <is>
          <t>EMMABODA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46263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46263</v>
      </c>
      <c r="F104" t="inlineStr">
        <is>
          <t>KALMAR LÄN</t>
        </is>
      </c>
      <c r="G104" t="inlineStr">
        <is>
          <t>EMMABODA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46263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46263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46263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46263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46263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46263</v>
      </c>
      <c r="F110" t="inlineStr">
        <is>
          <t>KALMAR LÄN</t>
        </is>
      </c>
      <c r="G110" t="inlineStr">
        <is>
          <t>EMMABODA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46263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46263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46263</v>
      </c>
      <c r="F113" t="inlineStr">
        <is>
          <t>KALMAR LÄN</t>
        </is>
      </c>
      <c r="G113" t="inlineStr">
        <is>
          <t>EMMABODA</t>
        </is>
      </c>
      <c r="H113" t="inlineStr">
        <is>
          <t>Kommuner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44622</v>
      </c>
      <c r="E114" s="1" t="n">
        <v>46263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46263</v>
      </c>
      <c r="F115" t="inlineStr">
        <is>
          <t>KALMAR LÄN</t>
        </is>
      </c>
      <c r="G115" t="inlineStr">
        <is>
          <t>EMMABODA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46263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46263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46263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46263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46263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46263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46263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46263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46263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46263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46263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46263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46263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46263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46263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46263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46263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46263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46263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46263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46263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44788</v>
      </c>
      <c r="E137" s="1" t="n">
        <v>46263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45335</v>
      </c>
      <c r="E138" s="1" t="n">
        <v>46263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46263</v>
      </c>
      <c r="F139" t="inlineStr">
        <is>
          <t>KALMAR LÄN</t>
        </is>
      </c>
      <c r="G139" t="inlineStr">
        <is>
          <t>EMMABODA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46263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44739</v>
      </c>
      <c r="E141" s="1" t="n">
        <v>46263</v>
      </c>
      <c r="F141" t="inlineStr">
        <is>
          <t>KALMAR LÄN</t>
        </is>
      </c>
      <c r="G141" t="inlineStr">
        <is>
          <t>EMMABODA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45048</v>
      </c>
      <c r="E142" s="1" t="n">
        <v>46263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46263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46263</v>
      </c>
      <c r="F144" t="inlineStr">
        <is>
          <t>KALMAR LÄN</t>
        </is>
      </c>
      <c r="G144" t="inlineStr">
        <is>
          <t>EMMABODA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45219</v>
      </c>
      <c r="E145" s="1" t="n">
        <v>46263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46263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46263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46263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46263</v>
      </c>
      <c r="F149" t="inlineStr">
        <is>
          <t>KALMAR LÄN</t>
        </is>
      </c>
      <c r="G149" t="inlineStr">
        <is>
          <t>EMMABODA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45719</v>
      </c>
      <c r="E150" s="1" t="n">
        <v>46263</v>
      </c>
      <c r="F150" t="inlineStr">
        <is>
          <t>KALMAR LÄN</t>
        </is>
      </c>
      <c r="G150" t="inlineStr">
        <is>
          <t>EMMABODA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46263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46263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46263</v>
      </c>
      <c r="F153" t="inlineStr">
        <is>
          <t>KALMAR LÄN</t>
        </is>
      </c>
      <c r="G153" t="inlineStr">
        <is>
          <t>EMMABODA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45422</v>
      </c>
      <c r="E154" s="1" t="n">
        <v>46263</v>
      </c>
      <c r="F154" t="inlineStr">
        <is>
          <t>KALMAR LÄN</t>
        </is>
      </c>
      <c r="G154" t="inlineStr">
        <is>
          <t>EMMABODA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46263</v>
      </c>
      <c r="F155" t="inlineStr">
        <is>
          <t>KALMAR LÄN</t>
        </is>
      </c>
      <c r="G155" t="inlineStr">
        <is>
          <t>EMMABODA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46263</v>
      </c>
      <c r="F156" t="inlineStr">
        <is>
          <t>KALMAR LÄN</t>
        </is>
      </c>
      <c r="G156" t="inlineStr">
        <is>
          <t>EMMABODA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46263</v>
      </c>
      <c r="F157" t="inlineStr">
        <is>
          <t>KALMAR LÄN</t>
        </is>
      </c>
      <c r="G157" t="inlineStr">
        <is>
          <t>EMMABODA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46263</v>
      </c>
      <c r="F158" t="inlineStr">
        <is>
          <t>KALMAR LÄN</t>
        </is>
      </c>
      <c r="G158" t="inlineStr">
        <is>
          <t>EMMABODA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46263</v>
      </c>
      <c r="F159" t="inlineStr">
        <is>
          <t>KALMAR LÄN</t>
        </is>
      </c>
      <c r="G159" t="inlineStr">
        <is>
          <t>EMMABODA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46263</v>
      </c>
      <c r="F160" t="inlineStr">
        <is>
          <t>KALMAR LÄN</t>
        </is>
      </c>
      <c r="G160" t="inlineStr">
        <is>
          <t>EMMABODA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46263</v>
      </c>
      <c r="F161" t="inlineStr">
        <is>
          <t>KALMAR LÄN</t>
        </is>
      </c>
      <c r="G161" t="inlineStr">
        <is>
          <t>EMMABODA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45415</v>
      </c>
      <c r="E162" s="1" t="n">
        <v>46263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46263</v>
      </c>
      <c r="F163" t="inlineStr">
        <is>
          <t>KALMAR LÄN</t>
        </is>
      </c>
      <c r="G163" t="inlineStr">
        <is>
          <t>EMMABODA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46263</v>
      </c>
      <c r="F164" t="inlineStr">
        <is>
          <t>KALMAR LÄN</t>
        </is>
      </c>
      <c r="G164" t="inlineStr">
        <is>
          <t>EMMABODA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46263</v>
      </c>
      <c r="F165" t="inlineStr">
        <is>
          <t>KALMAR LÄN</t>
        </is>
      </c>
      <c r="G165" t="inlineStr">
        <is>
          <t>EMMABODA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46263</v>
      </c>
      <c r="F166" t="inlineStr">
        <is>
          <t>KALMAR LÄN</t>
        </is>
      </c>
      <c r="G166" t="inlineStr">
        <is>
          <t>EMMABODA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45445</v>
      </c>
      <c r="E167" s="1" t="n">
        <v>46263</v>
      </c>
      <c r="F167" t="inlineStr">
        <is>
          <t>KALMAR LÄN</t>
        </is>
      </c>
      <c r="G167" t="inlineStr">
        <is>
          <t>EMMABODA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46263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46263</v>
      </c>
      <c r="F169" t="inlineStr">
        <is>
          <t>KALMAR LÄN</t>
        </is>
      </c>
      <c r="G169" t="inlineStr">
        <is>
          <t>EMMABODA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46263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45609</v>
      </c>
      <c r="E171" s="1" t="n">
        <v>46263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46263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46263</v>
      </c>
      <c r="F173" t="inlineStr">
        <is>
          <t>KALMAR LÄN</t>
        </is>
      </c>
      <c r="G173" t="inlineStr">
        <is>
          <t>EMMABODA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46263</v>
      </c>
      <c r="F174" t="inlineStr">
        <is>
          <t>KALMAR LÄN</t>
        </is>
      </c>
      <c r="G174" t="inlineStr">
        <is>
          <t>EMMABODA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46263</v>
      </c>
      <c r="F175" t="inlineStr">
        <is>
          <t>KALMAR LÄN</t>
        </is>
      </c>
      <c r="G175" t="inlineStr">
        <is>
          <t>EMMABODA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45126</v>
      </c>
      <c r="E176" s="1" t="n">
        <v>46263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46263</v>
      </c>
      <c r="F177" t="inlineStr">
        <is>
          <t>KALMAR LÄN</t>
        </is>
      </c>
      <c r="G177" t="inlineStr">
        <is>
          <t>EMMABODA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46263</v>
      </c>
      <c r="F178" t="inlineStr">
        <is>
          <t>KALMAR LÄN</t>
        </is>
      </c>
      <c r="G178" t="inlineStr">
        <is>
          <t>EMMABODA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49066-2021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44453</v>
      </c>
      <c r="E179" s="1" t="n">
        <v>46263</v>
      </c>
      <c r="F179" t="inlineStr">
        <is>
          <t>KALMAR LÄN</t>
        </is>
      </c>
      <c r="G179" t="inlineStr">
        <is>
          <t>EMMABODA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46263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46263</v>
      </c>
      <c r="F181" t="inlineStr">
        <is>
          <t>KALMAR LÄN</t>
        </is>
      </c>
      <c r="G181" t="inlineStr">
        <is>
          <t>EMMABODA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46263</v>
      </c>
      <c r="F182" t="inlineStr">
        <is>
          <t>KALMAR LÄN</t>
        </is>
      </c>
      <c r="G182" t="inlineStr">
        <is>
          <t>EMMABODA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45481</v>
      </c>
      <c r="E183" s="1" t="n">
        <v>46263</v>
      </c>
      <c r="F183" t="inlineStr">
        <is>
          <t>KALMAR LÄN</t>
        </is>
      </c>
      <c r="G183" t="inlineStr">
        <is>
          <t>EMMABODA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45461</v>
      </c>
      <c r="E184" s="1" t="n">
        <v>46263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45749</v>
      </c>
      <c r="E185" s="1" t="n">
        <v>46263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46263</v>
      </c>
      <c r="F186" t="inlineStr">
        <is>
          <t>KALMAR LÄN</t>
        </is>
      </c>
      <c r="G186" t="inlineStr">
        <is>
          <t>EMMABODA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50500-2022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44861</v>
      </c>
      <c r="E187" s="1" t="n">
        <v>46263</v>
      </c>
      <c r="F187" t="inlineStr">
        <is>
          <t>KALMAR LÄN</t>
        </is>
      </c>
      <c r="G187" t="inlineStr">
        <is>
          <t>EMMABODA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46263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46263</v>
      </c>
      <c r="F189" t="inlineStr">
        <is>
          <t>KALMAR LÄN</t>
        </is>
      </c>
      <c r="G189" t="inlineStr">
        <is>
          <t>EMMABODA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46263</v>
      </c>
      <c r="F190" t="inlineStr">
        <is>
          <t>KALMAR LÄN</t>
        </is>
      </c>
      <c r="G190" t="inlineStr">
        <is>
          <t>EMMABODA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54983-2025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45967</v>
      </c>
      <c r="E191" s="1" t="n">
        <v>46263</v>
      </c>
      <c r="F191" t="inlineStr">
        <is>
          <t>KALMAR LÄN</t>
        </is>
      </c>
      <c r="G191" t="inlineStr">
        <is>
          <t>EMMABODA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46263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54982-2025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45967</v>
      </c>
      <c r="E193" s="1" t="n">
        <v>46263</v>
      </c>
      <c r="F193" t="inlineStr">
        <is>
          <t>KALMAR LÄN</t>
        </is>
      </c>
      <c r="G193" t="inlineStr">
        <is>
          <t>EMMABODA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46263</v>
      </c>
      <c r="F194" t="inlineStr">
        <is>
          <t>KALMAR LÄN</t>
        </is>
      </c>
      <c r="G194" t="inlineStr">
        <is>
          <t>EMMABODA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46263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46263</v>
      </c>
      <c r="F196" t="inlineStr">
        <is>
          <t>KALMAR LÄN</t>
        </is>
      </c>
      <c r="G196" t="inlineStr">
        <is>
          <t>EMMABODA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46263</v>
      </c>
      <c r="F197" t="inlineStr">
        <is>
          <t>KALMAR LÄN</t>
        </is>
      </c>
      <c r="G197" t="inlineStr">
        <is>
          <t>EMMABODA</t>
        </is>
      </c>
      <c r="H197" t="inlineStr">
        <is>
          <t>Kommuner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46263</v>
      </c>
      <c r="F198" t="inlineStr">
        <is>
          <t>KALMAR LÄN</t>
        </is>
      </c>
      <c r="G198" t="inlineStr">
        <is>
          <t>EMMABODA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46263</v>
      </c>
      <c r="F199" t="inlineStr">
        <is>
          <t>KALMAR LÄN</t>
        </is>
      </c>
      <c r="G199" t="inlineStr">
        <is>
          <t>EMMABODA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46263</v>
      </c>
      <c r="F200" t="inlineStr">
        <is>
          <t>KALMAR LÄN</t>
        </is>
      </c>
      <c r="G200" t="inlineStr">
        <is>
          <t>EMMABODA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46263</v>
      </c>
      <c r="F201" t="inlineStr">
        <is>
          <t>KALMAR LÄN</t>
        </is>
      </c>
      <c r="G201" t="inlineStr">
        <is>
          <t>EMMABODA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46263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46263</v>
      </c>
      <c r="F203" t="inlineStr">
        <is>
          <t>KALMAR LÄN</t>
        </is>
      </c>
      <c r="G203" t="inlineStr">
        <is>
          <t>EMMABODA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46263</v>
      </c>
      <c r="F204" t="inlineStr">
        <is>
          <t>KALMAR LÄN</t>
        </is>
      </c>
      <c r="G204" t="inlineStr">
        <is>
          <t>EMMABODA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46263</v>
      </c>
      <c r="F205" t="inlineStr">
        <is>
          <t>KALMAR LÄN</t>
        </is>
      </c>
      <c r="G205" t="inlineStr">
        <is>
          <t>EMMABODA</t>
        </is>
      </c>
      <c r="H205" t="inlineStr">
        <is>
          <t>Kommuner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66662-2021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44519</v>
      </c>
      <c r="E206" s="1" t="n">
        <v>46263</v>
      </c>
      <c r="F206" t="inlineStr">
        <is>
          <t>KALMAR LÄN</t>
        </is>
      </c>
      <c r="G206" t="inlineStr">
        <is>
          <t>EMMABODA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68940-2021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46263</v>
      </c>
      <c r="F207" t="inlineStr">
        <is>
          <t>KALMAR LÄN</t>
        </is>
      </c>
      <c r="G207" t="inlineStr">
        <is>
          <t>EMMABODA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46263</v>
      </c>
      <c r="F208" t="inlineStr">
        <is>
          <t>KALMAR LÄN</t>
        </is>
      </c>
      <c r="G208" t="inlineStr">
        <is>
          <t>EMMABODA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46263</v>
      </c>
      <c r="F209" t="inlineStr">
        <is>
          <t>KALMAR LÄN</t>
        </is>
      </c>
      <c r="G209" t="inlineStr">
        <is>
          <t>EMMABODA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46263</v>
      </c>
      <c r="F210" t="inlineStr">
        <is>
          <t>KALMAR LÄN</t>
        </is>
      </c>
      <c r="G210" t="inlineStr">
        <is>
          <t>EMMABODA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46263</v>
      </c>
      <c r="F211" t="inlineStr">
        <is>
          <t>KALMAR LÄN</t>
        </is>
      </c>
      <c r="G211" t="inlineStr">
        <is>
          <t>EMMABODA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46263</v>
      </c>
      <c r="F212" t="inlineStr">
        <is>
          <t>KALMAR LÄN</t>
        </is>
      </c>
      <c r="G212" t="inlineStr">
        <is>
          <t>EMMABODA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73058-2021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44550</v>
      </c>
      <c r="E213" s="1" t="n">
        <v>46263</v>
      </c>
      <c r="F213" t="inlineStr">
        <is>
          <t>KALMAR LÄN</t>
        </is>
      </c>
      <c r="G213" t="inlineStr">
        <is>
          <t>EMMABODA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46263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46263</v>
      </c>
      <c r="F215" t="inlineStr">
        <is>
          <t>KALMAR LÄN</t>
        </is>
      </c>
      <c r="G215" t="inlineStr">
        <is>
          <t>EMMABODA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45921</v>
      </c>
      <c r="E216" s="1" t="n">
        <v>46263</v>
      </c>
      <c r="F216" t="inlineStr">
        <is>
          <t>KALMAR LÄN</t>
        </is>
      </c>
      <c r="G216" t="inlineStr">
        <is>
          <t>EMMABODA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46263</v>
      </c>
      <c r="F217" t="inlineStr">
        <is>
          <t>KALMAR LÄN</t>
        </is>
      </c>
      <c r="G217" t="inlineStr">
        <is>
          <t>EMMABODA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57916-2022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46263</v>
      </c>
      <c r="F218" t="inlineStr">
        <is>
          <t>KALMAR LÄN</t>
        </is>
      </c>
      <c r="G218" t="inlineStr">
        <is>
          <t>EMMABODA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46263</v>
      </c>
      <c r="F219" t="inlineStr">
        <is>
          <t>KALMAR LÄN</t>
        </is>
      </c>
      <c r="G219" t="inlineStr">
        <is>
          <t>EMMABODA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45537</v>
      </c>
      <c r="E220" s="1" t="n">
        <v>46263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45537</v>
      </c>
      <c r="E221" s="1" t="n">
        <v>46263</v>
      </c>
      <c r="F221" t="inlineStr">
        <is>
          <t>KALMAR LÄN</t>
        </is>
      </c>
      <c r="G221" t="inlineStr">
        <is>
          <t>EMMABODA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46263</v>
      </c>
      <c r="F222" t="inlineStr">
        <is>
          <t>KALMAR LÄN</t>
        </is>
      </c>
      <c r="G222" t="inlineStr">
        <is>
          <t>EMMABODA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8397-2023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44977</v>
      </c>
      <c r="E223" s="1" t="n">
        <v>46263</v>
      </c>
      <c r="F223" t="inlineStr">
        <is>
          <t>KALMAR LÄN</t>
        </is>
      </c>
      <c r="G223" t="inlineStr">
        <is>
          <t>EMMABODA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46263</v>
      </c>
      <c r="F224" t="inlineStr">
        <is>
          <t>KALMAR LÄN</t>
        </is>
      </c>
      <c r="G224" t="inlineStr">
        <is>
          <t>EMMABODA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46263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46263</v>
      </c>
      <c r="F226" t="inlineStr">
        <is>
          <t>KALMAR LÄN</t>
        </is>
      </c>
      <c r="G226" t="inlineStr">
        <is>
          <t>EMMABODA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46263</v>
      </c>
      <c r="F227" t="inlineStr">
        <is>
          <t>KALMAR LÄN</t>
        </is>
      </c>
      <c r="G227" t="inlineStr">
        <is>
          <t>EMMABODA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46263</v>
      </c>
      <c r="F228" t="inlineStr">
        <is>
          <t>KALMAR LÄN</t>
        </is>
      </c>
      <c r="G228" t="inlineStr">
        <is>
          <t>EMMABODA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45981</v>
      </c>
      <c r="E229" s="1" t="n">
        <v>46263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46263</v>
      </c>
      <c r="F230" t="inlineStr">
        <is>
          <t>KALMAR LÄN</t>
        </is>
      </c>
      <c r="G230" t="inlineStr">
        <is>
          <t>EMMABODA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45587</v>
      </c>
      <c r="E231" s="1" t="n">
        <v>46263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46263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46263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46263</v>
      </c>
      <c r="F234" t="inlineStr">
        <is>
          <t>KALMAR LÄN</t>
        </is>
      </c>
      <c r="G234" t="inlineStr">
        <is>
          <t>EMMABODA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12014-2023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44995</v>
      </c>
      <c r="E235" s="1" t="n">
        <v>46263</v>
      </c>
      <c r="F235" t="inlineStr">
        <is>
          <t>KALMAR LÄN</t>
        </is>
      </c>
      <c r="G235" t="inlineStr">
        <is>
          <t>EMMABODA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46263</v>
      </c>
      <c r="F236" t="inlineStr">
        <is>
          <t>KALMAR LÄN</t>
        </is>
      </c>
      <c r="G236" t="inlineStr">
        <is>
          <t>EMMABODA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44897</v>
      </c>
      <c r="E237" s="1" t="n">
        <v>46263</v>
      </c>
      <c r="F237" t="inlineStr">
        <is>
          <t>KALMAR LÄN</t>
        </is>
      </c>
      <c r="G237" t="inlineStr">
        <is>
          <t>EMMABODA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46263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46263</v>
      </c>
      <c r="F239" t="inlineStr">
        <is>
          <t>KALMAR LÄN</t>
        </is>
      </c>
      <c r="G239" t="inlineStr">
        <is>
          <t>EMMABODA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46263</v>
      </c>
      <c r="F240" t="inlineStr">
        <is>
          <t>KALMAR LÄN</t>
        </is>
      </c>
      <c r="G240" t="inlineStr">
        <is>
          <t>EMMABODA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46263</v>
      </c>
      <c r="F241" t="inlineStr">
        <is>
          <t>KALMAR LÄN</t>
        </is>
      </c>
      <c r="G241" t="inlineStr">
        <is>
          <t>EMMABODA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46263</v>
      </c>
      <c r="F242" t="inlineStr">
        <is>
          <t>KALMAR LÄN</t>
        </is>
      </c>
      <c r="G242" t="inlineStr">
        <is>
          <t>EMMABODA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46263</v>
      </c>
      <c r="F243" t="inlineStr">
        <is>
          <t>KALMAR LÄN</t>
        </is>
      </c>
      <c r="G243" t="inlineStr">
        <is>
          <t>EMMABODA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46263</v>
      </c>
      <c r="F244" t="inlineStr">
        <is>
          <t>KALMAR LÄN</t>
        </is>
      </c>
      <c r="G244" t="inlineStr">
        <is>
          <t>EMMABODA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46263</v>
      </c>
      <c r="F245" t="inlineStr">
        <is>
          <t>KALMAR LÄN</t>
        </is>
      </c>
      <c r="G245" t="inlineStr">
        <is>
          <t>EMMABODA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46263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45007</v>
      </c>
      <c r="E247" s="1" t="n">
        <v>46263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45400</v>
      </c>
      <c r="E248" s="1" t="n">
        <v>46263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46263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46263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46263</v>
      </c>
      <c r="F251" t="inlineStr">
        <is>
          <t>KALMAR LÄN</t>
        </is>
      </c>
      <c r="G251" t="inlineStr">
        <is>
          <t>EMMABODA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46263</v>
      </c>
      <c r="F252" t="inlineStr">
        <is>
          <t>KALMAR LÄN</t>
        </is>
      </c>
      <c r="G252" t="inlineStr">
        <is>
          <t>EMMABODA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44839</v>
      </c>
      <c r="E253" s="1" t="n">
        <v>46263</v>
      </c>
      <c r="F253" t="inlineStr">
        <is>
          <t>KALMAR LÄN</t>
        </is>
      </c>
      <c r="G253" t="inlineStr">
        <is>
          <t>EMMABODA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44955</v>
      </c>
      <c r="E254" s="1" t="n">
        <v>46263</v>
      </c>
      <c r="F254" t="inlineStr">
        <is>
          <t>KALMAR LÄN</t>
        </is>
      </c>
      <c r="G254" t="inlineStr">
        <is>
          <t>EMMABODA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46263</v>
      </c>
      <c r="F255" t="inlineStr">
        <is>
          <t>KALMAR LÄN</t>
        </is>
      </c>
      <c r="G255" t="inlineStr">
        <is>
          <t>EMMABODA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46263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46263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46263</v>
      </c>
      <c r="F258" t="inlineStr">
        <is>
          <t>KALMAR LÄN</t>
        </is>
      </c>
      <c r="G258" t="inlineStr">
        <is>
          <t>EMMABODA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46263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46263</v>
      </c>
      <c r="F260" t="inlineStr">
        <is>
          <t>KALMAR LÄN</t>
        </is>
      </c>
      <c r="G260" t="inlineStr">
        <is>
          <t>EMMABODA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46263</v>
      </c>
      <c r="F261" t="inlineStr">
        <is>
          <t>KALMAR LÄN</t>
        </is>
      </c>
      <c r="G261" t="inlineStr">
        <is>
          <t>EMMABODA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46263</v>
      </c>
      <c r="F262" t="inlineStr">
        <is>
          <t>KALMAR LÄN</t>
        </is>
      </c>
      <c r="G262" t="inlineStr">
        <is>
          <t>EMMABODA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45706</v>
      </c>
      <c r="E263" s="1" t="n">
        <v>46263</v>
      </c>
      <c r="F263" t="inlineStr">
        <is>
          <t>KALMAR LÄN</t>
        </is>
      </c>
      <c r="G263" t="inlineStr">
        <is>
          <t>EMMABODA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46507-2021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44445</v>
      </c>
      <c r="E264" s="1" t="n">
        <v>46263</v>
      </c>
      <c r="F264" t="inlineStr">
        <is>
          <t>KALMAR LÄN</t>
        </is>
      </c>
      <c r="G264" t="inlineStr">
        <is>
          <t>EMMABODA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46263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46263</v>
      </c>
      <c r="F266" t="inlineStr">
        <is>
          <t>KALMAR LÄN</t>
        </is>
      </c>
      <c r="G266" t="inlineStr">
        <is>
          <t>EMMABODA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46263</v>
      </c>
      <c r="F267" t="inlineStr">
        <is>
          <t>KALMAR LÄN</t>
        </is>
      </c>
      <c r="G267" t="inlineStr">
        <is>
          <t>EMMABODA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46263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46263</v>
      </c>
      <c r="F269" t="inlineStr">
        <is>
          <t>KALMAR LÄN</t>
        </is>
      </c>
      <c r="G269" t="inlineStr">
        <is>
          <t>EMMABODA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46263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46263</v>
      </c>
      <c r="F271" t="inlineStr">
        <is>
          <t>KALMAR LÄN</t>
        </is>
      </c>
      <c r="G271" t="inlineStr">
        <is>
          <t>EMMABODA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46263</v>
      </c>
      <c r="F272" t="inlineStr">
        <is>
          <t>KALMAR LÄN</t>
        </is>
      </c>
      <c r="G272" t="inlineStr">
        <is>
          <t>EMMABODA</t>
        </is>
      </c>
      <c r="H272" t="inlineStr">
        <is>
          <t>Kommuner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44594</v>
      </c>
      <c r="E273" s="1" t="n">
        <v>46263</v>
      </c>
      <c r="F273" t="inlineStr">
        <is>
          <t>KALMAR LÄN</t>
        </is>
      </c>
      <c r="G273" t="inlineStr">
        <is>
          <t>EMMABODA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67543-2021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44524</v>
      </c>
      <c r="E274" s="1" t="n">
        <v>46263</v>
      </c>
      <c r="F274" t="inlineStr">
        <is>
          <t>KALMAR LÄN</t>
        </is>
      </c>
      <c r="G274" t="inlineStr">
        <is>
          <t>EMMABODA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46263</v>
      </c>
      <c r="F275" t="inlineStr">
        <is>
          <t>KALMAR LÄN</t>
        </is>
      </c>
      <c r="G275" t="inlineStr">
        <is>
          <t>EMMABODA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45707</v>
      </c>
      <c r="E276" s="1" t="n">
        <v>46263</v>
      </c>
      <c r="F276" t="inlineStr">
        <is>
          <t>KALMAR LÄN</t>
        </is>
      </c>
      <c r="G276" t="inlineStr">
        <is>
          <t>EMMABODA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46263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44690</v>
      </c>
      <c r="E278" s="1" t="n">
        <v>46263</v>
      </c>
      <c r="F278" t="inlineStr">
        <is>
          <t>KALMAR LÄN</t>
        </is>
      </c>
      <c r="G278" t="inlineStr">
        <is>
          <t>EMMABODA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45021</v>
      </c>
      <c r="E279" s="1" t="n">
        <v>46263</v>
      </c>
      <c r="F279" t="inlineStr">
        <is>
          <t>KALMAR LÄN</t>
        </is>
      </c>
      <c r="G279" t="inlineStr">
        <is>
          <t>EMMABODA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45021</v>
      </c>
      <c r="E280" s="1" t="n">
        <v>46263</v>
      </c>
      <c r="F280" t="inlineStr">
        <is>
          <t>KALMAR LÄN</t>
        </is>
      </c>
      <c r="G280" t="inlineStr">
        <is>
          <t>EMMABODA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46263</v>
      </c>
      <c r="F281" t="inlineStr">
        <is>
          <t>KALMAR LÄN</t>
        </is>
      </c>
      <c r="G281" t="inlineStr">
        <is>
          <t>EMMABODA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46263</v>
      </c>
      <c r="F282" t="inlineStr">
        <is>
          <t>KALMAR LÄN</t>
        </is>
      </c>
      <c r="G282" t="inlineStr">
        <is>
          <t>EMMABODA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46263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46263</v>
      </c>
      <c r="F284" t="inlineStr">
        <is>
          <t>KALMAR LÄN</t>
        </is>
      </c>
      <c r="G284" t="inlineStr">
        <is>
          <t>EMMABODA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46263</v>
      </c>
      <c r="F285" t="inlineStr">
        <is>
          <t>KALMAR LÄN</t>
        </is>
      </c>
      <c r="G285" t="inlineStr">
        <is>
          <t>EMMABODA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45805</v>
      </c>
      <c r="E286" s="1" t="n">
        <v>46263</v>
      </c>
      <c r="F286" t="inlineStr">
        <is>
          <t>KALMAR LÄN</t>
        </is>
      </c>
      <c r="G286" t="inlineStr">
        <is>
          <t>EMMABODA</t>
        </is>
      </c>
      <c r="I286" t="n">
        <v>12.5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44748</v>
      </c>
      <c r="E287" s="1" t="n">
        <v>46263</v>
      </c>
      <c r="F287" t="inlineStr">
        <is>
          <t>KALMAR LÄN</t>
        </is>
      </c>
      <c r="G287" t="inlineStr">
        <is>
          <t>EMMABODA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45621</v>
      </c>
      <c r="E288" s="1" t="n">
        <v>46263</v>
      </c>
      <c r="F288" t="inlineStr">
        <is>
          <t>KALMAR LÄN</t>
        </is>
      </c>
      <c r="G288" t="inlineStr">
        <is>
          <t>EMMABODA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45062</v>
      </c>
      <c r="E289" s="1" t="n">
        <v>46263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34055-2025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45845</v>
      </c>
      <c r="E290" s="1" t="n">
        <v>46263</v>
      </c>
      <c r="F290" t="inlineStr">
        <is>
          <t>KALMAR LÄN</t>
        </is>
      </c>
      <c r="G290" t="inlineStr">
        <is>
          <t>EMMABODA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46263</v>
      </c>
      <c r="F291" t="inlineStr">
        <is>
          <t>KALMAR LÄN</t>
        </is>
      </c>
      <c r="G291" t="inlineStr">
        <is>
          <t>EMMABODA</t>
        </is>
      </c>
      <c r="I291" t="n">
        <v>9.300000000000001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45191</v>
      </c>
      <c r="E292" s="1" t="n">
        <v>46263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45095</v>
      </c>
      <c r="E293" s="1" t="n">
        <v>46263</v>
      </c>
      <c r="F293" t="inlineStr">
        <is>
          <t>KALMAR LÄN</t>
        </is>
      </c>
      <c r="G293" t="inlineStr">
        <is>
          <t>EMMABODA</t>
        </is>
      </c>
      <c r="I293" t="n">
        <v>11.3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31860-2022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44777</v>
      </c>
      <c r="E294" s="1" t="n">
        <v>46263</v>
      </c>
      <c r="F294" t="inlineStr">
        <is>
          <t>KALMAR LÄN</t>
        </is>
      </c>
      <c r="G294" t="inlineStr">
        <is>
          <t>EMMABODA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44960</v>
      </c>
      <c r="E295" s="1" t="n">
        <v>46263</v>
      </c>
      <c r="F295" t="inlineStr">
        <is>
          <t>KALMAR LÄN</t>
        </is>
      </c>
      <c r="G295" t="inlineStr">
        <is>
          <t>EMMABODA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45772</v>
      </c>
      <c r="E296" s="1" t="n">
        <v>46263</v>
      </c>
      <c r="F296" t="inlineStr">
        <is>
          <t>KALMAR LÄN</t>
        </is>
      </c>
      <c r="G296" t="inlineStr">
        <is>
          <t>EMMABODA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45775</v>
      </c>
      <c r="E297" s="1" t="n">
        <v>46263</v>
      </c>
      <c r="F297" t="inlineStr">
        <is>
          <t>KALMAR LÄN</t>
        </is>
      </c>
      <c r="G297" t="inlineStr">
        <is>
          <t>EMMABODA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46263</v>
      </c>
      <c r="F298" t="inlineStr">
        <is>
          <t>KALMAR LÄN</t>
        </is>
      </c>
      <c r="G298" t="inlineStr">
        <is>
          <t>EMMABODA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45849</v>
      </c>
      <c r="E299" s="1" t="n">
        <v>46263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46263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46263</v>
      </c>
      <c r="F301" t="inlineStr">
        <is>
          <t>KALMAR LÄN</t>
        </is>
      </c>
      <c r="G301" t="inlineStr">
        <is>
          <t>EMMABODA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46263</v>
      </c>
      <c r="F302" t="inlineStr">
        <is>
          <t>KALMAR LÄN</t>
        </is>
      </c>
      <c r="G302" t="inlineStr">
        <is>
          <t>EMMABODA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45851</v>
      </c>
      <c r="E303" s="1" t="n">
        <v>46263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45851</v>
      </c>
      <c r="E304" s="1" t="n">
        <v>46263</v>
      </c>
      <c r="F304" t="inlineStr">
        <is>
          <t>KALMAR LÄN</t>
        </is>
      </c>
      <c r="G304" t="inlineStr">
        <is>
          <t>EMMABODA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45422</v>
      </c>
      <c r="E305" s="1" t="n">
        <v>46263</v>
      </c>
      <c r="F305" t="inlineStr">
        <is>
          <t>KALMAR LÄN</t>
        </is>
      </c>
      <c r="G305" t="inlineStr">
        <is>
          <t>EMMABODA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45559</v>
      </c>
      <c r="E306" s="1" t="n">
        <v>46263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46263</v>
      </c>
      <c r="F307" t="inlineStr">
        <is>
          <t>KALMAR LÄN</t>
        </is>
      </c>
      <c r="G307" t="inlineStr">
        <is>
          <t>EMMABODA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45355</v>
      </c>
      <c r="E308" s="1" t="n">
        <v>46263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44700</v>
      </c>
      <c r="E309" s="1" t="n">
        <v>46263</v>
      </c>
      <c r="F309" t="inlineStr">
        <is>
          <t>KALMAR LÄN</t>
        </is>
      </c>
      <c r="G309" t="inlineStr">
        <is>
          <t>EMMABODA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46263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35592-2025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45857</v>
      </c>
      <c r="E311" s="1" t="n">
        <v>46263</v>
      </c>
      <c r="F311" t="inlineStr">
        <is>
          <t>KALMAR LÄN</t>
        </is>
      </c>
      <c r="G311" t="inlineStr">
        <is>
          <t>EMMABODA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46263</v>
      </c>
      <c r="F312" t="inlineStr">
        <is>
          <t>KALMAR LÄN</t>
        </is>
      </c>
      <c r="G312" t="inlineStr">
        <is>
          <t>EMMABODA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46263</v>
      </c>
      <c r="F313" t="inlineStr">
        <is>
          <t>KALMAR LÄN</t>
        </is>
      </c>
      <c r="G313" t="inlineStr">
        <is>
          <t>EMMABODA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45750</v>
      </c>
      <c r="E314" s="1" t="n">
        <v>46263</v>
      </c>
      <c r="F314" t="inlineStr">
        <is>
          <t>KALMAR LÄN</t>
        </is>
      </c>
      <c r="G314" t="inlineStr">
        <is>
          <t>EMMABODA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46263</v>
      </c>
      <c r="F315" t="inlineStr">
        <is>
          <t>KALMAR LÄN</t>
        </is>
      </c>
      <c r="G315" t="inlineStr">
        <is>
          <t>EMMABODA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22899-2025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46263</v>
      </c>
      <c r="F316" t="inlineStr">
        <is>
          <t>KALMAR LÄN</t>
        </is>
      </c>
      <c r="G316" t="inlineStr">
        <is>
          <t>EMMABODA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44852</v>
      </c>
      <c r="E317" s="1" t="n">
        <v>46263</v>
      </c>
      <c r="F317" t="inlineStr">
        <is>
          <t>KALMAR LÄN</t>
        </is>
      </c>
      <c r="G317" t="inlineStr">
        <is>
          <t>EMMABODA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46263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46263</v>
      </c>
      <c r="F319" t="inlineStr">
        <is>
          <t>KALMAR LÄN</t>
        </is>
      </c>
      <c r="G319" t="inlineStr">
        <is>
          <t>EMMABODA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46263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45009</v>
      </c>
      <c r="E321" s="1" t="n">
        <v>46263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46263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44922</v>
      </c>
      <c r="E323" s="1" t="n">
        <v>46263</v>
      </c>
      <c r="F323" t="inlineStr">
        <is>
          <t>KALMAR LÄN</t>
        </is>
      </c>
      <c r="G323" t="inlineStr">
        <is>
          <t>EMMABODA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44743</v>
      </c>
      <c r="E324" s="1" t="n">
        <v>46263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45092</v>
      </c>
      <c r="E325" s="1" t="n">
        <v>46263</v>
      </c>
      <c r="F325" t="inlineStr">
        <is>
          <t>KALMAR LÄN</t>
        </is>
      </c>
      <c r="G325" t="inlineStr">
        <is>
          <t>EMMABODA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45229</v>
      </c>
      <c r="E326" s="1" t="n">
        <v>46263</v>
      </c>
      <c r="F326" t="inlineStr">
        <is>
          <t>KALMAR LÄN</t>
        </is>
      </c>
      <c r="G326" t="inlineStr">
        <is>
          <t>EMMABODA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46263</v>
      </c>
      <c r="F327" t="inlineStr">
        <is>
          <t>KALMAR LÄN</t>
        </is>
      </c>
      <c r="G327" t="inlineStr">
        <is>
          <t>EMMABODA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45515</v>
      </c>
      <c r="E328" s="1" t="n">
        <v>46263</v>
      </c>
      <c r="F328" t="inlineStr">
        <is>
          <t>KALMAR LÄN</t>
        </is>
      </c>
      <c r="G328" t="inlineStr">
        <is>
          <t>EMMABODA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46263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54482-2021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44473</v>
      </c>
      <c r="E330" s="1" t="n">
        <v>46263</v>
      </c>
      <c r="F330" t="inlineStr">
        <is>
          <t>KALMAR LÄN</t>
        </is>
      </c>
      <c r="G330" t="inlineStr">
        <is>
          <t>EMMABODA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45079</v>
      </c>
      <c r="E331" s="1" t="n">
        <v>46263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61143-2024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45645</v>
      </c>
      <c r="E332" s="1" t="n">
        <v>46263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53447-2024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45614</v>
      </c>
      <c r="E333" s="1" t="n">
        <v>46263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46263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49726-2024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46263</v>
      </c>
      <c r="F335" t="inlineStr">
        <is>
          <t>KALMAR LÄN</t>
        </is>
      </c>
      <c r="G335" t="inlineStr">
        <is>
          <t>EMMABODA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45102</v>
      </c>
      <c r="E336" s="1" t="n">
        <v>46263</v>
      </c>
      <c r="F336" t="inlineStr">
        <is>
          <t>KALMAR LÄN</t>
        </is>
      </c>
      <c r="G336" t="inlineStr">
        <is>
          <t>EMMABODA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45102</v>
      </c>
      <c r="E337" s="1" t="n">
        <v>46263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25090-2022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44729</v>
      </c>
      <c r="E338" s="1" t="n">
        <v>46263</v>
      </c>
      <c r="F338" t="inlineStr">
        <is>
          <t>KALMAR LÄN</t>
        </is>
      </c>
      <c r="G338" t="inlineStr">
        <is>
          <t>EMMABODA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44781</v>
      </c>
      <c r="E339" s="1" t="n">
        <v>46263</v>
      </c>
      <c r="F339" t="inlineStr">
        <is>
          <t>KALMAR LÄN</t>
        </is>
      </c>
      <c r="G339" t="inlineStr">
        <is>
          <t>EMMABODA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45148</v>
      </c>
      <c r="E340" s="1" t="n">
        <v>46263</v>
      </c>
      <c r="F340" t="inlineStr">
        <is>
          <t>KALMAR LÄN</t>
        </is>
      </c>
      <c r="G340" t="inlineStr">
        <is>
          <t>EMMABODA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46263</v>
      </c>
      <c r="F341" t="inlineStr">
        <is>
          <t>KALMAR LÄN</t>
        </is>
      </c>
      <c r="G341" t="inlineStr">
        <is>
          <t>EMMABODA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44761</v>
      </c>
      <c r="E342" s="1" t="n">
        <v>46263</v>
      </c>
      <c r="F342" t="inlineStr">
        <is>
          <t>KALMAR LÄN</t>
        </is>
      </c>
      <c r="G342" t="inlineStr">
        <is>
          <t>EMMABODA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46263</v>
      </c>
      <c r="F343" t="inlineStr">
        <is>
          <t>KALMAR LÄN</t>
        </is>
      </c>
      <c r="G343" t="inlineStr">
        <is>
          <t>EMMABODA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45742</v>
      </c>
      <c r="E344" s="1" t="n">
        <v>46263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44683</v>
      </c>
      <c r="E345" s="1" t="n">
        <v>46263</v>
      </c>
      <c r="F345" t="inlineStr">
        <is>
          <t>KALMAR LÄN</t>
        </is>
      </c>
      <c r="G345" t="inlineStr">
        <is>
          <t>EMMABODA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45445</v>
      </c>
      <c r="E346" s="1" t="n">
        <v>46263</v>
      </c>
      <c r="F346" t="inlineStr">
        <is>
          <t>KALMAR LÄN</t>
        </is>
      </c>
      <c r="G346" t="inlineStr">
        <is>
          <t>EMMABODA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15787-2023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46263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45067</v>
      </c>
      <c r="E348" s="1" t="n">
        <v>46263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45716</v>
      </c>
      <c r="E349" s="1" t="n">
        <v>46263</v>
      </c>
      <c r="F349" t="inlineStr">
        <is>
          <t>KALMAR LÄN</t>
        </is>
      </c>
      <c r="G349" t="inlineStr">
        <is>
          <t>EMMABODA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16236-2023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45028</v>
      </c>
      <c r="E350" s="1" t="n">
        <v>46263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46024</v>
      </c>
      <c r="E351" s="1" t="n">
        <v>46263</v>
      </c>
      <c r="F351" t="inlineStr">
        <is>
          <t>KALMAR LÄN</t>
        </is>
      </c>
      <c r="G351" t="inlineStr">
        <is>
          <t>EMMABODA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46263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46862-2023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45200</v>
      </c>
      <c r="E353" s="1" t="n">
        <v>46263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46263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66333-2021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44518</v>
      </c>
      <c r="E355" s="1" t="n">
        <v>46263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46263</v>
      </c>
      <c r="F356" t="inlineStr">
        <is>
          <t>KALMAR LÄN</t>
        </is>
      </c>
      <c r="G356" t="inlineStr">
        <is>
          <t>EMMABODA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46263</v>
      </c>
      <c r="F357" t="inlineStr">
        <is>
          <t>KALMAR LÄN</t>
        </is>
      </c>
      <c r="G357" t="inlineStr">
        <is>
          <t>EMMABODA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46263</v>
      </c>
      <c r="F358" t="inlineStr">
        <is>
          <t>KALMAR LÄN</t>
        </is>
      </c>
      <c r="G358" t="inlineStr">
        <is>
          <t>EMMABODA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46263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18947-2022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44690</v>
      </c>
      <c r="E360" s="1" t="n">
        <v>46263</v>
      </c>
      <c r="F360" t="inlineStr">
        <is>
          <t>KALMAR LÄN</t>
        </is>
      </c>
      <c r="G360" t="inlineStr">
        <is>
          <t>EMMABODA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67538-2021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44524</v>
      </c>
      <c r="E361" s="1" t="n">
        <v>46263</v>
      </c>
      <c r="F361" t="inlineStr">
        <is>
          <t>KALMAR LÄN</t>
        </is>
      </c>
      <c r="G361" t="inlineStr">
        <is>
          <t>EMMABODA</t>
        </is>
      </c>
      <c r="I361" t="n">
        <v>11.6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45415</v>
      </c>
      <c r="E362" s="1" t="n">
        <v>46263</v>
      </c>
      <c r="F362" t="inlineStr">
        <is>
          <t>KALMAR LÄN</t>
        </is>
      </c>
      <c r="G362" t="inlineStr">
        <is>
          <t>EMMABODA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45068</v>
      </c>
      <c r="E363" s="1" t="n">
        <v>46263</v>
      </c>
      <c r="F363" t="inlineStr">
        <is>
          <t>KALMAR LÄN</t>
        </is>
      </c>
      <c r="G363" t="inlineStr">
        <is>
          <t>EMMABODA</t>
        </is>
      </c>
      <c r="H363" t="inlineStr">
        <is>
          <t>Kommuner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45755</v>
      </c>
      <c r="E364" s="1" t="n">
        <v>46263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46263</v>
      </c>
      <c r="F365" t="inlineStr">
        <is>
          <t>KALMAR LÄN</t>
        </is>
      </c>
      <c r="G365" t="inlineStr">
        <is>
          <t>EMMABODA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45772</v>
      </c>
      <c r="E366" s="1" t="n">
        <v>46263</v>
      </c>
      <c r="F366" t="inlineStr">
        <is>
          <t>KALMAR LÄN</t>
        </is>
      </c>
      <c r="G366" t="inlineStr">
        <is>
          <t>EMMABODA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45049</v>
      </c>
      <c r="E367" s="1" t="n">
        <v>46263</v>
      </c>
      <c r="F367" t="inlineStr">
        <is>
          <t>KALMAR LÄN</t>
        </is>
      </c>
      <c r="G367" t="inlineStr">
        <is>
          <t>EMMABODA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46263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46263</v>
      </c>
      <c r="F369" t="inlineStr">
        <is>
          <t>KALMAR LÄN</t>
        </is>
      </c>
      <c r="G369" t="inlineStr">
        <is>
          <t>EMMABODA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45084</v>
      </c>
      <c r="E370" s="1" t="n">
        <v>46263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46263</v>
      </c>
      <c r="F371" t="inlineStr">
        <is>
          <t>KALMAR LÄN</t>
        </is>
      </c>
      <c r="G371" t="inlineStr">
        <is>
          <t>EMMABODA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46263</v>
      </c>
      <c r="F372" t="inlineStr">
        <is>
          <t>KALMAR LÄN</t>
        </is>
      </c>
      <c r="G372" t="inlineStr">
        <is>
          <t>EMMABODA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44593</v>
      </c>
      <c r="E373" s="1" t="n">
        <v>46263</v>
      </c>
      <c r="F373" t="inlineStr">
        <is>
          <t>KALMAR LÄN</t>
        </is>
      </c>
      <c r="G373" t="inlineStr">
        <is>
          <t>EMMABODA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38924-2022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44816</v>
      </c>
      <c r="E374" s="1" t="n">
        <v>46263</v>
      </c>
      <c r="F374" t="inlineStr">
        <is>
          <t>KALMAR LÄN</t>
        </is>
      </c>
      <c r="G374" t="inlineStr">
        <is>
          <t>EMMABODA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7760-2022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44608</v>
      </c>
      <c r="E375" s="1" t="n">
        <v>46263</v>
      </c>
      <c r="F375" t="inlineStr">
        <is>
          <t>KALMAR LÄN</t>
        </is>
      </c>
      <c r="G375" t="inlineStr">
        <is>
          <t>EMMABODA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46263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45349</v>
      </c>
      <c r="E377" s="1" t="n">
        <v>46263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46263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46263</v>
      </c>
      <c r="F379" t="inlineStr">
        <is>
          <t>KALMAR LÄN</t>
        </is>
      </c>
      <c r="G379" t="inlineStr">
        <is>
          <t>EMMABODA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46263</v>
      </c>
      <c r="F380" t="inlineStr">
        <is>
          <t>KALMAR LÄN</t>
        </is>
      </c>
      <c r="G380" t="inlineStr">
        <is>
          <t>EMMABODA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30262-2022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44759</v>
      </c>
      <c r="E381" s="1" t="n">
        <v>46263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46263</v>
      </c>
      <c r="F382" t="inlineStr">
        <is>
          <t>KALMAR LÄN</t>
        </is>
      </c>
      <c r="G382" t="inlineStr">
        <is>
          <t>EMMABODA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46263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46263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33084-2023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45126</v>
      </c>
      <c r="E385" s="1" t="n">
        <v>46263</v>
      </c>
      <c r="F385" t="inlineStr">
        <is>
          <t>KALMAR LÄN</t>
        </is>
      </c>
      <c r="G385" t="inlineStr">
        <is>
          <t>EMMABODA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46263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44959</v>
      </c>
      <c r="E387" s="1" t="n">
        <v>46263</v>
      </c>
      <c r="F387" t="inlineStr">
        <is>
          <t>KALMAR LÄN</t>
        </is>
      </c>
      <c r="G387" t="inlineStr">
        <is>
          <t>EMMABODA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44977</v>
      </c>
      <c r="E388" s="1" t="n">
        <v>46263</v>
      </c>
      <c r="F388" t="inlineStr">
        <is>
          <t>KALMAR LÄN</t>
        </is>
      </c>
      <c r="G388" t="inlineStr">
        <is>
          <t>EMMABODA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45327</v>
      </c>
      <c r="E389" s="1" t="n">
        <v>46263</v>
      </c>
      <c r="F389" t="inlineStr">
        <is>
          <t>KALMAR LÄN</t>
        </is>
      </c>
      <c r="G389" t="inlineStr">
        <is>
          <t>EMMABODA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33067-2023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45126</v>
      </c>
      <c r="E390" s="1" t="n">
        <v>46263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44728</v>
      </c>
      <c r="E391" s="1" t="n">
        <v>46263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45093</v>
      </c>
      <c r="E392" s="1" t="n">
        <v>46263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47149-2022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44852</v>
      </c>
      <c r="E393" s="1" t="n">
        <v>46263</v>
      </c>
      <c r="F393" t="inlineStr">
        <is>
          <t>KALMAR LÄN</t>
        </is>
      </c>
      <c r="G393" t="inlineStr">
        <is>
          <t>EMMABODA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45121</v>
      </c>
      <c r="E394" s="1" t="n">
        <v>46263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45341</v>
      </c>
      <c r="E395" s="1" t="n">
        <v>46263</v>
      </c>
      <c r="F395" t="inlineStr">
        <is>
          <t>KALMAR LÄN</t>
        </is>
      </c>
      <c r="G395" t="inlineStr">
        <is>
          <t>EMMABODA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44953</v>
      </c>
      <c r="E396" s="1" t="n">
        <v>46263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45323</v>
      </c>
      <c r="E397" s="1" t="n">
        <v>46263</v>
      </c>
      <c r="F397" t="inlineStr">
        <is>
          <t>KALMAR LÄN</t>
        </is>
      </c>
      <c r="G397" t="inlineStr">
        <is>
          <t>EMMABODA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44953</v>
      </c>
      <c r="E398" s="1" t="n">
        <v>46263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44572</v>
      </c>
      <c r="E399" s="1" t="n">
        <v>46263</v>
      </c>
      <c r="F399" t="inlineStr">
        <is>
          <t>KALMAR LÄN</t>
        </is>
      </c>
      <c r="G399" t="inlineStr">
        <is>
          <t>EMMABODA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35382-2024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46263</v>
      </c>
      <c r="F400" t="inlineStr">
        <is>
          <t>KALMAR LÄN</t>
        </is>
      </c>
      <c r="G400" t="inlineStr">
        <is>
          <t>EMMABODA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46263</v>
      </c>
      <c r="F401" t="inlineStr">
        <is>
          <t>KALMAR LÄN</t>
        </is>
      </c>
      <c r="G401" t="inlineStr">
        <is>
          <t>EMMABODA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44593</v>
      </c>
      <c r="E402" s="1" t="n">
        <v>46263</v>
      </c>
      <c r="F402" t="inlineStr">
        <is>
          <t>KALMAR LÄN</t>
        </is>
      </c>
      <c r="G402" t="inlineStr">
        <is>
          <t>EMMABODA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46263</v>
      </c>
      <c r="F403" t="inlineStr">
        <is>
          <t>KALMAR LÄN</t>
        </is>
      </c>
      <c r="G403" t="inlineStr">
        <is>
          <t>EMMABODA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46263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45003</v>
      </c>
      <c r="E405" s="1" t="n">
        <v>46263</v>
      </c>
      <c r="F405" t="inlineStr">
        <is>
          <t>KALMAR LÄN</t>
        </is>
      </c>
      <c r="G405" t="inlineStr">
        <is>
          <t>EMMABODA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44984</v>
      </c>
      <c r="E406" s="1" t="n">
        <v>46263</v>
      </c>
      <c r="F406" t="inlineStr">
        <is>
          <t>KALMAR LÄN</t>
        </is>
      </c>
      <c r="G406" t="inlineStr">
        <is>
          <t>EMMABODA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45019</v>
      </c>
      <c r="E407" s="1" t="n">
        <v>46263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46263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46263</v>
      </c>
      <c r="F409" t="inlineStr">
        <is>
          <t>KALMAR LÄN</t>
        </is>
      </c>
      <c r="G409" t="inlineStr">
        <is>
          <t>EMMABODA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44840</v>
      </c>
      <c r="E410" s="1" t="n">
        <v>46263</v>
      </c>
      <c r="F410" t="inlineStr">
        <is>
          <t>KALMAR LÄN</t>
        </is>
      </c>
      <c r="G410" t="inlineStr">
        <is>
          <t>EMMABODA</t>
        </is>
      </c>
      <c r="H410" t="inlineStr">
        <is>
          <t>Övriga Aktiebolag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27746-2024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46263</v>
      </c>
      <c r="F411" t="inlineStr">
        <is>
          <t>KALMAR LÄN</t>
        </is>
      </c>
      <c r="G411" t="inlineStr">
        <is>
          <t>EMMABODA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33606-2023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45132</v>
      </c>
      <c r="E412" s="1" t="n">
        <v>46263</v>
      </c>
      <c r="F412" t="inlineStr">
        <is>
          <t>KALMAR LÄN</t>
        </is>
      </c>
      <c r="G412" t="inlineStr">
        <is>
          <t>EMMABODA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44600</v>
      </c>
      <c r="E413" s="1" t="n">
        <v>46263</v>
      </c>
      <c r="F413" t="inlineStr">
        <is>
          <t>KALMAR LÄN</t>
        </is>
      </c>
      <c r="G413" t="inlineStr">
        <is>
          <t>EMMABODA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46263</v>
      </c>
      <c r="F414" t="inlineStr">
        <is>
          <t>KALMAR LÄN</t>
        </is>
      </c>
      <c r="G414" t="inlineStr">
        <is>
          <t>EMMABODA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46069</v>
      </c>
      <c r="E415" s="1" t="n">
        <v>46263</v>
      </c>
      <c r="F415" t="inlineStr">
        <is>
          <t>KALMAR LÄN</t>
        </is>
      </c>
      <c r="G415" t="inlineStr">
        <is>
          <t>EMMABODA</t>
        </is>
      </c>
      <c r="H415" t="inlineStr">
        <is>
          <t>Kyrkan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46263</v>
      </c>
      <c r="F416" t="inlineStr">
        <is>
          <t>KALMAR LÄN</t>
        </is>
      </c>
      <c r="G416" t="inlineStr">
        <is>
          <t>EMMABODA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44982</v>
      </c>
      <c r="E417" s="1" t="n">
        <v>46263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46263</v>
      </c>
      <c r="F418" t="inlineStr">
        <is>
          <t>KALMAR LÄN</t>
        </is>
      </c>
      <c r="G418" t="inlineStr">
        <is>
          <t>EMMABODA</t>
        </is>
      </c>
      <c r="H418" t="inlineStr">
        <is>
          <t>Kyrkan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46263</v>
      </c>
      <c r="F419" t="inlineStr">
        <is>
          <t>KALMAR LÄN</t>
        </is>
      </c>
      <c r="G419" t="inlineStr">
        <is>
          <t>EMMABODA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46263</v>
      </c>
      <c r="F420" t="inlineStr">
        <is>
          <t>KALMAR LÄN</t>
        </is>
      </c>
      <c r="G420" t="inlineStr">
        <is>
          <t>EMMABODA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46263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44993</v>
      </c>
      <c r="E422" s="1" t="n">
        <v>46263</v>
      </c>
      <c r="F422" t="inlineStr">
        <is>
          <t>KALMAR LÄN</t>
        </is>
      </c>
      <c r="G422" t="inlineStr">
        <is>
          <t>EMMABODA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45433</v>
      </c>
      <c r="E423" s="1" t="n">
        <v>46263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46078</v>
      </c>
      <c r="E424" s="1" t="n">
        <v>46263</v>
      </c>
      <c r="F424" t="inlineStr">
        <is>
          <t>KALMAR LÄN</t>
        </is>
      </c>
      <c r="G424" t="inlineStr">
        <is>
          <t>EMMABODA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46263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46263</v>
      </c>
      <c r="F426" t="inlineStr">
        <is>
          <t>KALMAR LÄN</t>
        </is>
      </c>
      <c r="G426" t="inlineStr">
        <is>
          <t>EMMABODA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46263</v>
      </c>
      <c r="F427" t="inlineStr">
        <is>
          <t>KALMAR LÄN</t>
        </is>
      </c>
      <c r="G427" t="inlineStr">
        <is>
          <t>EMMABODA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46263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46263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11820-2026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46263</v>
      </c>
      <c r="F430" t="inlineStr">
        <is>
          <t>KALMAR LÄN</t>
        </is>
      </c>
      <c r="G430" t="inlineStr">
        <is>
          <t>EMMABODA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59737-2021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44494</v>
      </c>
      <c r="E431" s="1" t="n">
        <v>46263</v>
      </c>
      <c r="F431" t="inlineStr">
        <is>
          <t>KALMAR LÄN</t>
        </is>
      </c>
      <c r="G431" t="inlineStr">
        <is>
          <t>EMMABODA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41366-2024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45559</v>
      </c>
      <c r="E432" s="1" t="n">
        <v>46263</v>
      </c>
      <c r="F432" t="inlineStr">
        <is>
          <t>KALMAR LÄN</t>
        </is>
      </c>
      <c r="G432" t="inlineStr">
        <is>
          <t>EMMABODA</t>
        </is>
      </c>
      <c r="H432" t="inlineStr">
        <is>
          <t>Övriga Aktiebolag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46263</v>
      </c>
      <c r="F433" t="inlineStr">
        <is>
          <t>KALMAR LÄN</t>
        </is>
      </c>
      <c r="G433" t="inlineStr">
        <is>
          <t>EMMABODA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45126</v>
      </c>
      <c r="E434" s="1" t="n">
        <v>46263</v>
      </c>
      <c r="F434" t="inlineStr">
        <is>
          <t>KALMAR LÄN</t>
        </is>
      </c>
      <c r="G434" t="inlineStr">
        <is>
          <t>EMMABODA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46263</v>
      </c>
      <c r="F435" t="inlineStr">
        <is>
          <t>KALMAR LÄN</t>
        </is>
      </c>
      <c r="G435" t="inlineStr">
        <is>
          <t>EMMABODA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45214-2023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46263</v>
      </c>
      <c r="F436" t="inlineStr">
        <is>
          <t>KALMAR LÄN</t>
        </is>
      </c>
      <c r="G436" t="inlineStr">
        <is>
          <t>EMMABODA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45126</v>
      </c>
      <c r="E437" s="1" t="n">
        <v>46263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48233-2023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46263</v>
      </c>
      <c r="F438" t="inlineStr">
        <is>
          <t>KALMAR LÄN</t>
        </is>
      </c>
      <c r="G438" t="inlineStr">
        <is>
          <t>EMMABODA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45167</v>
      </c>
      <c r="E439" s="1" t="n">
        <v>46263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46263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46263</v>
      </c>
      <c r="F441" t="inlineStr">
        <is>
          <t>KALMAR LÄN</t>
        </is>
      </c>
      <c r="G441" t="inlineStr">
        <is>
          <t>EMMABODA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46263</v>
      </c>
      <c r="F442" t="inlineStr">
        <is>
          <t>KALMAR LÄN</t>
        </is>
      </c>
      <c r="G442" t="inlineStr">
        <is>
          <t>EMMABODA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46263</v>
      </c>
      <c r="F443" t="inlineStr">
        <is>
          <t>KALMAR LÄN</t>
        </is>
      </c>
      <c r="G443" t="inlineStr">
        <is>
          <t>EMMABODA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46263</v>
      </c>
      <c r="F444" t="inlineStr">
        <is>
          <t>KALMAR LÄN</t>
        </is>
      </c>
      <c r="G444" t="inlineStr">
        <is>
          <t>EMMABODA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44215-2024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45573</v>
      </c>
      <c r="E445" s="1" t="n">
        <v>46263</v>
      </c>
      <c r="F445" t="inlineStr">
        <is>
          <t>KALMAR LÄN</t>
        </is>
      </c>
      <c r="G445" t="inlineStr">
        <is>
          <t>EMMABODA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45225</v>
      </c>
      <c r="E446" s="1" t="n">
        <v>46263</v>
      </c>
      <c r="F446" t="inlineStr">
        <is>
          <t>KALMAR LÄN</t>
        </is>
      </c>
      <c r="G446" t="inlineStr">
        <is>
          <t>EMMABODA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46263</v>
      </c>
      <c r="F447" t="inlineStr">
        <is>
          <t>KALMAR LÄN</t>
        </is>
      </c>
      <c r="G447" t="inlineStr">
        <is>
          <t>EMMABODA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44783</v>
      </c>
      <c r="E448" s="1" t="n">
        <v>46263</v>
      </c>
      <c r="F448" t="inlineStr">
        <is>
          <t>KALMAR LÄN</t>
        </is>
      </c>
      <c r="G448" t="inlineStr">
        <is>
          <t>EMMABODA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46263</v>
      </c>
      <c r="F449" t="inlineStr">
        <is>
          <t>KALMAR LÄN</t>
        </is>
      </c>
      <c r="G449" t="inlineStr">
        <is>
          <t>EMMABODA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14377-2022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44652</v>
      </c>
      <c r="E450" s="1" t="n">
        <v>46263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46263</v>
      </c>
      <c r="F451" t="inlineStr">
        <is>
          <t>KALMAR LÄN</t>
        </is>
      </c>
      <c r="G451" t="inlineStr">
        <is>
          <t>EMMABODA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46263</v>
      </c>
      <c r="F452" t="inlineStr">
        <is>
          <t>KALMAR LÄN</t>
        </is>
      </c>
      <c r="G452" t="inlineStr">
        <is>
          <t>EMMABODA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45230</v>
      </c>
      <c r="E453" s="1" t="n">
        <v>46263</v>
      </c>
      <c r="F453" t="inlineStr">
        <is>
          <t>KALMAR LÄN</t>
        </is>
      </c>
      <c r="G453" t="inlineStr">
        <is>
          <t>EMMABODA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46263</v>
      </c>
      <c r="F454" t="inlineStr">
        <is>
          <t>KALMAR LÄN</t>
        </is>
      </c>
      <c r="G454" t="inlineStr">
        <is>
          <t>EMMABODA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45232</v>
      </c>
      <c r="E455" s="1" t="n">
        <v>46263</v>
      </c>
      <c r="F455" t="inlineStr">
        <is>
          <t>KALMAR LÄN</t>
        </is>
      </c>
      <c r="G455" t="inlineStr">
        <is>
          <t>EMMABODA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42943-2023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45182</v>
      </c>
      <c r="E456" s="1" t="n">
        <v>46263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46263</v>
      </c>
      <c r="F457" t="inlineStr">
        <is>
          <t>KALMAR LÄN</t>
        </is>
      </c>
      <c r="G457" t="inlineStr">
        <is>
          <t>EMMABODA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20505-2022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44699</v>
      </c>
      <c r="E458" s="1" t="n">
        <v>46263</v>
      </c>
      <c r="F458" t="inlineStr">
        <is>
          <t>KALMAR LÄN</t>
        </is>
      </c>
      <c r="G458" t="inlineStr">
        <is>
          <t>EMMABODA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46263</v>
      </c>
      <c r="F459" t="inlineStr">
        <is>
          <t>KALMAR LÄN</t>
        </is>
      </c>
      <c r="G459" t="inlineStr">
        <is>
          <t>EMMABODA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46263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46263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45531</v>
      </c>
      <c r="E462" s="1" t="n">
        <v>46263</v>
      </c>
      <c r="F462" t="inlineStr">
        <is>
          <t>KALMAR LÄN</t>
        </is>
      </c>
      <c r="G462" t="inlineStr">
        <is>
          <t>EMMABODA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45126</v>
      </c>
      <c r="E463" s="1" t="n">
        <v>46263</v>
      </c>
      <c r="F463" t="inlineStr">
        <is>
          <t>KALMAR LÄN</t>
        </is>
      </c>
      <c r="G463" t="inlineStr">
        <is>
          <t>EMMABODA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45434</v>
      </c>
      <c r="E464" s="1" t="n">
        <v>46263</v>
      </c>
      <c r="F464" t="inlineStr">
        <is>
          <t>KALMAR LÄN</t>
        </is>
      </c>
      <c r="G464" t="inlineStr">
        <is>
          <t>EMMABODA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18437-2026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46127</v>
      </c>
      <c r="E465" s="1" t="n">
        <v>46263</v>
      </c>
      <c r="F465" t="inlineStr">
        <is>
          <t>KALMAR LÄN</t>
        </is>
      </c>
      <c r="G465" t="inlineStr">
        <is>
          <t>EMMABODA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18444-2026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46127</v>
      </c>
      <c r="E466" s="1" t="n">
        <v>46263</v>
      </c>
      <c r="F466" t="inlineStr">
        <is>
          <t>KALMAR LÄN</t>
        </is>
      </c>
      <c r="G466" t="inlineStr">
        <is>
          <t>EMMABODA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46263</v>
      </c>
      <c r="F467" t="inlineStr">
        <is>
          <t>KALMAR LÄN</t>
        </is>
      </c>
      <c r="G467" t="inlineStr">
        <is>
          <t>EMMABODA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44619</v>
      </c>
      <c r="E468" s="1" t="n">
        <v>46263</v>
      </c>
      <c r="F468" t="inlineStr">
        <is>
          <t>KALMAR LÄN</t>
        </is>
      </c>
      <c r="G468" t="inlineStr">
        <is>
          <t>EMMABODA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45408</v>
      </c>
      <c r="E469" s="1" t="n">
        <v>46263</v>
      </c>
      <c r="F469" t="inlineStr">
        <is>
          <t>KALMAR LÄN</t>
        </is>
      </c>
      <c r="G469" t="inlineStr">
        <is>
          <t>EMMABODA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46263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14467-2024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45394</v>
      </c>
      <c r="E471" s="1" t="n">
        <v>46263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46133</v>
      </c>
      <c r="E472" s="1" t="n">
        <v>46263</v>
      </c>
      <c r="F472" t="inlineStr">
        <is>
          <t>KALMAR LÄN</t>
        </is>
      </c>
      <c r="G472" t="inlineStr">
        <is>
          <t>EMMABODA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58640-2024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45632</v>
      </c>
      <c r="E473" s="1" t="n">
        <v>46263</v>
      </c>
      <c r="F473" t="inlineStr">
        <is>
          <t>KALMAR LÄN</t>
        </is>
      </c>
      <c r="G473" t="inlineStr">
        <is>
          <t>EMMABODA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45401</v>
      </c>
      <c r="E474" s="1" t="n">
        <v>46263</v>
      </c>
      <c r="F474" t="inlineStr">
        <is>
          <t>KALMAR LÄN</t>
        </is>
      </c>
      <c r="G474" t="inlineStr">
        <is>
          <t>EMMABODA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44728</v>
      </c>
      <c r="E475" s="1" t="n">
        <v>46263</v>
      </c>
      <c r="F475" t="inlineStr">
        <is>
          <t>KALMAR LÄN</t>
        </is>
      </c>
      <c r="G475" t="inlineStr">
        <is>
          <t>EMMABODA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45551</v>
      </c>
      <c r="E476" s="1" t="n">
        <v>46263</v>
      </c>
      <c r="F476" t="inlineStr">
        <is>
          <t>KALMAR LÄN</t>
        </is>
      </c>
      <c r="G476" t="inlineStr">
        <is>
          <t>EMMABODA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45819</v>
      </c>
      <c r="E477" s="1" t="n">
        <v>46263</v>
      </c>
      <c r="F477" t="inlineStr">
        <is>
          <t>KALMAR LÄN</t>
        </is>
      </c>
      <c r="G477" t="inlineStr">
        <is>
          <t>EMMABODA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45818</v>
      </c>
      <c r="E478" s="1" t="n">
        <v>46263</v>
      </c>
      <c r="F478" t="inlineStr">
        <is>
          <t>KALMAR LÄN</t>
        </is>
      </c>
      <c r="G478" t="inlineStr">
        <is>
          <t>EMMABODA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55815-2025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45972</v>
      </c>
      <c r="E479" s="1" t="n">
        <v>46263</v>
      </c>
      <c r="F479" t="inlineStr">
        <is>
          <t>KALMAR LÄN</t>
        </is>
      </c>
      <c r="G479" t="inlineStr">
        <is>
          <t>EMMABODA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45292-2023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46263</v>
      </c>
      <c r="F480" t="inlineStr">
        <is>
          <t>KALMAR LÄN</t>
        </is>
      </c>
      <c r="G480" t="inlineStr">
        <is>
          <t>EMMABODA</t>
        </is>
      </c>
      <c r="H480" t="inlineStr">
        <is>
          <t>Kyrkan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46263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15292-2024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45400</v>
      </c>
      <c r="E482" s="1" t="n">
        <v>46263</v>
      </c>
      <c r="F482" t="inlineStr">
        <is>
          <t>KALMAR LÄN</t>
        </is>
      </c>
      <c r="G482" t="inlineStr">
        <is>
          <t>EMMABODA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46263</v>
      </c>
      <c r="F483" t="inlineStr">
        <is>
          <t>KALMAR LÄN</t>
        </is>
      </c>
      <c r="G483" t="inlineStr">
        <is>
          <t>EMMABODA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41429-2025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45901</v>
      </c>
      <c r="E484" s="1" t="n">
        <v>46263</v>
      </c>
      <c r="F484" t="inlineStr">
        <is>
          <t>KALMAR LÄN</t>
        </is>
      </c>
      <c r="G484" t="inlineStr">
        <is>
          <t>EMMABODA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46263</v>
      </c>
      <c r="F485" t="inlineStr">
        <is>
          <t>KALMAR LÄN</t>
        </is>
      </c>
      <c r="G485" t="inlineStr">
        <is>
          <t>EMMABODA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46263</v>
      </c>
      <c r="F486" t="inlineStr">
        <is>
          <t>KALMAR LÄN</t>
        </is>
      </c>
      <c r="G486" t="inlineStr">
        <is>
          <t>EMMABODA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46263</v>
      </c>
      <c r="F487" t="inlineStr">
        <is>
          <t>KALMAR LÄN</t>
        </is>
      </c>
      <c r="G487" t="inlineStr">
        <is>
          <t>EMMABODA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45818</v>
      </c>
      <c r="E488" s="1" t="n">
        <v>46263</v>
      </c>
      <c r="F488" t="inlineStr">
        <is>
          <t>KALMAR LÄN</t>
        </is>
      </c>
      <c r="G488" t="inlineStr">
        <is>
          <t>EMMABODA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44993</v>
      </c>
      <c r="E489" s="1" t="n">
        <v>46263</v>
      </c>
      <c r="F489" t="inlineStr">
        <is>
          <t>KALMAR LÄN</t>
        </is>
      </c>
      <c r="G489" t="inlineStr">
        <is>
          <t>EMMABODA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46263</v>
      </c>
      <c r="F490" t="inlineStr">
        <is>
          <t>KALMAR LÄN</t>
        </is>
      </c>
      <c r="G490" t="inlineStr">
        <is>
          <t>EMMABODA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16703-2022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44673</v>
      </c>
      <c r="E491" s="1" t="n">
        <v>46263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45905</v>
      </c>
      <c r="E492" s="1" t="n">
        <v>46263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45164</v>
      </c>
      <c r="E493" s="1" t="n">
        <v>46263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46263</v>
      </c>
      <c r="F494" t="inlineStr">
        <is>
          <t>KALMAR LÄN</t>
        </is>
      </c>
      <c r="G494" t="inlineStr">
        <is>
          <t>EMMABODA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24460-2022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44726</v>
      </c>
      <c r="E495" s="1" t="n">
        <v>46263</v>
      </c>
      <c r="F495" t="inlineStr">
        <is>
          <t>KALMAR LÄN</t>
        </is>
      </c>
      <c r="G495" t="inlineStr">
        <is>
          <t>EMMABODA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36043-2022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44802</v>
      </c>
      <c r="E496" s="1" t="n">
        <v>46263</v>
      </c>
      <c r="F496" t="inlineStr">
        <is>
          <t>KALMAR LÄN</t>
        </is>
      </c>
      <c r="G496" t="inlineStr">
        <is>
          <t>EMMABODA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46263</v>
      </c>
      <c r="F497" t="inlineStr">
        <is>
          <t>KALMAR LÄN</t>
        </is>
      </c>
      <c r="G497" t="inlineStr">
        <is>
          <t>EMMABODA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46263</v>
      </c>
      <c r="F498" t="inlineStr">
        <is>
          <t>KALMAR LÄN</t>
        </is>
      </c>
      <c r="G498" t="inlineStr">
        <is>
          <t>EMMABODA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60143-2023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46263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45735</v>
      </c>
      <c r="E500" s="1" t="n">
        <v>46263</v>
      </c>
      <c r="F500" t="inlineStr">
        <is>
          <t>KALMAR LÄN</t>
        </is>
      </c>
      <c r="G500" t="inlineStr">
        <is>
          <t>EMMABODA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45475</v>
      </c>
      <c r="E501" s="1" t="n">
        <v>46263</v>
      </c>
      <c r="F501" t="inlineStr">
        <is>
          <t>KALMAR LÄN</t>
        </is>
      </c>
      <c r="G501" t="inlineStr">
        <is>
          <t>EMMABODA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45716</v>
      </c>
      <c r="E502" s="1" t="n">
        <v>46263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35522-2022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44799</v>
      </c>
      <c r="E503" s="1" t="n">
        <v>46263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41545-2022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44827</v>
      </c>
      <c r="E504" s="1" t="n">
        <v>46263</v>
      </c>
      <c r="F504" t="inlineStr">
        <is>
          <t>KALMAR LÄN</t>
        </is>
      </c>
      <c r="G504" t="inlineStr">
        <is>
          <t>EMMABODA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45301</v>
      </c>
      <c r="E505" s="1" t="n">
        <v>46263</v>
      </c>
      <c r="F505" t="inlineStr">
        <is>
          <t>KALMAR LÄN</t>
        </is>
      </c>
      <c r="G505" t="inlineStr">
        <is>
          <t>EMMABODA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11616-2025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45727</v>
      </c>
      <c r="E506" s="1" t="n">
        <v>46263</v>
      </c>
      <c r="F506" t="inlineStr">
        <is>
          <t>KALMAR LÄN</t>
        </is>
      </c>
      <c r="G506" t="inlineStr">
        <is>
          <t>EMMABODA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45309</v>
      </c>
      <c r="E507" s="1" t="n">
        <v>46263</v>
      </c>
      <c r="F507" t="inlineStr">
        <is>
          <t>KALMAR LÄN</t>
        </is>
      </c>
      <c r="G507" t="inlineStr">
        <is>
          <t>EMMABODA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45126</v>
      </c>
      <c r="E508" s="1" t="n">
        <v>46263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45307</v>
      </c>
      <c r="E509" s="1" t="n">
        <v>46263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45716</v>
      </c>
      <c r="E510" s="1" t="n">
        <v>46263</v>
      </c>
      <c r="F510" t="inlineStr">
        <is>
          <t>KALMAR LÄN</t>
        </is>
      </c>
      <c r="G510" t="inlineStr">
        <is>
          <t>EMMABODA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46065-2023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46263</v>
      </c>
      <c r="F511" t="inlineStr">
        <is>
          <t>KALMAR LÄN</t>
        </is>
      </c>
      <c r="G511" t="inlineStr">
        <is>
          <t>EMMABODA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45310</v>
      </c>
      <c r="E512" s="1" t="n">
        <v>46263</v>
      </c>
      <c r="F512" t="inlineStr">
        <is>
          <t>KALMAR LÄN</t>
        </is>
      </c>
      <c r="G512" t="inlineStr">
        <is>
          <t>EMMABODA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45524</v>
      </c>
      <c r="E513" s="1" t="n">
        <v>46263</v>
      </c>
      <c r="F513" t="inlineStr">
        <is>
          <t>KALMAR LÄN</t>
        </is>
      </c>
      <c r="G513" t="inlineStr">
        <is>
          <t>EMMABODA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46775-2022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44851</v>
      </c>
      <c r="E514" s="1" t="n">
        <v>46263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45089</v>
      </c>
      <c r="E515" s="1" t="n">
        <v>46263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44893</v>
      </c>
      <c r="E516" s="1" t="n">
        <v>46263</v>
      </c>
      <c r="F516" t="inlineStr">
        <is>
          <t>KALMAR LÄN</t>
        </is>
      </c>
      <c r="G516" t="inlineStr">
        <is>
          <t>EMMABODA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46263</v>
      </c>
      <c r="F517" t="inlineStr">
        <is>
          <t>KALMAR LÄN</t>
        </is>
      </c>
      <c r="G517" t="inlineStr">
        <is>
          <t>EMMABODA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45159</v>
      </c>
      <c r="E518" s="1" t="n">
        <v>46263</v>
      </c>
      <c r="F518" t="inlineStr">
        <is>
          <t>KALMAR LÄN</t>
        </is>
      </c>
      <c r="G518" t="inlineStr">
        <is>
          <t>EMMABODA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44769</v>
      </c>
      <c r="E519" s="1" t="n">
        <v>46263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46263</v>
      </c>
      <c r="F520" t="inlineStr">
        <is>
          <t>KALMAR LÄN</t>
        </is>
      </c>
      <c r="G520" t="inlineStr">
        <is>
          <t>EMMABODA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43746-2023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45187</v>
      </c>
      <c r="E521" s="1" t="n">
        <v>46263</v>
      </c>
      <c r="F521" t="inlineStr">
        <is>
          <t>KALMAR LÄN</t>
        </is>
      </c>
      <c r="G521" t="inlineStr">
        <is>
          <t>EMMABODA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15446-2024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45401</v>
      </c>
      <c r="E522" s="1" t="n">
        <v>46263</v>
      </c>
      <c r="F522" t="inlineStr">
        <is>
          <t>KALMAR LÄN</t>
        </is>
      </c>
      <c r="G522" t="inlineStr">
        <is>
          <t>EMMABODA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46728-2022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44851</v>
      </c>
      <c r="E523" s="1" t="n">
        <v>46263</v>
      </c>
      <c r="F523" t="inlineStr">
        <is>
          <t>KALMAR LÄN</t>
        </is>
      </c>
      <c r="G523" t="inlineStr">
        <is>
          <t>EMMABODA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46263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14079-2024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45392</v>
      </c>
      <c r="E525" s="1" t="n">
        <v>46263</v>
      </c>
      <c r="F525" t="inlineStr">
        <is>
          <t>KALMAR LÄN</t>
        </is>
      </c>
      <c r="G525" t="inlineStr">
        <is>
          <t>EMMABODA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57717-2022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46263</v>
      </c>
      <c r="F526" t="inlineStr">
        <is>
          <t>KALMAR LÄN</t>
        </is>
      </c>
      <c r="G526" t="inlineStr">
        <is>
          <t>EMMABODA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45323</v>
      </c>
      <c r="E527" s="1" t="n">
        <v>46263</v>
      </c>
      <c r="F527" t="inlineStr">
        <is>
          <t>KALMAR LÄN</t>
        </is>
      </c>
      <c r="G527" t="inlineStr">
        <is>
          <t>EMMABODA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58156-2021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44487</v>
      </c>
      <c r="E528" s="1" t="n">
        <v>46263</v>
      </c>
      <c r="F528" t="inlineStr">
        <is>
          <t>KALMAR LÄN</t>
        </is>
      </c>
      <c r="G528" t="inlineStr">
        <is>
          <t>EMMABODA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45323</v>
      </c>
      <c r="E529" s="1" t="n">
        <v>46263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45637</v>
      </c>
      <c r="E530" s="1" t="n">
        <v>46263</v>
      </c>
      <c r="F530" t="inlineStr">
        <is>
          <t>KALMAR LÄN</t>
        </is>
      </c>
      <c r="G530" t="inlineStr">
        <is>
          <t>EMMABODA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45466</v>
      </c>
      <c r="E531" s="1" t="n">
        <v>46263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46263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44488</v>
      </c>
      <c r="E533" s="1" t="n">
        <v>46263</v>
      </c>
      <c r="F533" t="inlineStr">
        <is>
          <t>KALMAR LÄN</t>
        </is>
      </c>
      <c r="G533" t="inlineStr">
        <is>
          <t>EMMABODA</t>
        </is>
      </c>
      <c r="H533" t="inlineStr">
        <is>
          <t>Kommuner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45296</v>
      </c>
      <c r="E534" s="1" t="n">
        <v>46263</v>
      </c>
      <c r="F534" t="inlineStr">
        <is>
          <t>KALMAR LÄN</t>
        </is>
      </c>
      <c r="G534" t="inlineStr">
        <is>
          <t>EMMABODA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56693-2025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45976</v>
      </c>
      <c r="E535" s="1" t="n">
        <v>46263</v>
      </c>
      <c r="F535" t="inlineStr">
        <is>
          <t>KALMAR LÄN</t>
        </is>
      </c>
      <c r="G535" t="inlineStr">
        <is>
          <t>EMMABODA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68947-2021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44530</v>
      </c>
      <c r="E536" s="1" t="n">
        <v>46263</v>
      </c>
      <c r="F536" t="inlineStr">
        <is>
          <t>KALMAR LÄN</t>
        </is>
      </c>
      <c r="G536" t="inlineStr">
        <is>
          <t>EMMABODA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44586</v>
      </c>
      <c r="E537" s="1" t="n">
        <v>46263</v>
      </c>
      <c r="F537" t="inlineStr">
        <is>
          <t>KALMAR LÄN</t>
        </is>
      </c>
      <c r="G537" t="inlineStr">
        <is>
          <t>EMMABODA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20362-2026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46263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47219-2021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44447</v>
      </c>
      <c r="E539" s="1" t="n">
        <v>46263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4387-2022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44589</v>
      </c>
      <c r="E540" s="1" t="n">
        <v>46263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63180-2021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44507</v>
      </c>
      <c r="E541" s="1" t="n">
        <v>46263</v>
      </c>
      <c r="F541" t="inlineStr">
        <is>
          <t>KALMAR LÄN</t>
        </is>
      </c>
      <c r="G541" t="inlineStr">
        <is>
          <t>EMMABODA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44938</v>
      </c>
      <c r="E542" s="1" t="n">
        <v>46263</v>
      </c>
      <c r="F542" t="inlineStr">
        <is>
          <t>KALMAR LÄN</t>
        </is>
      </c>
      <c r="G542" t="inlineStr">
        <is>
          <t>EMMABODA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8974-2023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44979</v>
      </c>
      <c r="E543" s="1" t="n">
        <v>46263</v>
      </c>
      <c r="F543" t="inlineStr">
        <is>
          <t>KALMAR LÄN</t>
        </is>
      </c>
      <c r="G543" t="inlineStr">
        <is>
          <t>EMMABODA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45606</v>
      </c>
      <c r="E544" s="1" t="n">
        <v>46263</v>
      </c>
      <c r="F544" t="inlineStr">
        <is>
          <t>KALMAR LÄN</t>
        </is>
      </c>
      <c r="G544" t="inlineStr">
        <is>
          <t>EMMABODA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45370</v>
      </c>
      <c r="E545" s="1" t="n">
        <v>46263</v>
      </c>
      <c r="F545" t="inlineStr">
        <is>
          <t>KALMAR LÄN</t>
        </is>
      </c>
      <c r="G545" t="inlineStr">
        <is>
          <t>EMMABODA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45091</v>
      </c>
      <c r="E546" s="1" t="n">
        <v>46263</v>
      </c>
      <c r="F546" t="inlineStr">
        <is>
          <t>KALMAR LÄN</t>
        </is>
      </c>
      <c r="G546" t="inlineStr">
        <is>
          <t>EMMABODA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36009-2023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45149</v>
      </c>
      <c r="E547" s="1" t="n">
        <v>46263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45060-2023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45191</v>
      </c>
      <c r="E548" s="1" t="n">
        <v>46263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45155</v>
      </c>
      <c r="E549" s="1" t="n">
        <v>46263</v>
      </c>
      <c r="F549" t="inlineStr">
        <is>
          <t>KALMAR LÄN</t>
        </is>
      </c>
      <c r="G549" t="inlineStr">
        <is>
          <t>EMMABODA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45251</v>
      </c>
      <c r="E550" s="1" t="n">
        <v>46263</v>
      </c>
      <c r="F550" t="inlineStr">
        <is>
          <t>KALMAR LÄN</t>
        </is>
      </c>
      <c r="G550" t="inlineStr">
        <is>
          <t>EMMABODA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44930</v>
      </c>
      <c r="E551" s="1" t="n">
        <v>46263</v>
      </c>
      <c r="F551" t="inlineStr">
        <is>
          <t>KALMAR LÄN</t>
        </is>
      </c>
      <c r="G551" t="inlineStr">
        <is>
          <t>EMMABODA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45181</v>
      </c>
      <c r="E552" s="1" t="n">
        <v>46263</v>
      </c>
      <c r="F552" t="inlineStr">
        <is>
          <t>KALMAR LÄN</t>
        </is>
      </c>
      <c r="G552" t="inlineStr">
        <is>
          <t>EMMABODA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44728</v>
      </c>
      <c r="E553" s="1" t="n">
        <v>46263</v>
      </c>
      <c r="F553" t="inlineStr">
        <is>
          <t>KALMAR LÄN</t>
        </is>
      </c>
      <c r="G553" t="inlineStr">
        <is>
          <t>EMMABODA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45425</v>
      </c>
      <c r="E554" s="1" t="n">
        <v>46263</v>
      </c>
      <c r="F554" t="inlineStr">
        <is>
          <t>KALMAR LÄN</t>
        </is>
      </c>
      <c r="G554" t="inlineStr">
        <is>
          <t>EMMABODA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17525-2023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45036</v>
      </c>
      <c r="E555" s="1" t="n">
        <v>46263</v>
      </c>
      <c r="F555" t="inlineStr">
        <is>
          <t>KALMAR LÄN</t>
        </is>
      </c>
      <c r="G555" t="inlineStr">
        <is>
          <t>EMMABODA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43256-2022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44834</v>
      </c>
      <c r="E556" s="1" t="n">
        <v>46263</v>
      </c>
      <c r="F556" t="inlineStr">
        <is>
          <t>KALMAR LÄN</t>
        </is>
      </c>
      <c r="G556" t="inlineStr">
        <is>
          <t>EMMABODA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45051</v>
      </c>
      <c r="E557" s="1" t="n">
        <v>46263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45051</v>
      </c>
      <c r="E558" s="1" t="n">
        <v>46263</v>
      </c>
      <c r="F558" t="inlineStr">
        <is>
          <t>KALMAR LÄN</t>
        </is>
      </c>
      <c r="G558" t="inlineStr">
        <is>
          <t>EMMABODA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48352-2024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45590</v>
      </c>
      <c r="E559" s="1" t="n">
        <v>46263</v>
      </c>
      <c r="F559" t="inlineStr">
        <is>
          <t>KALMAR LÄN</t>
        </is>
      </c>
      <c r="G559" t="inlineStr">
        <is>
          <t>EMMABODA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37296-2022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44808</v>
      </c>
      <c r="E560" s="1" t="n">
        <v>46263</v>
      </c>
      <c r="F560" t="inlineStr">
        <is>
          <t>KALMAR LÄN</t>
        </is>
      </c>
      <c r="G560" t="inlineStr">
        <is>
          <t>EMMABODA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44944</v>
      </c>
      <c r="E561" s="1" t="n">
        <v>46263</v>
      </c>
      <c r="F561" t="inlineStr">
        <is>
          <t>KALMAR LÄN</t>
        </is>
      </c>
      <c r="G561" t="inlineStr">
        <is>
          <t>EMMABODA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45048</v>
      </c>
      <c r="E562" s="1" t="n">
        <v>46263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58136-2021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44487</v>
      </c>
      <c r="E563" s="1" t="n">
        <v>46263</v>
      </c>
      <c r="F563" t="inlineStr">
        <is>
          <t>KALMAR LÄN</t>
        </is>
      </c>
      <c r="G563" t="inlineStr">
        <is>
          <t>EMMABODA</t>
        </is>
      </c>
      <c r="H563" t="inlineStr">
        <is>
          <t>Kommuner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45514</v>
      </c>
      <c r="E564" s="1" t="n">
        <v>46263</v>
      </c>
      <c r="F564" t="inlineStr">
        <is>
          <t>KALMAR LÄN</t>
        </is>
      </c>
      <c r="G564" t="inlineStr">
        <is>
          <t>EMMABODA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46263</v>
      </c>
      <c r="F565" t="inlineStr">
        <is>
          <t>KALMAR LÄN</t>
        </is>
      </c>
      <c r="G565" t="inlineStr">
        <is>
          <t>EMMABODA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46263</v>
      </c>
      <c r="F566" t="inlineStr">
        <is>
          <t>KALMAR LÄN</t>
        </is>
      </c>
      <c r="G566" t="inlineStr">
        <is>
          <t>EMMABODA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46263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45217</v>
      </c>
      <c r="E568" s="1" t="n">
        <v>46263</v>
      </c>
      <c r="F568" t="inlineStr">
        <is>
          <t>KALMAR LÄN</t>
        </is>
      </c>
      <c r="G568" t="inlineStr">
        <is>
          <t>EMMABODA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45688</v>
      </c>
      <c r="E569" s="1" t="n">
        <v>46263</v>
      </c>
      <c r="F569" t="inlineStr">
        <is>
          <t>KALMAR LÄN</t>
        </is>
      </c>
      <c r="G569" t="inlineStr">
        <is>
          <t>EMMABODA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50467-2021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44455</v>
      </c>
      <c r="E570" s="1" t="n">
        <v>46263</v>
      </c>
      <c r="F570" t="inlineStr">
        <is>
          <t>KALMAR LÄN</t>
        </is>
      </c>
      <c r="G570" t="inlineStr">
        <is>
          <t>EMMABODA</t>
        </is>
      </c>
      <c r="H570" t="inlineStr">
        <is>
          <t>Övriga Aktiebolag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45740</v>
      </c>
      <c r="E571" s="1" t="n">
        <v>46263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46263</v>
      </c>
      <c r="F572" t="inlineStr">
        <is>
          <t>KALMAR LÄN</t>
        </is>
      </c>
      <c r="G572" t="inlineStr">
        <is>
          <t>EMMABODA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45668</v>
      </c>
      <c r="E573" s="1" t="n">
        <v>46263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45349</v>
      </c>
      <c r="E574" s="1" t="n">
        <v>46263</v>
      </c>
      <c r="F574" t="inlineStr">
        <is>
          <t>KALMAR LÄN</t>
        </is>
      </c>
      <c r="G574" t="inlineStr">
        <is>
          <t>EMMABODA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7840-2024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45349</v>
      </c>
      <c r="E575" s="1" t="n">
        <v>46263</v>
      </c>
      <c r="F575" t="inlineStr">
        <is>
          <t>KALMAR LÄN</t>
        </is>
      </c>
      <c r="G575" t="inlineStr">
        <is>
          <t>EMMABODA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45641</v>
      </c>
      <c r="E576" s="1" t="n">
        <v>46263</v>
      </c>
      <c r="F576" t="inlineStr">
        <is>
          <t>KALMAR LÄN</t>
        </is>
      </c>
      <c r="G576" t="inlineStr">
        <is>
          <t>EMMABODA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44791</v>
      </c>
      <c r="E577" s="1" t="n">
        <v>46263</v>
      </c>
      <c r="F577" t="inlineStr">
        <is>
          <t>KALMAR LÄN</t>
        </is>
      </c>
      <c r="G577" t="inlineStr">
        <is>
          <t>EMMABODA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45310</v>
      </c>
      <c r="E578" s="1" t="n">
        <v>46263</v>
      </c>
      <c r="F578" t="inlineStr">
        <is>
          <t>KALMAR LÄN</t>
        </is>
      </c>
      <c r="G578" t="inlineStr">
        <is>
          <t>EMMABODA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61791-2022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44911</v>
      </c>
      <c r="E579" s="1" t="n">
        <v>46263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14415-2024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45394</v>
      </c>
      <c r="E580" s="1" t="n">
        <v>46263</v>
      </c>
      <c r="F580" t="inlineStr">
        <is>
          <t>KALMAR LÄN</t>
        </is>
      </c>
      <c r="G580" t="inlineStr">
        <is>
          <t>EMMABODA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45915</v>
      </c>
      <c r="E581" s="1" t="n">
        <v>46263</v>
      </c>
      <c r="F581" t="inlineStr">
        <is>
          <t>KALMAR LÄN</t>
        </is>
      </c>
      <c r="G581" t="inlineStr">
        <is>
          <t>EMMABODA</t>
        </is>
      </c>
      <c r="H581" t="inlineStr">
        <is>
          <t>Övriga Aktiebolag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44900</v>
      </c>
      <c r="E582" s="1" t="n">
        <v>46263</v>
      </c>
      <c r="F582" t="inlineStr">
        <is>
          <t>KALMAR LÄN</t>
        </is>
      </c>
      <c r="G582" t="inlineStr">
        <is>
          <t>EMMABODA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44432-2023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45189</v>
      </c>
      <c r="E583" s="1" t="n">
        <v>46263</v>
      </c>
      <c r="F583" t="inlineStr">
        <is>
          <t>KALMAR LÄN</t>
        </is>
      </c>
      <c r="G583" t="inlineStr">
        <is>
          <t>EMMABODA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46055</v>
      </c>
      <c r="E584" s="1" t="n">
        <v>46263</v>
      </c>
      <c r="F584" t="inlineStr">
        <is>
          <t>KALMAR LÄN</t>
        </is>
      </c>
      <c r="G584" t="inlineStr">
        <is>
          <t>EMMABODA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45909</v>
      </c>
      <c r="E585" s="1" t="n">
        <v>46263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46263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46263</v>
      </c>
      <c r="F587" t="inlineStr">
        <is>
          <t>KALMAR LÄN</t>
        </is>
      </c>
      <c r="G587" t="inlineStr">
        <is>
          <t>EMMABODA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51649-2024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45606</v>
      </c>
      <c r="E588" s="1" t="n">
        <v>46263</v>
      </c>
      <c r="F588" t="inlineStr">
        <is>
          <t>KALMAR LÄN</t>
        </is>
      </c>
      <c r="G588" t="inlineStr">
        <is>
          <t>EMMABODA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46263</v>
      </c>
      <c r="F589" t="inlineStr">
        <is>
          <t>KALMAR LÄN</t>
        </is>
      </c>
      <c r="G589" t="inlineStr">
        <is>
          <t>EMMABODA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45007</v>
      </c>
      <c r="E590" s="1" t="n">
        <v>46263</v>
      </c>
      <c r="F590" t="inlineStr">
        <is>
          <t>KALMAR LÄN</t>
        </is>
      </c>
      <c r="G590" t="inlineStr">
        <is>
          <t>EMMABODA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45164</v>
      </c>
      <c r="E591" s="1" t="n">
        <v>46263</v>
      </c>
      <c r="F591" t="inlineStr">
        <is>
          <t>KALMAR LÄN</t>
        </is>
      </c>
      <c r="G591" t="inlineStr">
        <is>
          <t>EMMABODA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49626-2023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46263</v>
      </c>
      <c r="F592" t="inlineStr">
        <is>
          <t>KALMAR LÄN</t>
        </is>
      </c>
      <c r="G592" t="inlineStr">
        <is>
          <t>EMMABODA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45126</v>
      </c>
      <c r="E593" s="1" t="n">
        <v>46263</v>
      </c>
      <c r="F593" t="inlineStr">
        <is>
          <t>KALMAR LÄN</t>
        </is>
      </c>
      <c r="G593" t="inlineStr">
        <is>
          <t>EMMABODA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20102-2022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44698</v>
      </c>
      <c r="E594" s="1" t="n">
        <v>46263</v>
      </c>
      <c r="F594" t="inlineStr">
        <is>
          <t>KALMAR LÄN</t>
        </is>
      </c>
      <c r="G594" t="inlineStr">
        <is>
          <t>EMMABODA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45317</v>
      </c>
      <c r="E595" s="1" t="n">
        <v>46263</v>
      </c>
      <c r="F595" t="inlineStr">
        <is>
          <t>KALMAR LÄN</t>
        </is>
      </c>
      <c r="G595" t="inlineStr">
        <is>
          <t>EMMABODA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11636-2024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45373</v>
      </c>
      <c r="E596" s="1" t="n">
        <v>46263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45204</v>
      </c>
      <c r="E597" s="1" t="n">
        <v>46263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45335</v>
      </c>
      <c r="E598" s="1" t="n">
        <v>46263</v>
      </c>
      <c r="F598" t="inlineStr">
        <is>
          <t>KALMAR LÄN</t>
        </is>
      </c>
      <c r="G598" t="inlineStr">
        <is>
          <t>EMMABODA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46263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45273</v>
      </c>
      <c r="E600" s="1" t="n">
        <v>46263</v>
      </c>
      <c r="F600" t="inlineStr">
        <is>
          <t>KALMAR LÄN</t>
        </is>
      </c>
      <c r="G600" t="inlineStr">
        <is>
          <t>EMMABODA</t>
        </is>
      </c>
      <c r="H600" t="inlineStr">
        <is>
          <t>Kommuner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46263</v>
      </c>
      <c r="F601" t="inlineStr">
        <is>
          <t>KALMAR LÄN</t>
        </is>
      </c>
      <c r="G601" t="inlineStr">
        <is>
          <t>EMMABODA</t>
        </is>
      </c>
      <c r="H601" t="inlineStr">
        <is>
          <t>Övriga Aktiebolag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49284-2024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45595</v>
      </c>
      <c r="E602" s="1" t="n">
        <v>46263</v>
      </c>
      <c r="F602" t="inlineStr">
        <is>
          <t>KALMAR LÄN</t>
        </is>
      </c>
      <c r="G602" t="inlineStr">
        <is>
          <t>EMMABODA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19881-2024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45433</v>
      </c>
      <c r="E603" s="1" t="n">
        <v>46263</v>
      </c>
      <c r="F603" t="inlineStr">
        <is>
          <t>KALMAR LÄN</t>
        </is>
      </c>
      <c r="G603" t="inlineStr">
        <is>
          <t>EMMABODA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46263</v>
      </c>
      <c r="F604" t="inlineStr">
        <is>
          <t>KALMAR LÄN</t>
        </is>
      </c>
      <c r="G604" t="inlineStr">
        <is>
          <t>EMMABODA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56691-2025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45976</v>
      </c>
      <c r="E605" s="1" t="n">
        <v>46263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55174-2023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45237</v>
      </c>
      <c r="E606" s="1" t="n">
        <v>46263</v>
      </c>
      <c r="F606" t="inlineStr">
        <is>
          <t>KALMAR LÄN</t>
        </is>
      </c>
      <c r="G606" t="inlineStr">
        <is>
          <t>EMMABODA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69464-2021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44531</v>
      </c>
      <c r="E607" s="1" t="n">
        <v>46263</v>
      </c>
      <c r="F607" t="inlineStr">
        <is>
          <t>KALMAR LÄN</t>
        </is>
      </c>
      <c r="G607" t="inlineStr">
        <is>
          <t>EMMABODA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62733-2021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44504</v>
      </c>
      <c r="E608" s="1" t="n">
        <v>46263</v>
      </c>
      <c r="F608" t="inlineStr">
        <is>
          <t>KALMAR LÄN</t>
        </is>
      </c>
      <c r="G608" t="inlineStr">
        <is>
          <t>EMMABODA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28681-2023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45103</v>
      </c>
      <c r="E609" s="1" t="n">
        <v>46263</v>
      </c>
      <c r="F609" t="inlineStr">
        <is>
          <t>KALMAR LÄN</t>
        </is>
      </c>
      <c r="G609" t="inlineStr">
        <is>
          <t>EMMABODA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27488-2024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45474</v>
      </c>
      <c r="E610" s="1" t="n">
        <v>46263</v>
      </c>
      <c r="F610" t="inlineStr">
        <is>
          <t>KALMAR LÄN</t>
        </is>
      </c>
      <c r="G610" t="inlineStr">
        <is>
          <t>EMMABODA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45341</v>
      </c>
      <c r="E611" s="1" t="n">
        <v>46263</v>
      </c>
      <c r="F611" t="inlineStr">
        <is>
          <t>KALMAR LÄN</t>
        </is>
      </c>
      <c r="G611" t="inlineStr">
        <is>
          <t>EMMABODA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45665</v>
      </c>
      <c r="E612" s="1" t="n">
        <v>46263</v>
      </c>
      <c r="F612" t="inlineStr">
        <is>
          <t>KALMAR LÄN</t>
        </is>
      </c>
      <c r="G612" t="inlineStr">
        <is>
          <t>EMMABODA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46263</v>
      </c>
      <c r="F613" t="inlineStr">
        <is>
          <t>KALMAR LÄN</t>
        </is>
      </c>
      <c r="G613" t="inlineStr">
        <is>
          <t>EMMABODA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45202</v>
      </c>
      <c r="E614" s="1" t="n">
        <v>46263</v>
      </c>
      <c r="F614" t="inlineStr">
        <is>
          <t>KALMAR LÄN</t>
        </is>
      </c>
      <c r="G614" t="inlineStr">
        <is>
          <t>EMMABODA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45281</v>
      </c>
      <c r="E615" s="1" t="n">
        <v>46263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48113-2021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44449</v>
      </c>
      <c r="E616" s="1" t="n">
        <v>46263</v>
      </c>
      <c r="F616" t="inlineStr">
        <is>
          <t>KALMAR LÄN</t>
        </is>
      </c>
      <c r="G616" t="inlineStr">
        <is>
          <t>EMMABODA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37060-2023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45155</v>
      </c>
      <c r="E617" s="1" t="n">
        <v>46263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57791-2022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44897</v>
      </c>
      <c r="E618" s="1" t="n">
        <v>46263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45716</v>
      </c>
      <c r="E619" s="1" t="n">
        <v>46263</v>
      </c>
      <c r="F619" t="inlineStr">
        <is>
          <t>KALMAR LÄN</t>
        </is>
      </c>
      <c r="G619" t="inlineStr">
        <is>
          <t>EMMABODA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45789</v>
      </c>
      <c r="E620" s="1" t="n">
        <v>46263</v>
      </c>
      <c r="F620" t="inlineStr">
        <is>
          <t>KALMAR LÄN</t>
        </is>
      </c>
      <c r="G620" t="inlineStr">
        <is>
          <t>EMMABODA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46263</v>
      </c>
      <c r="F621" t="inlineStr">
        <is>
          <t>KALMAR LÄN</t>
        </is>
      </c>
      <c r="G621" t="inlineStr">
        <is>
          <t>EMMABODA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9262-2026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46263</v>
      </c>
      <c r="F622" t="inlineStr">
        <is>
          <t>KALMAR LÄN</t>
        </is>
      </c>
      <c r="G622" t="inlineStr">
        <is>
          <t>EMMABODA</t>
        </is>
      </c>
      <c r="H622" t="inlineStr">
        <is>
          <t>Kyrkan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66658-2021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44519</v>
      </c>
      <c r="E623" s="1" t="n">
        <v>46263</v>
      </c>
      <c r="F623" t="inlineStr">
        <is>
          <t>KALMAR LÄN</t>
        </is>
      </c>
      <c r="G623" t="inlineStr">
        <is>
          <t>EMMABODA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8058-2025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45707</v>
      </c>
      <c r="E624" s="1" t="n">
        <v>46263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46263</v>
      </c>
      <c r="F625" t="inlineStr">
        <is>
          <t>KALMAR LÄN</t>
        </is>
      </c>
      <c r="G625" t="inlineStr">
        <is>
          <t>EMMABODA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41948-2024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45561</v>
      </c>
      <c r="E626" s="1" t="n">
        <v>46263</v>
      </c>
      <c r="F626" t="inlineStr">
        <is>
          <t>KALMAR LÄN</t>
        </is>
      </c>
      <c r="G626" t="inlineStr">
        <is>
          <t>EMMABODA</t>
        </is>
      </c>
      <c r="H626" t="inlineStr">
        <is>
          <t>Övriga Aktiebolag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22837-2026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46263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8971-2023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44979</v>
      </c>
      <c r="E628" s="1" t="n">
        <v>46263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39521-2024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45551</v>
      </c>
      <c r="E629" s="1" t="n">
        <v>46263</v>
      </c>
      <c r="F629" t="inlineStr">
        <is>
          <t>KALMAR LÄN</t>
        </is>
      </c>
      <c r="G629" t="inlineStr">
        <is>
          <t>EMMABODA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33980-2024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45523</v>
      </c>
      <c r="E630" s="1" t="n">
        <v>46263</v>
      </c>
      <c r="F630" t="inlineStr">
        <is>
          <t>KALMAR LÄN</t>
        </is>
      </c>
      <c r="G630" t="inlineStr">
        <is>
          <t>EMMABODA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49953-2023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45215</v>
      </c>
      <c r="E631" s="1" t="n">
        <v>46263</v>
      </c>
      <c r="F631" t="inlineStr">
        <is>
          <t>KALMAR LÄN</t>
        </is>
      </c>
      <c r="G631" t="inlineStr">
        <is>
          <t>EMMABODA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44949</v>
      </c>
      <c r="E632" s="1" t="n">
        <v>46263</v>
      </c>
      <c r="F632" t="inlineStr">
        <is>
          <t>KALMAR LÄN</t>
        </is>
      </c>
      <c r="G632" t="inlineStr">
        <is>
          <t>EMMABODA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45684</v>
      </c>
      <c r="E633" s="1" t="n">
        <v>46263</v>
      </c>
      <c r="F633" t="inlineStr">
        <is>
          <t>KALMAR LÄN</t>
        </is>
      </c>
      <c r="G633" t="inlineStr">
        <is>
          <t>EMMABODA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56254-2024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46263</v>
      </c>
      <c r="F634" t="inlineStr">
        <is>
          <t>KALMAR LÄN</t>
        </is>
      </c>
      <c r="G634" t="inlineStr">
        <is>
          <t>EMMABODA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46263</v>
      </c>
      <c r="F635" t="inlineStr">
        <is>
          <t>KALMAR LÄN</t>
        </is>
      </c>
      <c r="G635" t="inlineStr">
        <is>
          <t>EMMABODA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46263</v>
      </c>
      <c r="F636" t="inlineStr">
        <is>
          <t>KALMAR LÄN</t>
        </is>
      </c>
      <c r="G636" t="inlineStr">
        <is>
          <t>EMMABODA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22845-2026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46160</v>
      </c>
      <c r="E637" s="1" t="n">
        <v>46263</v>
      </c>
      <c r="F637" t="inlineStr">
        <is>
          <t>KALMAR LÄN</t>
        </is>
      </c>
      <c r="G637" t="inlineStr">
        <is>
          <t>EMMABODA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22841-2026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46160</v>
      </c>
      <c r="E638" s="1" t="n">
        <v>46263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46263</v>
      </c>
      <c r="F639" t="inlineStr">
        <is>
          <t>KALMAR LÄN</t>
        </is>
      </c>
      <c r="G639" t="inlineStr">
        <is>
          <t>EMMABODA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41734-2025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45902</v>
      </c>
      <c r="E640" s="1" t="n">
        <v>46263</v>
      </c>
      <c r="F640" t="inlineStr">
        <is>
          <t>KALMAR LÄN</t>
        </is>
      </c>
      <c r="G640" t="inlineStr">
        <is>
          <t>EMMABODA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46263</v>
      </c>
      <c r="F641" t="inlineStr">
        <is>
          <t>KALMAR LÄN</t>
        </is>
      </c>
      <c r="G641" t="inlineStr">
        <is>
          <t>EMMABODA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46263</v>
      </c>
      <c r="F642" t="inlineStr">
        <is>
          <t>KALMAR LÄN</t>
        </is>
      </c>
      <c r="G642" t="inlineStr">
        <is>
          <t>EMMABODA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24329-2026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46263</v>
      </c>
      <c r="F643" t="inlineStr">
        <is>
          <t>KALMAR LÄN</t>
        </is>
      </c>
      <c r="G643" t="inlineStr">
        <is>
          <t>EMMABODA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45706-2025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45923</v>
      </c>
      <c r="E644" s="1" t="n">
        <v>46263</v>
      </c>
      <c r="F644" t="inlineStr">
        <is>
          <t>KALMAR LÄN</t>
        </is>
      </c>
      <c r="G644" t="inlineStr">
        <is>
          <t>EMMABODA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26502-2026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46183</v>
      </c>
      <c r="E645" s="1" t="n">
        <v>46263</v>
      </c>
      <c r="F645" t="inlineStr">
        <is>
          <t>KALMAR LÄN</t>
        </is>
      </c>
      <c r="G645" t="inlineStr">
        <is>
          <t>EMMABODA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46182</v>
      </c>
      <c r="E646" s="1" t="n">
        <v>46263</v>
      </c>
      <c r="F646" t="inlineStr">
        <is>
          <t>KALMAR LÄN</t>
        </is>
      </c>
      <c r="G646" t="inlineStr">
        <is>
          <t>EMMABODA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46263</v>
      </c>
      <c r="F647" t="inlineStr">
        <is>
          <t>KALMAR LÄN</t>
        </is>
      </c>
      <c r="G647" t="inlineStr">
        <is>
          <t>EMMABODA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46263</v>
      </c>
      <c r="F648" t="inlineStr">
        <is>
          <t>KALMAR LÄN</t>
        </is>
      </c>
      <c r="G648" t="inlineStr">
        <is>
          <t>EMMABODA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46263</v>
      </c>
      <c r="F649" t="inlineStr">
        <is>
          <t>KALMAR LÄN</t>
        </is>
      </c>
      <c r="G649" t="inlineStr">
        <is>
          <t>EMMABODA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46263</v>
      </c>
      <c r="F650" t="inlineStr">
        <is>
          <t>KALMAR LÄN</t>
        </is>
      </c>
      <c r="G650" t="inlineStr">
        <is>
          <t>EMMABODA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27173-2026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46263</v>
      </c>
      <c r="F651" t="inlineStr">
        <is>
          <t>KALMAR LÄN</t>
        </is>
      </c>
      <c r="G651" t="inlineStr">
        <is>
          <t>EMMABODA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27193-2026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46263</v>
      </c>
      <c r="F652" t="inlineStr">
        <is>
          <t>KALMAR LÄN</t>
        </is>
      </c>
      <c r="G652" t="inlineStr">
        <is>
          <t>EMMABODA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46263</v>
      </c>
      <c r="F653" t="inlineStr">
        <is>
          <t>KALMAR LÄN</t>
        </is>
      </c>
      <c r="G653" t="inlineStr">
        <is>
          <t>EMMABODA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46263</v>
      </c>
      <c r="F654" t="inlineStr">
        <is>
          <t>KALMAR LÄN</t>
        </is>
      </c>
      <c r="G654" t="inlineStr">
        <is>
          <t>EMMABODA</t>
        </is>
      </c>
      <c r="I654" t="n">
        <v>9.1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27133-2026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46188</v>
      </c>
      <c r="E655" s="1" t="n">
        <v>46263</v>
      </c>
      <c r="F655" t="inlineStr">
        <is>
          <t>KALMAR LÄN</t>
        </is>
      </c>
      <c r="G655" t="inlineStr">
        <is>
          <t>EMMABODA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46263</v>
      </c>
      <c r="F656" t="inlineStr">
        <is>
          <t>KALMAR LÄN</t>
        </is>
      </c>
      <c r="G656" t="inlineStr">
        <is>
          <t>EMMABODA</t>
        </is>
      </c>
      <c r="H656" t="inlineStr">
        <is>
          <t>Sveaskog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46120</v>
      </c>
      <c r="E657" s="1" t="n">
        <v>46263</v>
      </c>
      <c r="F657" t="inlineStr">
        <is>
          <t>KALMAR LÄN</t>
        </is>
      </c>
      <c r="G657" t="inlineStr">
        <is>
          <t>EMMABODA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46196</v>
      </c>
      <c r="E658" s="1" t="n">
        <v>46263</v>
      </c>
      <c r="F658" t="inlineStr">
        <is>
          <t>KALMAR LÄN</t>
        </is>
      </c>
      <c r="G658" t="inlineStr">
        <is>
          <t>EMMABODA</t>
        </is>
      </c>
      <c r="H658" t="inlineStr">
        <is>
          <t>Kyrkan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28996-2026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46196</v>
      </c>
      <c r="E659" s="1" t="n">
        <v>46263</v>
      </c>
      <c r="F659" t="inlineStr">
        <is>
          <t>KALMAR LÄN</t>
        </is>
      </c>
      <c r="G659" t="inlineStr">
        <is>
          <t>EMMABODA</t>
        </is>
      </c>
      <c r="H659" t="inlineStr">
        <is>
          <t>Kyrkan</t>
        </is>
      </c>
      <c r="I659" t="n">
        <v>7.5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46263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28441-2026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46263</v>
      </c>
      <c r="F661" t="inlineStr">
        <is>
          <t>KALMAR LÄN</t>
        </is>
      </c>
      <c r="G661" t="inlineStr">
        <is>
          <t>EMMABODA</t>
        </is>
      </c>
      <c r="H661" t="inlineStr">
        <is>
          <t>Sveaskog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46197</v>
      </c>
      <c r="E662" s="1" t="n">
        <v>46263</v>
      </c>
      <c r="F662" t="inlineStr">
        <is>
          <t>KALMAR LÄN</t>
        </is>
      </c>
      <c r="G662" t="inlineStr">
        <is>
          <t>EMMABODA</t>
        </is>
      </c>
      <c r="H662" t="inlineStr">
        <is>
          <t>Sveaskog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63254-2025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46263</v>
      </c>
      <c r="F663" t="inlineStr">
        <is>
          <t>KALMAR LÄN</t>
        </is>
      </c>
      <c r="G663" t="inlineStr">
        <is>
          <t>EMMABODA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46196</v>
      </c>
      <c r="E664" s="1" t="n">
        <v>46263</v>
      </c>
      <c r="F664" t="inlineStr">
        <is>
          <t>KALMAR LÄN</t>
        </is>
      </c>
      <c r="G664" t="inlineStr">
        <is>
          <t>EMMABODA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46263</v>
      </c>
      <c r="F665" t="inlineStr">
        <is>
          <t>KALMAR LÄN</t>
        </is>
      </c>
      <c r="G665" t="inlineStr">
        <is>
          <t>EMMABODA</t>
        </is>
      </c>
      <c r="H665" t="inlineStr">
        <is>
          <t>Sveaskog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46263</v>
      </c>
      <c r="F666" t="inlineStr">
        <is>
          <t>KALMAR LÄN</t>
        </is>
      </c>
      <c r="G666" t="inlineStr">
        <is>
          <t>EMMABODA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46244</v>
      </c>
      <c r="E667" s="1" t="n">
        <v>46263</v>
      </c>
      <c r="F667" t="inlineStr">
        <is>
          <t>KALMAR LÄN</t>
        </is>
      </c>
      <c r="G667" t="inlineStr">
        <is>
          <t>EMMABODA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29293-2026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46202</v>
      </c>
      <c r="E668" s="1" t="n">
        <v>46263</v>
      </c>
      <c r="F668" t="inlineStr">
        <is>
          <t>KALMAR LÄN</t>
        </is>
      </c>
      <c r="G668" t="inlineStr">
        <is>
          <t>EMMABODA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29943-2026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46263</v>
      </c>
      <c r="F669" t="inlineStr">
        <is>
          <t>KALMAR LÄN</t>
        </is>
      </c>
      <c r="G669" t="inlineStr">
        <is>
          <t>EMMABODA</t>
        </is>
      </c>
      <c r="H669" t="inlineStr">
        <is>
          <t>Sveaskog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18424-2026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46263</v>
      </c>
      <c r="F670" t="inlineStr">
        <is>
          <t>KALMAR LÄN</t>
        </is>
      </c>
      <c r="G670" t="inlineStr">
        <is>
          <t>EMMABODA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33759-2026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46251</v>
      </c>
      <c r="E671" s="1" t="n">
        <v>46263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46263</v>
      </c>
      <c r="F672" t="inlineStr">
        <is>
          <t>KALMAR LÄN</t>
        </is>
      </c>
      <c r="G672" t="inlineStr">
        <is>
          <t>EMMABODA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46253</v>
      </c>
      <c r="E673" s="1" t="n">
        <v>46263</v>
      </c>
      <c r="F673" t="inlineStr">
        <is>
          <t>KALMAR LÄN</t>
        </is>
      </c>
      <c r="G673" t="inlineStr">
        <is>
          <t>EMMABODA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46253</v>
      </c>
      <c r="E674" s="1" t="n">
        <v>46263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30882-2026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46263</v>
      </c>
      <c r="F675" t="inlineStr">
        <is>
          <t>KALMAR LÄN</t>
        </is>
      </c>
      <c r="G675" t="inlineStr">
        <is>
          <t>EMMABODA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46212</v>
      </c>
      <c r="E676" s="1" t="n">
        <v>46263</v>
      </c>
      <c r="F676" t="inlineStr">
        <is>
          <t>KALMAR LÄN</t>
        </is>
      </c>
      <c r="G676" t="inlineStr">
        <is>
          <t>EMMABODA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46213</v>
      </c>
      <c r="E677" s="1" t="n">
        <v>46263</v>
      </c>
      <c r="F677" t="inlineStr">
        <is>
          <t>KALMAR LÄN</t>
        </is>
      </c>
      <c r="G677" t="inlineStr">
        <is>
          <t>EMMABODA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46263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27155-2026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46188</v>
      </c>
      <c r="E679" s="1" t="n">
        <v>46263</v>
      </c>
      <c r="F679" t="inlineStr">
        <is>
          <t>KALMAR LÄN</t>
        </is>
      </c>
      <c r="G679" t="inlineStr">
        <is>
          <t>EMMABODA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46263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34904-2026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46263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46259</v>
      </c>
      <c r="E682" s="1" t="n">
        <v>46263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46263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46263</v>
      </c>
      <c r="F684" t="inlineStr">
        <is>
          <t>KALMAR LÄN</t>
        </is>
      </c>
      <c r="G684" t="inlineStr">
        <is>
          <t>EMMABODA</t>
        </is>
      </c>
      <c r="H684" t="inlineStr">
        <is>
          <t>Kyrkan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46263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46263</v>
      </c>
      <c r="F686" t="inlineStr">
        <is>
          <t>KALMAR LÄN</t>
        </is>
      </c>
      <c r="G686" t="inlineStr">
        <is>
          <t>EMMABODA</t>
        </is>
      </c>
      <c r="H686" t="inlineStr">
        <is>
          <t>Kyrkan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34893-2026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46263</v>
      </c>
      <c r="F687" t="inlineStr">
        <is>
          <t>KALMAR LÄN</t>
        </is>
      </c>
      <c r="G687" t="inlineStr">
        <is>
          <t>EMMABODA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34914-2026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46263</v>
      </c>
      <c r="F688" t="inlineStr">
        <is>
          <t>KALMAR LÄN</t>
        </is>
      </c>
      <c r="G688" t="inlineStr">
        <is>
          <t>EMMABODA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19551-2026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46134</v>
      </c>
      <c r="E689" s="1" t="n">
        <v>46263</v>
      </c>
      <c r="F689" t="inlineStr">
        <is>
          <t>KALMAR LÄN</t>
        </is>
      </c>
      <c r="G689" t="inlineStr">
        <is>
          <t>EMMABODA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33160-2026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46245</v>
      </c>
      <c r="E690" s="1" t="n">
        <v>46263</v>
      </c>
      <c r="F690" t="inlineStr">
        <is>
          <t>KALMAR LÄN</t>
        </is>
      </c>
      <c r="G690" t="inlineStr">
        <is>
          <t>EMMABODA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46263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46263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46263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46263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46263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46263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46263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46263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46263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46263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46263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46263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46263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46263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46263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46263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46263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46263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46263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46263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46263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46263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46263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46263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46263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46263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46263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46263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46263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46263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46263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46263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46263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46263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46263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46263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46263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46263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46263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46263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46263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46263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46263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46263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46263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46263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46263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46263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46263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46263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2026-08-29T01:55:16Z</dcterms:created>
  <dcterms:modified xmlns:dcterms="http://purl.org/dc/terms/" xmlns:xsi="http://www.w3.org/2001/XMLSchema-instance" xsi:type="dcterms:W3CDTF">2026-08-29T01:55:17Z</dcterms:modified>
</cp:coreProperties>
</file>