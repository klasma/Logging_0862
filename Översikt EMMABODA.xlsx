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46257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46257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46257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46257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46257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46257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46257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46257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46257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46257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46257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46257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46257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46257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46257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46257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28871-2023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46257</v>
      </c>
      <c r="F23" t="inlineStr">
        <is>
          <t>KALMAR LÄN</t>
        </is>
      </c>
      <c r="G23" t="inlineStr">
        <is>
          <t>EMMABODA</t>
        </is>
      </c>
      <c r="I23" t="n">
        <v>1.7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HYPERLINK("https://klasma.github.io/Logging_0862/artfynd/A 28871-2023 artfynd.xlsx", "A 28871-2023")</f>
        <v/>
      </c>
      <c r="X23">
        <f>HYPERLINK("https://klasma.github.io/Logging_0862/kartor/A 28871-2023 karta.png", "A 28871-2023")</f>
        <v/>
      </c>
      <c r="Y23">
        <f>HYPERLINK("https://klasma.github.io/Logging_0862/kartor_geotiff/A 28871-2023 georefererad karta.tif", "A 28871-2023")</f>
        <v/>
      </c>
      <c r="AA23">
        <f>HYPERLINK("https://klasma.github.io/Logging_0862/klagomål/A 28871-2023 FSC-klagomål.docx", "A 28871-2023")</f>
        <v/>
      </c>
      <c r="AB23">
        <f>HYPERLINK("https://klasma.github.io/Logging_0862/klagomålsmail/A 28871-2023 FSC-klagomål mail.docx", "A 28871-2023")</f>
        <v/>
      </c>
      <c r="AC23">
        <f>HYPERLINK("https://klasma.github.io/Logging_0862/tillsyn/A 28871-2023 tillsynsbegäran.docx", "A 28871-2023")</f>
        <v/>
      </c>
      <c r="AD23">
        <f>HYPERLINK("https://klasma.github.io/Logging_0862/tillsynsmail/A 28871-2023 tillsynsbegäran mail.docx", "A 28871-2023")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46257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46257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46257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46257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6612-2023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44966</v>
      </c>
      <c r="E28" s="1" t="n">
        <v>46257</v>
      </c>
      <c r="F28" t="inlineStr">
        <is>
          <t>KALMAR LÄN</t>
        </is>
      </c>
      <c r="G28" t="inlineStr">
        <is>
          <t>EMMABODA</t>
        </is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HYPERLINK("https://klasma.github.io/Logging_0862/artfynd/A 6612-2023 artfynd.xlsx", "A 6612-2023")</f>
        <v/>
      </c>
      <c r="X28">
        <f>HYPERLINK("https://klasma.github.io/Logging_0862/kartor/A 6612-2023 karta.png", "A 6612-2023")</f>
        <v/>
      </c>
      <c r="Y28">
        <f>HYPERLINK("https://klasma.github.io/Logging_0862/kartor_geotiff/A 6612-2023 georefererad karta.tif", "A 6612-2023")</f>
        <v/>
      </c>
      <c r="AA28">
        <f>HYPERLINK("https://klasma.github.io/Logging_0862/klagomål/A 6612-2023 FSC-klagomål.docx", "A 6612-2023")</f>
        <v/>
      </c>
      <c r="AB28">
        <f>HYPERLINK("https://klasma.github.io/Logging_0862/klagomålsmail/A 6612-2023 FSC-klagomål mail.docx", "A 6612-2023")</f>
        <v/>
      </c>
      <c r="AC28">
        <f>HYPERLINK("https://klasma.github.io/Logging_0862/tillsyn/A 6612-2023 tillsynsbegäran.docx", "A 6612-2023")</f>
        <v/>
      </c>
      <c r="AD28">
        <f>HYPERLINK("https://klasma.github.io/Logging_0862/tillsynsmail/A 6612-2023 tillsynsbegäran mail.docx", "A 6612-2023")</f>
        <v/>
      </c>
    </row>
    <row r="29" ht="15" customHeight="1">
      <c r="A29" t="inlineStr">
        <is>
          <t>A 38119-2023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46257</v>
      </c>
      <c r="F29" t="inlineStr">
        <is>
          <t>KALMAR LÄN</t>
        </is>
      </c>
      <c r="G29" t="inlineStr">
        <is>
          <t>EMMABODA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Åkerkål</t>
        </is>
      </c>
      <c r="W29">
        <f>HYPERLINK("https://klasma.github.io/Logging_0862/artfynd/A 38119-2023 artfynd.xlsx", "A 38119-2023")</f>
        <v/>
      </c>
      <c r="X29">
        <f>HYPERLINK("https://klasma.github.io/Logging_0862/kartor/A 38119-2023 karta.png", "A 38119-2023")</f>
        <v/>
      </c>
      <c r="Y29">
        <f>HYPERLINK("https://klasma.github.io/Logging_0862/kartor_geotiff/A 38119-2023 georefererad karta.tif", "A 38119-2023")</f>
        <v/>
      </c>
      <c r="AA29">
        <f>HYPERLINK("https://klasma.github.io/Logging_0862/klagomål/A 38119-2023 FSC-klagomål.docx", "A 38119-2023")</f>
        <v/>
      </c>
      <c r="AB29">
        <f>HYPERLINK("https://klasma.github.io/Logging_0862/klagomålsmail/A 38119-2023 FSC-klagomål mail.docx", "A 38119-2023")</f>
        <v/>
      </c>
      <c r="AC29">
        <f>HYPERLINK("https://klasma.github.io/Logging_0862/tillsyn/A 38119-2023 tillsynsbegäran.docx", "A 38119-2023")</f>
        <v/>
      </c>
      <c r="AD29">
        <f>HYPERLINK("https://klasma.github.io/Logging_0862/tillsynsmail/A 38119-2023 tillsynsbegäran mail.docx", "A 38119-2023")</f>
        <v/>
      </c>
    </row>
    <row r="30" ht="15" customHeight="1">
      <c r="A30" t="inlineStr">
        <is>
          <t>A 21846-2023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46257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21846-2023 artfynd.xlsx", "A 21846-2023")</f>
        <v/>
      </c>
      <c r="X30">
        <f>HYPERLINK("https://klasma.github.io/Logging_0862/kartor/A 21846-2023 karta.png", "A 21846-2023")</f>
        <v/>
      </c>
      <c r="Y30">
        <f>HYPERLINK("https://klasma.github.io/Logging_0862/kartor_geotiff/A 21846-2023 georefererad karta.tif", "A 21846-2023")</f>
        <v/>
      </c>
      <c r="AA30">
        <f>HYPERLINK("https://klasma.github.io/Logging_0862/klagomål/A 21846-2023 FSC-klagomål.docx", "A 21846-2023")</f>
        <v/>
      </c>
      <c r="AB30">
        <f>HYPERLINK("https://klasma.github.io/Logging_0862/klagomålsmail/A 21846-2023 FSC-klagomål mail.docx", "A 21846-2023")</f>
        <v/>
      </c>
      <c r="AC30">
        <f>HYPERLINK("https://klasma.github.io/Logging_0862/tillsyn/A 21846-2023 tillsynsbegäran.docx", "A 21846-2023")</f>
        <v/>
      </c>
      <c r="AD30">
        <f>HYPERLINK("https://klasma.github.io/Logging_0862/tillsynsmail/A 21846-2023 tillsynsbegäran mail.docx", "A 21846-2023")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46257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9633-2023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46257</v>
      </c>
      <c r="F32" t="inlineStr">
        <is>
          <t>KALMAR LÄN</t>
        </is>
      </c>
      <c r="G32" t="inlineStr">
        <is>
          <t>EMMABODA</t>
        </is>
      </c>
      <c r="I32" t="n">
        <v>3.5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Småjungfrukam</t>
        </is>
      </c>
      <c r="W32">
        <f>HYPERLINK("https://klasma.github.io/Logging_0862/artfynd/A 9633-2023 artfynd.xlsx", "A 9633-2023")</f>
        <v/>
      </c>
      <c r="X32">
        <f>HYPERLINK("https://klasma.github.io/Logging_0862/kartor/A 9633-2023 karta.png", "A 9633-2023")</f>
        <v/>
      </c>
      <c r="Y32">
        <f>HYPERLINK("https://klasma.github.io/Logging_0862/kartor_geotiff/A 9633-2023 georefererad karta.tif", "A 9633-2023")</f>
        <v/>
      </c>
      <c r="AA32">
        <f>HYPERLINK("https://klasma.github.io/Logging_0862/klagomål/A 9633-2023 FSC-klagomål.docx", "A 9633-2023")</f>
        <v/>
      </c>
      <c r="AB32">
        <f>HYPERLINK("https://klasma.github.io/Logging_0862/klagomålsmail/A 9633-2023 FSC-klagomål mail.docx", "A 9633-2023")</f>
        <v/>
      </c>
      <c r="AC32">
        <f>HYPERLINK("https://klasma.github.io/Logging_0862/tillsyn/A 9633-2023 tillsynsbegäran.docx", "A 9633-2023")</f>
        <v/>
      </c>
      <c r="AD32">
        <f>HYPERLINK("https://klasma.github.io/Logging_0862/tillsynsmail/A 9633-2023 tillsynsbegäran mail.docx", "A 9633-2023")</f>
        <v/>
      </c>
    </row>
    <row r="33" ht="15" customHeight="1">
      <c r="A33" t="inlineStr">
        <is>
          <t>A 31226-2022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44771</v>
      </c>
      <c r="E33" s="1" t="n">
        <v>46257</v>
      </c>
      <c r="F33" t="inlineStr">
        <is>
          <t>KALMAR LÄN</t>
        </is>
      </c>
      <c r="G33" t="inlineStr">
        <is>
          <t>EMMABODA</t>
        </is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HYPERLINK("https://klasma.github.io/Logging_0862/artfynd/A 31226-2022 artfynd.xlsx", "A 31226-2022")</f>
        <v/>
      </c>
      <c r="X33">
        <f>HYPERLINK("https://klasma.github.io/Logging_0862/kartor/A 31226-2022 karta.png", "A 31226-2022")</f>
        <v/>
      </c>
      <c r="Y33">
        <f>HYPERLINK("https://klasma.github.io/Logging_0862/kartor_geotiff/A 31226-2022 georefererad karta.tif", "A 31226-2022")</f>
        <v/>
      </c>
      <c r="AA33">
        <f>HYPERLINK("https://klasma.github.io/Logging_0862/klagomål/A 31226-2022 FSC-klagomål.docx", "A 31226-2022")</f>
        <v/>
      </c>
      <c r="AB33">
        <f>HYPERLINK("https://klasma.github.io/Logging_0862/klagomålsmail/A 31226-2022 FSC-klagomål mail.docx", "A 31226-2022")</f>
        <v/>
      </c>
      <c r="AC33">
        <f>HYPERLINK("https://klasma.github.io/Logging_0862/tillsyn/A 31226-2022 tillsynsbegäran.docx", "A 31226-2022")</f>
        <v/>
      </c>
      <c r="AD33">
        <f>HYPERLINK("https://klasma.github.io/Logging_0862/tillsynsmail/A 31226-2022 tillsynsbegäran mail.docx", "A 31226-2022")</f>
        <v/>
      </c>
      <c r="AE33">
        <f>HYPERLINK("https://klasma.github.io/Logging_0862/fåglar/A 31226-2022 prioriterade fågelarter.docx", "A 31226-2022")</f>
        <v/>
      </c>
    </row>
    <row r="34" ht="15" customHeight="1">
      <c r="A34" t="inlineStr">
        <is>
          <t>A 46187-2023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46257</v>
      </c>
      <c r="F34" t="inlineStr">
        <is>
          <t>KALMAR LÄN</t>
        </is>
      </c>
      <c r="G34" t="inlineStr">
        <is>
          <t>EMMABODA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HYPERLINK("https://klasma.github.io/Logging_0862/artfynd/A 46187-2023 artfynd.xlsx", "A 46187-2023")</f>
        <v/>
      </c>
      <c r="X34">
        <f>HYPERLINK("https://klasma.github.io/Logging_0862/kartor/A 46187-2023 karta.png", "A 46187-2023")</f>
        <v/>
      </c>
      <c r="Y34">
        <f>HYPERLINK("https://klasma.github.io/Logging_0862/kartor_geotiff/A 46187-2023 georefererad karta.tif", "A 46187-2023")</f>
        <v/>
      </c>
      <c r="AA34">
        <f>HYPERLINK("https://klasma.github.io/Logging_0862/klagomål/A 46187-2023 FSC-klagomål.docx", "A 46187-2023")</f>
        <v/>
      </c>
      <c r="AB34">
        <f>HYPERLINK("https://klasma.github.io/Logging_0862/klagomålsmail/A 46187-2023 FSC-klagomål mail.docx", "A 46187-2023")</f>
        <v/>
      </c>
      <c r="AC34">
        <f>HYPERLINK("https://klasma.github.io/Logging_0862/tillsyn/A 46187-2023 tillsynsbegäran.docx", "A 46187-2023")</f>
        <v/>
      </c>
      <c r="AD34">
        <f>HYPERLINK("https://klasma.github.io/Logging_0862/tillsynsmail/A 46187-2023 tillsynsbegäran mail.docx", "A 46187-2023")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46257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31261-2026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46257</v>
      </c>
      <c r="F36" t="inlineStr">
        <is>
          <t>KALMAR LÄN</t>
        </is>
      </c>
      <c r="G36" t="inlineStr">
        <is>
          <t>EMMABODA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Stubbspretmossa</t>
        </is>
      </c>
      <c r="W36">
        <f>HYPERLINK("https://klasma.github.io/Logging_0862/artfynd/A 31261-2026 artfynd.xlsx", "A 31261-2026")</f>
        <v/>
      </c>
      <c r="X36">
        <f>HYPERLINK("https://klasma.github.io/Logging_0862/kartor/A 31261-2026 karta.png", "A 31261-2026")</f>
        <v/>
      </c>
      <c r="Y36">
        <f>HYPERLINK("https://klasma.github.io/Logging_0862/kartor_geotiff/A 31261-2026 georefererad karta.tif", "A 31261-2026")</f>
        <v/>
      </c>
      <c r="AA36">
        <f>HYPERLINK("https://klasma.github.io/Logging_0862/klagomål/A 31261-2026 FSC-klagomål.docx", "A 31261-2026")</f>
        <v/>
      </c>
      <c r="AB36">
        <f>HYPERLINK("https://klasma.github.io/Logging_0862/klagomålsmail/A 31261-2026 FSC-klagomål mail.docx", "A 31261-2026")</f>
        <v/>
      </c>
      <c r="AC36">
        <f>HYPERLINK("https://klasma.github.io/Logging_0862/tillsyn/A 31261-2026 tillsynsbegäran.docx", "A 31261-2026")</f>
        <v/>
      </c>
      <c r="AD36">
        <f>HYPERLINK("https://klasma.github.io/Logging_0862/tillsynsmail/A 31261-2026 tillsynsbegäran mail.docx", "A 31261-2026")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46257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29859-2023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46257</v>
      </c>
      <c r="F38" t="inlineStr">
        <is>
          <t>KALMAR LÄN</t>
        </is>
      </c>
      <c r="G38" t="inlineStr">
        <is>
          <t>EMMABODA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HYPERLINK("https://klasma.github.io/Logging_0862/artfynd/A 29859-2023 artfynd.xlsx", "A 29859-2023")</f>
        <v/>
      </c>
      <c r="X38">
        <f>HYPERLINK("https://klasma.github.io/Logging_0862/kartor/A 29859-2023 karta.png", "A 29859-2023")</f>
        <v/>
      </c>
      <c r="Y38">
        <f>HYPERLINK("https://klasma.github.io/Logging_0862/kartor_geotiff/A 29859-2023 georefererad karta.tif", "A 29859-2023")</f>
        <v/>
      </c>
      <c r="AA38">
        <f>HYPERLINK("https://klasma.github.io/Logging_0862/klagomål/A 29859-2023 FSC-klagomål.docx", "A 29859-2023")</f>
        <v/>
      </c>
      <c r="AB38">
        <f>HYPERLINK("https://klasma.github.io/Logging_0862/klagomålsmail/A 29859-2023 FSC-klagomål mail.docx", "A 29859-2023")</f>
        <v/>
      </c>
      <c r="AC38">
        <f>HYPERLINK("https://klasma.github.io/Logging_0862/tillsyn/A 29859-2023 tillsynsbegäran.docx", "A 29859-2023")</f>
        <v/>
      </c>
      <c r="AD38">
        <f>HYPERLINK("https://klasma.github.io/Logging_0862/tillsynsmail/A 29859-2023 tillsynsbegäran mail.docx", "A 29859-2023")</f>
        <v/>
      </c>
      <c r="AE38">
        <f>HYPERLINK("https://klasma.github.io/Logging_0862/fåglar/A 29859-2023 prioriterade fågelarter.docx", "A 29859-2023")</f>
        <v/>
      </c>
    </row>
    <row r="39" ht="15" customHeight="1">
      <c r="A39" t="inlineStr">
        <is>
          <t>A 19763-2026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46135</v>
      </c>
      <c r="E39" s="1" t="n">
        <v>46257</v>
      </c>
      <c r="F39" t="inlineStr">
        <is>
          <t>KALMAR LÄN</t>
        </is>
      </c>
      <c r="G39" t="inlineStr">
        <is>
          <t>EMMABODA</t>
        </is>
      </c>
      <c r="H39" t="inlineStr">
        <is>
          <t>Sveaskog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HYPERLINK("https://klasma.github.io/Logging_0862/artfynd/A 19763-2026 artfynd.xlsx", "A 19763-2026")</f>
        <v/>
      </c>
      <c r="X39">
        <f>HYPERLINK("https://klasma.github.io/Logging_0862/kartor/A 19763-2026 karta.png", "A 19763-2026")</f>
        <v/>
      </c>
      <c r="Y39">
        <f>HYPERLINK("https://klasma.github.io/Logging_0862/kartor_geotiff/A 19763-2026 georefererad karta.tif", "A 19763-2026")</f>
        <v/>
      </c>
      <c r="AA39">
        <f>HYPERLINK("https://klasma.github.io/Logging_0862/klagomål/A 19763-2026 FSC-klagomål.docx", "A 19763-2026")</f>
        <v/>
      </c>
      <c r="AB39">
        <f>HYPERLINK("https://klasma.github.io/Logging_0862/klagomålsmail/A 19763-2026 FSC-klagomål mail.docx", "A 19763-2026")</f>
        <v/>
      </c>
      <c r="AC39">
        <f>HYPERLINK("https://klasma.github.io/Logging_0862/tillsyn/A 19763-2026 tillsynsbegäran.docx", "A 19763-2026")</f>
        <v/>
      </c>
      <c r="AD39">
        <f>HYPERLINK("https://klasma.github.io/Logging_0862/tillsynsmail/A 19763-2026 tillsynsbegäran mail.docx", "A 19763-2026")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46257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54981-2025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45967</v>
      </c>
      <c r="E41" s="1" t="n">
        <v>46257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HYPERLINK("https://klasma.github.io/Logging_0862/artfynd/A 54981-2025 artfynd.xlsx", "A 54981-2025")</f>
        <v/>
      </c>
      <c r="X41">
        <f>HYPERLINK("https://klasma.github.io/Logging_0862/kartor/A 54981-2025 karta.png", "A 54981-2025")</f>
        <v/>
      </c>
      <c r="Y41">
        <f>HYPERLINK("https://klasma.github.io/Logging_0862/kartor_geotiff/A 54981-2025 georefererad karta.tif", "A 54981-2025")</f>
        <v/>
      </c>
      <c r="AA41">
        <f>HYPERLINK("https://klasma.github.io/Logging_0862/klagomål/A 54981-2025 FSC-klagomål.docx", "A 54981-2025")</f>
        <v/>
      </c>
      <c r="AB41">
        <f>HYPERLINK("https://klasma.github.io/Logging_0862/klagomålsmail/A 54981-2025 FSC-klagomål mail.docx", "A 54981-2025")</f>
        <v/>
      </c>
      <c r="AC41">
        <f>HYPERLINK("https://klasma.github.io/Logging_0862/tillsyn/A 54981-2025 tillsynsbegäran.docx", "A 54981-2025")</f>
        <v/>
      </c>
      <c r="AD41">
        <f>HYPERLINK("https://klasma.github.io/Logging_0862/tillsynsmail/A 54981-2025 tillsynsbegäran mail.docx", "A 54981-2025")</f>
        <v/>
      </c>
    </row>
    <row r="42" ht="15" customHeight="1">
      <c r="A42" t="inlineStr">
        <is>
          <t>A 18621-2025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46257</v>
      </c>
      <c r="F42" t="inlineStr">
        <is>
          <t>KALMAR LÄN</t>
        </is>
      </c>
      <c r="G42" t="inlineStr">
        <is>
          <t>EMMABODA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Pärluggla</t>
        </is>
      </c>
      <c r="W42">
        <f>HYPERLINK("https://klasma.github.io/Logging_0862/artfynd/A 18621-2025 artfynd.xlsx", "A 18621-2025")</f>
        <v/>
      </c>
      <c r="X42">
        <f>HYPERLINK("https://klasma.github.io/Logging_0862/kartor/A 18621-2025 karta.png", "A 18621-2025")</f>
        <v/>
      </c>
      <c r="Y42">
        <f>HYPERLINK("https://klasma.github.io/Logging_0862/kartor_geotiff/A 18621-2025 georefererad karta.tif", "A 18621-2025")</f>
        <v/>
      </c>
      <c r="AA42">
        <f>HYPERLINK("https://klasma.github.io/Logging_0862/klagomål/A 18621-2025 FSC-klagomål.docx", "A 18621-2025")</f>
        <v/>
      </c>
      <c r="AB42">
        <f>HYPERLINK("https://klasma.github.io/Logging_0862/klagomålsmail/A 18621-2025 FSC-klagomål mail.docx", "A 18621-2025")</f>
        <v/>
      </c>
      <c r="AC42">
        <f>HYPERLINK("https://klasma.github.io/Logging_0862/tillsyn/A 18621-2025 tillsynsbegäran.docx", "A 18621-2025")</f>
        <v/>
      </c>
      <c r="AD42">
        <f>HYPERLINK("https://klasma.github.io/Logging_0862/tillsynsmail/A 18621-2025 tillsynsbegäran mail.docx", "A 18621-2025")</f>
        <v/>
      </c>
      <c r="AE42">
        <f>HYPERLINK("https://klasma.github.io/Logging_0862/fåglar/A 18621-2025 prioriterade fågelarter.docx", "A 18621-2025")</f>
        <v/>
      </c>
    </row>
    <row r="43" ht="15" customHeight="1">
      <c r="A43" t="inlineStr">
        <is>
          <t>A 34220-2026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46257</v>
      </c>
      <c r="F43" t="inlineStr">
        <is>
          <t>KALMAR LÄN</t>
        </is>
      </c>
      <c r="G43" t="inlineStr">
        <is>
          <t>EMMABODA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34220-2026 artfynd.xlsx", "A 34220-2026")</f>
        <v/>
      </c>
      <c r="X43">
        <f>HYPERLINK("https://klasma.github.io/Logging_0862/kartor/A 34220-2026 karta.png", "A 34220-2026")</f>
        <v/>
      </c>
      <c r="Y43">
        <f>HYPERLINK("https://klasma.github.io/Logging_0862/kartor_geotiff/A 34220-2026 georefererad karta.tif", "A 34220-2026")</f>
        <v/>
      </c>
      <c r="AA43">
        <f>HYPERLINK("https://klasma.github.io/Logging_0862/klagomål/A 34220-2026 FSC-klagomål.docx", "A 34220-2026")</f>
        <v/>
      </c>
      <c r="AB43">
        <f>HYPERLINK("https://klasma.github.io/Logging_0862/klagomålsmail/A 34220-2026 FSC-klagomål mail.docx", "A 34220-2026")</f>
        <v/>
      </c>
      <c r="AC43">
        <f>HYPERLINK("https://klasma.github.io/Logging_0862/tillsyn/A 34220-2026 tillsynsbegäran.docx", "A 34220-2026")</f>
        <v/>
      </c>
      <c r="AD43">
        <f>HYPERLINK("https://klasma.github.io/Logging_0862/tillsynsmail/A 34220-2026 tillsynsbegäran mail.docx", "A 34220-2026")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46257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46257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t="n">
        <v>0</v>
      </c>
      <c r="V45" s="2" t="inlineStr">
        <is>
          <t>Ask</t>
        </is>
      </c>
      <c r="W45">
        <f>HYPERLINK("https://klasma.github.io/Logging_0862/artfynd/A 31024-2026 artfynd.xlsx", "A 31024-2026")</f>
        <v/>
      </c>
      <c r="X45">
        <f>HYPERLINK("https://klasma.github.io/Logging_0862/kartor/A 31024-2026 karta.png", "A 31024-2026")</f>
        <v/>
      </c>
      <c r="Y45">
        <f>HYPERLINK("https://klasma.github.io/Logging_0862/kartor_geotiff/A 31024-2026 georefererad karta.tif", "A 31024-2026")</f>
        <v/>
      </c>
      <c r="AA45">
        <f>HYPERLINK("https://klasma.github.io/Logging_0862/klagomål/A 31024-2026 FSC-klagomål.docx", "A 31024-2026")</f>
        <v/>
      </c>
      <c r="AB45">
        <f>HYPERLINK("https://klasma.github.io/Logging_0862/klagomålsmail/A 31024-2026 FSC-klagomål mail.docx", "A 31024-2026")</f>
        <v/>
      </c>
      <c r="AC45">
        <f>HYPERLINK("https://klasma.github.io/Logging_0862/tillsyn/A 31024-2026 tillsynsbegäran.docx", "A 31024-2026")</f>
        <v/>
      </c>
      <c r="AD45">
        <f>HYPERLINK("https://klasma.github.io/Logging_0862/tillsynsmail/A 31024-2026 tillsynsbegäran mail.docx", "A 31024-2026")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46257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46257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46257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46257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46257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46257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46257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46257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46257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46257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46257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46257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46257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46257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46257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46257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46257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46257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46257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46257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46257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46257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46257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46257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46257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46257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46257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46257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46257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46257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46257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46257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46257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46257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46257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46257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46257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46257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46257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46257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46257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46257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46257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46257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46257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46257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46257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46257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46257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46257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46257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46257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46257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46257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46257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46257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46257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46257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46257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46257</v>
      </c>
      <c r="F105" t="inlineStr">
        <is>
          <t>KALMAR LÄN</t>
        </is>
      </c>
      <c r="G105" t="inlineStr">
        <is>
          <t>EMMABODA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46257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46257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46257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46257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46257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46257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46257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46257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46257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46257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46257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46257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46257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46257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46257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46257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44470</v>
      </c>
      <c r="E122" s="1" t="n">
        <v>46257</v>
      </c>
      <c r="F122" t="inlineStr">
        <is>
          <t>KALMAR LÄN</t>
        </is>
      </c>
      <c r="G122" t="inlineStr">
        <is>
          <t>EMMABODA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46257</v>
      </c>
      <c r="F123" t="inlineStr">
        <is>
          <t>KALMAR LÄN</t>
        </is>
      </c>
      <c r="G123" t="inlineStr">
        <is>
          <t>EMMABODA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44699</v>
      </c>
      <c r="E124" s="1" t="n">
        <v>46257</v>
      </c>
      <c r="F124" t="inlineStr">
        <is>
          <t>KALMAR LÄN</t>
        </is>
      </c>
      <c r="G124" t="inlineStr">
        <is>
          <t>EMMABODA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46257</v>
      </c>
      <c r="F125" t="inlineStr">
        <is>
          <t>KALMAR LÄN</t>
        </is>
      </c>
      <c r="G125" t="inlineStr">
        <is>
          <t>EMMABODA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46257</v>
      </c>
      <c r="F126" t="inlineStr">
        <is>
          <t>KALMAR LÄN</t>
        </is>
      </c>
      <c r="G126" t="inlineStr">
        <is>
          <t>EMMABODA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44847</v>
      </c>
      <c r="E127" s="1" t="n">
        <v>46257</v>
      </c>
      <c r="F127" t="inlineStr">
        <is>
          <t>KALMAR LÄN</t>
        </is>
      </c>
      <c r="G127" t="inlineStr">
        <is>
          <t>EMMABODA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46257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46257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46257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46257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46257</v>
      </c>
      <c r="F132" t="inlineStr">
        <is>
          <t>KALMAR LÄN</t>
        </is>
      </c>
      <c r="G132" t="inlineStr">
        <is>
          <t>EMMABODA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46257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44431</v>
      </c>
      <c r="E134" s="1" t="n">
        <v>46257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46257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46257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46257</v>
      </c>
      <c r="F137" t="inlineStr">
        <is>
          <t>KALMAR LÄN</t>
        </is>
      </c>
      <c r="G137" t="inlineStr">
        <is>
          <t>EMMABODA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46257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46257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46257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45804</v>
      </c>
      <c r="E141" s="1" t="n">
        <v>46257</v>
      </c>
      <c r="F141" t="inlineStr">
        <is>
          <t>KALMAR LÄN</t>
        </is>
      </c>
      <c r="G141" t="inlineStr">
        <is>
          <t>EMMABODA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46257</v>
      </c>
      <c r="F142" t="inlineStr">
        <is>
          <t>KALMAR LÄN</t>
        </is>
      </c>
      <c r="G142" t="inlineStr">
        <is>
          <t>EMMABODA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45716</v>
      </c>
      <c r="E143" s="1" t="n">
        <v>46257</v>
      </c>
      <c r="F143" t="inlineStr">
        <is>
          <t>KALMAR LÄN</t>
        </is>
      </c>
      <c r="G143" t="inlineStr">
        <is>
          <t>EMMABODA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46257</v>
      </c>
      <c r="F144" t="inlineStr">
        <is>
          <t>KALMAR LÄN</t>
        </is>
      </c>
      <c r="G144" t="inlineStr">
        <is>
          <t>EMMABODA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46257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46257</v>
      </c>
      <c r="F146" t="inlineStr">
        <is>
          <t>KALMAR LÄN</t>
        </is>
      </c>
      <c r="G146" t="inlineStr">
        <is>
          <t>EMMABODA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45121</v>
      </c>
      <c r="E147" s="1" t="n">
        <v>46257</v>
      </c>
      <c r="F147" t="inlineStr">
        <is>
          <t>KALMAR LÄN</t>
        </is>
      </c>
      <c r="G147" t="inlineStr">
        <is>
          <t>EMMABODA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46257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44979</v>
      </c>
      <c r="E149" s="1" t="n">
        <v>46257</v>
      </c>
      <c r="F149" t="inlineStr">
        <is>
          <t>KALMAR LÄN</t>
        </is>
      </c>
      <c r="G149" t="inlineStr">
        <is>
          <t>EMMABODA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46257</v>
      </c>
      <c r="F150" t="inlineStr">
        <is>
          <t>KALMAR LÄN</t>
        </is>
      </c>
      <c r="G150" t="inlineStr">
        <is>
          <t>EMMABODA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46257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46257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44454</v>
      </c>
      <c r="E153" s="1" t="n">
        <v>46257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46257</v>
      </c>
      <c r="F154" t="inlineStr">
        <is>
          <t>KALMAR LÄN</t>
        </is>
      </c>
      <c r="G154" t="inlineStr">
        <is>
          <t>EMMABODA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68952-2021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46257</v>
      </c>
      <c r="F155" t="inlineStr">
        <is>
          <t>KALMAR LÄN</t>
        </is>
      </c>
      <c r="G155" t="inlineStr">
        <is>
          <t>EMMABODA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46257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46257</v>
      </c>
      <c r="F157" t="inlineStr">
        <is>
          <t>KALMAR LÄN</t>
        </is>
      </c>
      <c r="G157" t="inlineStr">
        <is>
          <t>EMMABODA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46257</v>
      </c>
      <c r="F158" t="inlineStr">
        <is>
          <t>KALMAR LÄN</t>
        </is>
      </c>
      <c r="G158" t="inlineStr">
        <is>
          <t>EMMABODA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45069</v>
      </c>
      <c r="E159" s="1" t="n">
        <v>46257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46257</v>
      </c>
      <c r="F160" t="inlineStr">
        <is>
          <t>KALMAR LÄN</t>
        </is>
      </c>
      <c r="G160" t="inlineStr">
        <is>
          <t>EMMABODA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46257</v>
      </c>
      <c r="F161" t="inlineStr">
        <is>
          <t>KALMAR LÄN</t>
        </is>
      </c>
      <c r="G161" t="inlineStr">
        <is>
          <t>EMMABODA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45348</v>
      </c>
      <c r="E162" s="1" t="n">
        <v>46257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45397</v>
      </c>
      <c r="E163" s="1" t="n">
        <v>46257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46257</v>
      </c>
      <c r="F164" t="inlineStr">
        <is>
          <t>KALMAR LÄN</t>
        </is>
      </c>
      <c r="G164" t="inlineStr">
        <is>
          <t>EMMABODA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45445</v>
      </c>
      <c r="E165" s="1" t="n">
        <v>46257</v>
      </c>
      <c r="F165" t="inlineStr">
        <is>
          <t>KALMAR LÄN</t>
        </is>
      </c>
      <c r="G165" t="inlineStr">
        <is>
          <t>EMMABODA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46257</v>
      </c>
      <c r="F166" t="inlineStr">
        <is>
          <t>KALMAR LÄN</t>
        </is>
      </c>
      <c r="G166" t="inlineStr">
        <is>
          <t>EMMABODA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46257</v>
      </c>
      <c r="F167" t="inlineStr">
        <is>
          <t>KALMAR LÄN</t>
        </is>
      </c>
      <c r="G167" t="inlineStr">
        <is>
          <t>EMMABODA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44445</v>
      </c>
      <c r="E168" s="1" t="n">
        <v>46257</v>
      </c>
      <c r="F168" t="inlineStr">
        <is>
          <t>KALMAR LÄN</t>
        </is>
      </c>
      <c r="G168" t="inlineStr">
        <is>
          <t>EMMABODA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44690</v>
      </c>
      <c r="E169" s="1" t="n">
        <v>46257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45079</v>
      </c>
      <c r="E170" s="1" t="n">
        <v>46257</v>
      </c>
      <c r="F170" t="inlineStr">
        <is>
          <t>KALMAR LÄN</t>
        </is>
      </c>
      <c r="G170" t="inlineStr">
        <is>
          <t>EMMABODA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46257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46257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46257</v>
      </c>
      <c r="F173" t="inlineStr">
        <is>
          <t>KALMAR LÄN</t>
        </is>
      </c>
      <c r="G173" t="inlineStr">
        <is>
          <t>EMMABODA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46257</v>
      </c>
      <c r="F174" t="inlineStr">
        <is>
          <t>KALMAR LÄN</t>
        </is>
      </c>
      <c r="G174" t="inlineStr">
        <is>
          <t>EMMABODA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46257</v>
      </c>
      <c r="F175" t="inlineStr">
        <is>
          <t>KALMAR LÄN</t>
        </is>
      </c>
      <c r="G175" t="inlineStr">
        <is>
          <t>EMMABODA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46257</v>
      </c>
      <c r="F176" t="inlineStr">
        <is>
          <t>KALMAR LÄN</t>
        </is>
      </c>
      <c r="G176" t="inlineStr">
        <is>
          <t>EMMABODA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46257</v>
      </c>
      <c r="F177" t="inlineStr">
        <is>
          <t>KALMAR LÄN</t>
        </is>
      </c>
      <c r="G177" t="inlineStr">
        <is>
          <t>EMMABODA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46257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46257</v>
      </c>
      <c r="F179" t="inlineStr">
        <is>
          <t>KALMAR LÄN</t>
        </is>
      </c>
      <c r="G179" t="inlineStr">
        <is>
          <t>EMMABODA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46257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58156-2021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46257</v>
      </c>
      <c r="F181" t="inlineStr">
        <is>
          <t>KALMAR LÄN</t>
        </is>
      </c>
      <c r="G181" t="inlineStr">
        <is>
          <t>EMMABODA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46257</v>
      </c>
      <c r="F182" t="inlineStr">
        <is>
          <t>KALMAR LÄN</t>
        </is>
      </c>
      <c r="G182" t="inlineStr">
        <is>
          <t>EMMABODA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46257</v>
      </c>
      <c r="F183" t="inlineStr">
        <is>
          <t>KALMAR LÄN</t>
        </is>
      </c>
      <c r="G183" t="inlineStr">
        <is>
          <t>EMMABODA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67543-2021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44524</v>
      </c>
      <c r="E184" s="1" t="n">
        <v>46257</v>
      </c>
      <c r="F184" t="inlineStr">
        <is>
          <t>KALMAR LÄN</t>
        </is>
      </c>
      <c r="G184" t="inlineStr">
        <is>
          <t>EMMABODA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46257</v>
      </c>
      <c r="F185" t="inlineStr">
        <is>
          <t>KALMAR LÄN</t>
        </is>
      </c>
      <c r="G185" t="inlineStr">
        <is>
          <t>EMMABODA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46257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46257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46257</v>
      </c>
      <c r="F188" t="inlineStr">
        <is>
          <t>KALMAR LÄN</t>
        </is>
      </c>
      <c r="G188" t="inlineStr">
        <is>
          <t>EMMABODA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45126</v>
      </c>
      <c r="E189" s="1" t="n">
        <v>46257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46257</v>
      </c>
      <c r="F190" t="inlineStr">
        <is>
          <t>KALMAR LÄN</t>
        </is>
      </c>
      <c r="G190" t="inlineStr">
        <is>
          <t>EMMABODA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46257</v>
      </c>
      <c r="F191" t="inlineStr">
        <is>
          <t>KALMAR LÄN</t>
        </is>
      </c>
      <c r="G191" t="inlineStr">
        <is>
          <t>EMMABODA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46257</v>
      </c>
      <c r="F192" t="inlineStr">
        <is>
          <t>KALMAR LÄN</t>
        </is>
      </c>
      <c r="G192" t="inlineStr">
        <is>
          <t>EMMABODA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46257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46257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46257</v>
      </c>
      <c r="F195" t="inlineStr">
        <is>
          <t>KALMAR LÄN</t>
        </is>
      </c>
      <c r="G195" t="inlineStr">
        <is>
          <t>EMMABODA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46257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45335</v>
      </c>
      <c r="E197" s="1" t="n">
        <v>46257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46257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46257</v>
      </c>
      <c r="F199" t="inlineStr">
        <is>
          <t>KALMAR LÄN</t>
        </is>
      </c>
      <c r="G199" t="inlineStr">
        <is>
          <t>EMMABODA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45200</v>
      </c>
      <c r="E200" s="1" t="n">
        <v>46257</v>
      </c>
      <c r="F200" t="inlineStr">
        <is>
          <t>KALMAR LÄN</t>
        </is>
      </c>
      <c r="G200" t="inlineStr">
        <is>
          <t>EMMABODA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46257</v>
      </c>
      <c r="F201" t="inlineStr">
        <is>
          <t>KALMAR LÄN</t>
        </is>
      </c>
      <c r="G201" t="inlineStr">
        <is>
          <t>EMMABODA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46257</v>
      </c>
      <c r="F202" t="inlineStr">
        <is>
          <t>KALMAR LÄN</t>
        </is>
      </c>
      <c r="G202" t="inlineStr">
        <is>
          <t>EMMABODA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46257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46257</v>
      </c>
      <c r="F204" t="inlineStr">
        <is>
          <t>KALMAR LÄN</t>
        </is>
      </c>
      <c r="G204" t="inlineStr">
        <is>
          <t>EMMABODA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46257</v>
      </c>
      <c r="F205" t="inlineStr">
        <is>
          <t>KALMAR LÄN</t>
        </is>
      </c>
      <c r="G205" t="inlineStr">
        <is>
          <t>EMMABODA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46257</v>
      </c>
      <c r="F206" t="inlineStr">
        <is>
          <t>KALMAR LÄN</t>
        </is>
      </c>
      <c r="G206" t="inlineStr">
        <is>
          <t>EMMABODA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46257</v>
      </c>
      <c r="F207" t="inlineStr">
        <is>
          <t>KALMAR LÄN</t>
        </is>
      </c>
      <c r="G207" t="inlineStr">
        <is>
          <t>EMMABODA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46257</v>
      </c>
      <c r="F208" t="inlineStr">
        <is>
          <t>KALMAR LÄN</t>
        </is>
      </c>
      <c r="G208" t="inlineStr">
        <is>
          <t>EMMABODA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46257</v>
      </c>
      <c r="F209" t="inlineStr">
        <is>
          <t>KALMAR LÄN</t>
        </is>
      </c>
      <c r="G209" t="inlineStr">
        <is>
          <t>EMMABODA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46257</v>
      </c>
      <c r="F210" t="inlineStr">
        <is>
          <t>KALMAR LÄN</t>
        </is>
      </c>
      <c r="G210" t="inlineStr">
        <is>
          <t>EMMABODA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46257</v>
      </c>
      <c r="F211" t="inlineStr">
        <is>
          <t>KALMAR LÄN</t>
        </is>
      </c>
      <c r="G211" t="inlineStr">
        <is>
          <t>EMMABODA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46257</v>
      </c>
      <c r="F212" t="inlineStr">
        <is>
          <t>KALMAR LÄN</t>
        </is>
      </c>
      <c r="G212" t="inlineStr">
        <is>
          <t>EMMABODA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46257</v>
      </c>
      <c r="F213" t="inlineStr">
        <is>
          <t>KALMAR LÄN</t>
        </is>
      </c>
      <c r="G213" t="inlineStr">
        <is>
          <t>EMMABODA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46257</v>
      </c>
      <c r="F214" t="inlineStr">
        <is>
          <t>KALMAR LÄN</t>
        </is>
      </c>
      <c r="G214" t="inlineStr">
        <is>
          <t>EMMABODA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46257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46257</v>
      </c>
      <c r="F216" t="inlineStr">
        <is>
          <t>KALMAR LÄN</t>
        </is>
      </c>
      <c r="G216" t="inlineStr">
        <is>
          <t>EMMABODA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51135-2023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45219</v>
      </c>
      <c r="E217" s="1" t="n">
        <v>46257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46257</v>
      </c>
      <c r="F218" t="inlineStr">
        <is>
          <t>KALMAR LÄN</t>
        </is>
      </c>
      <c r="G218" t="inlineStr">
        <is>
          <t>EMMABODA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46257</v>
      </c>
      <c r="F219" t="inlineStr">
        <is>
          <t>KALMAR LÄN</t>
        </is>
      </c>
      <c r="G219" t="inlineStr">
        <is>
          <t>EMMABODA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44652</v>
      </c>
      <c r="E220" s="1" t="n">
        <v>46257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46257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46257</v>
      </c>
      <c r="F222" t="inlineStr">
        <is>
          <t>KALMAR LÄN</t>
        </is>
      </c>
      <c r="G222" t="inlineStr">
        <is>
          <t>EMMABODA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46257</v>
      </c>
      <c r="F223" t="inlineStr">
        <is>
          <t>KALMAR LÄN</t>
        </is>
      </c>
      <c r="G223" t="inlineStr">
        <is>
          <t>EMMABODA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45370</v>
      </c>
      <c r="E224" s="1" t="n">
        <v>46257</v>
      </c>
      <c r="F224" t="inlineStr">
        <is>
          <t>KALMAR LÄN</t>
        </is>
      </c>
      <c r="G224" t="inlineStr">
        <is>
          <t>EMMABODA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45400</v>
      </c>
      <c r="E225" s="1" t="n">
        <v>46257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46257</v>
      </c>
      <c r="F226" t="inlineStr">
        <is>
          <t>KALMAR LÄN</t>
        </is>
      </c>
      <c r="G226" t="inlineStr">
        <is>
          <t>EMMABODA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46257</v>
      </c>
      <c r="F227" t="inlineStr">
        <is>
          <t>KALMAR LÄN</t>
        </is>
      </c>
      <c r="G227" t="inlineStr">
        <is>
          <t>EMMABODA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46257</v>
      </c>
      <c r="F228" t="inlineStr">
        <is>
          <t>KALMAR LÄN</t>
        </is>
      </c>
      <c r="G228" t="inlineStr">
        <is>
          <t>EMMABODA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46257</v>
      </c>
      <c r="F229" t="inlineStr">
        <is>
          <t>KALMAR LÄN</t>
        </is>
      </c>
      <c r="G229" t="inlineStr">
        <is>
          <t>EMMABODA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45921</v>
      </c>
      <c r="E230" s="1" t="n">
        <v>46257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53686-2023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46257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44781</v>
      </c>
      <c r="E232" s="1" t="n">
        <v>46257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46257</v>
      </c>
      <c r="F233" t="inlineStr">
        <is>
          <t>KALMAR LÄN</t>
        </is>
      </c>
      <c r="G233" t="inlineStr">
        <is>
          <t>EMMABODA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46257</v>
      </c>
      <c r="F234" t="inlineStr">
        <is>
          <t>KALMAR LÄN</t>
        </is>
      </c>
      <c r="G234" t="inlineStr">
        <is>
          <t>EMMABODA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45466</v>
      </c>
      <c r="E235" s="1" t="n">
        <v>46257</v>
      </c>
      <c r="F235" t="inlineStr">
        <is>
          <t>KALMAR LÄN</t>
        </is>
      </c>
      <c r="G235" t="inlineStr">
        <is>
          <t>EMMABODA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45019</v>
      </c>
      <c r="E236" s="1" t="n">
        <v>46257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46257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46257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46257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46257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46257</v>
      </c>
      <c r="F241" t="inlineStr">
        <is>
          <t>KALMAR LÄN</t>
        </is>
      </c>
      <c r="G241" t="inlineStr">
        <is>
          <t>EMMABODA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46257</v>
      </c>
      <c r="F242" t="inlineStr">
        <is>
          <t>KALMAR LÄN</t>
        </is>
      </c>
      <c r="G242" t="inlineStr">
        <is>
          <t>EMMABODA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46257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46257</v>
      </c>
      <c r="F244" t="inlineStr">
        <is>
          <t>KALMAR LÄN</t>
        </is>
      </c>
      <c r="G244" t="inlineStr">
        <is>
          <t>EMMABODA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45425</v>
      </c>
      <c r="E245" s="1" t="n">
        <v>46257</v>
      </c>
      <c r="F245" t="inlineStr">
        <is>
          <t>KALMAR LÄN</t>
        </is>
      </c>
      <c r="G245" t="inlineStr">
        <is>
          <t>EMMABODA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46257</v>
      </c>
      <c r="F246" t="inlineStr">
        <is>
          <t>KALMAR LÄN</t>
        </is>
      </c>
      <c r="G246" t="inlineStr">
        <is>
          <t>EMMABODA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41296-2024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45559</v>
      </c>
      <c r="E247" s="1" t="n">
        <v>46257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46257</v>
      </c>
      <c r="F248" t="inlineStr">
        <is>
          <t>KALMAR LÄN</t>
        </is>
      </c>
      <c r="G248" t="inlineStr">
        <is>
          <t>EMMABODA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46257</v>
      </c>
      <c r="F249" t="inlineStr">
        <is>
          <t>KALMAR LÄN</t>
        </is>
      </c>
      <c r="G249" t="inlineStr">
        <is>
          <t>EMMABODA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46257</v>
      </c>
      <c r="F250" t="inlineStr">
        <is>
          <t>KALMAR LÄN</t>
        </is>
      </c>
      <c r="G250" t="inlineStr">
        <is>
          <t>EMMABODA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46257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46257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46257</v>
      </c>
      <c r="F253" t="inlineStr">
        <is>
          <t>KALMAR LÄN</t>
        </is>
      </c>
      <c r="G253" t="inlineStr">
        <is>
          <t>EMMABODA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46257</v>
      </c>
      <c r="F254" t="inlineStr">
        <is>
          <t>KALMAR LÄN</t>
        </is>
      </c>
      <c r="G254" t="inlineStr">
        <is>
          <t>EMMABODA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17826-2022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44683</v>
      </c>
      <c r="E255" s="1" t="n">
        <v>46257</v>
      </c>
      <c r="F255" t="inlineStr">
        <is>
          <t>KALMAR LÄN</t>
        </is>
      </c>
      <c r="G255" t="inlineStr">
        <is>
          <t>EMMABODA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46257</v>
      </c>
      <c r="F256" t="inlineStr">
        <is>
          <t>KALMAR LÄN</t>
        </is>
      </c>
      <c r="G256" t="inlineStr">
        <is>
          <t>EMMABODA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46257</v>
      </c>
      <c r="F257" t="inlineStr">
        <is>
          <t>KALMAR LÄN</t>
        </is>
      </c>
      <c r="G257" t="inlineStr">
        <is>
          <t>EMMABODA</t>
        </is>
      </c>
      <c r="H257" t="inlineStr">
        <is>
          <t>Övriga Aktiebolag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46257</v>
      </c>
      <c r="F258" t="inlineStr">
        <is>
          <t>KALMAR LÄN</t>
        </is>
      </c>
      <c r="G258" t="inlineStr">
        <is>
          <t>EMMABODA</t>
        </is>
      </c>
      <c r="H258" t="inlineStr">
        <is>
          <t>Övriga Aktiebolag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43616-2021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44433</v>
      </c>
      <c r="E259" s="1" t="n">
        <v>46257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46257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46257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46257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46257</v>
      </c>
      <c r="F263" t="inlineStr">
        <is>
          <t>KALMAR LÄN</t>
        </is>
      </c>
      <c r="G263" t="inlineStr">
        <is>
          <t>EMMABODA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45310</v>
      </c>
      <c r="E264" s="1" t="n">
        <v>46257</v>
      </c>
      <c r="F264" t="inlineStr">
        <is>
          <t>KALMAR LÄN</t>
        </is>
      </c>
      <c r="G264" t="inlineStr">
        <is>
          <t>EMMABODA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46257</v>
      </c>
      <c r="F265" t="inlineStr">
        <is>
          <t>KALMAR LÄN</t>
        </is>
      </c>
      <c r="G265" t="inlineStr">
        <is>
          <t>EMMABODA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46257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45148</v>
      </c>
      <c r="E267" s="1" t="n">
        <v>46257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45740</v>
      </c>
      <c r="E268" s="1" t="n">
        <v>46257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45573</v>
      </c>
      <c r="E269" s="1" t="n">
        <v>46257</v>
      </c>
      <c r="F269" t="inlineStr">
        <is>
          <t>KALMAR LÄN</t>
        </is>
      </c>
      <c r="G269" t="inlineStr">
        <is>
          <t>EMMABODA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45164</v>
      </c>
      <c r="E270" s="1" t="n">
        <v>46257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46257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46257</v>
      </c>
      <c r="F272" t="inlineStr">
        <is>
          <t>KALMAR LÄN</t>
        </is>
      </c>
      <c r="G272" t="inlineStr">
        <is>
          <t>EMMABODA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46257</v>
      </c>
      <c r="F273" t="inlineStr">
        <is>
          <t>KALMAR LÄN</t>
        </is>
      </c>
      <c r="G273" t="inlineStr">
        <is>
          <t>EMMABODA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45805</v>
      </c>
      <c r="E274" s="1" t="n">
        <v>46257</v>
      </c>
      <c r="F274" t="inlineStr">
        <is>
          <t>KALMAR LÄN</t>
        </is>
      </c>
      <c r="G274" t="inlineStr">
        <is>
          <t>EMMABODA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46257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46257</v>
      </c>
      <c r="F276" t="inlineStr">
        <is>
          <t>KALMAR LÄN</t>
        </is>
      </c>
      <c r="G276" t="inlineStr">
        <is>
          <t>EMMABODA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24779-2022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44728</v>
      </c>
      <c r="E277" s="1" t="n">
        <v>46257</v>
      </c>
      <c r="F277" t="inlineStr">
        <is>
          <t>KALMAR LÄN</t>
        </is>
      </c>
      <c r="G277" t="inlineStr">
        <is>
          <t>EMMABODA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44739</v>
      </c>
      <c r="E278" s="1" t="n">
        <v>46257</v>
      </c>
      <c r="F278" t="inlineStr">
        <is>
          <t>KALMAR LÄN</t>
        </is>
      </c>
      <c r="G278" t="inlineStr">
        <is>
          <t>EMMABODA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45394</v>
      </c>
      <c r="E279" s="1" t="n">
        <v>46257</v>
      </c>
      <c r="F279" t="inlineStr">
        <is>
          <t>KALMAR LÄN</t>
        </is>
      </c>
      <c r="G279" t="inlineStr">
        <is>
          <t>EMMABODA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45606</v>
      </c>
      <c r="E280" s="1" t="n">
        <v>46257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46257</v>
      </c>
      <c r="F281" t="inlineStr">
        <is>
          <t>KALMAR LÄN</t>
        </is>
      </c>
      <c r="G281" t="inlineStr">
        <is>
          <t>EMMABODA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46257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46257</v>
      </c>
      <c r="F283" t="inlineStr">
        <is>
          <t>KALMAR LÄN</t>
        </is>
      </c>
      <c r="G283" t="inlineStr">
        <is>
          <t>EMMABODA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46257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46257</v>
      </c>
      <c r="F285" t="inlineStr">
        <is>
          <t>KALMAR LÄN</t>
        </is>
      </c>
      <c r="G285" t="inlineStr">
        <is>
          <t>EMMABODA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44698</v>
      </c>
      <c r="E286" s="1" t="n">
        <v>46257</v>
      </c>
      <c r="F286" t="inlineStr">
        <is>
          <t>KALMAR LÄN</t>
        </is>
      </c>
      <c r="G286" t="inlineStr">
        <is>
          <t>EMMABODA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44949</v>
      </c>
      <c r="E287" s="1" t="n">
        <v>46257</v>
      </c>
      <c r="F287" t="inlineStr">
        <is>
          <t>KALMAR LÄN</t>
        </is>
      </c>
      <c r="G287" t="inlineStr">
        <is>
          <t>EMMABODA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45028</v>
      </c>
      <c r="E288" s="1" t="n">
        <v>46257</v>
      </c>
      <c r="F288" t="inlineStr">
        <is>
          <t>KALMAR LÄN</t>
        </is>
      </c>
      <c r="G288" t="inlineStr">
        <is>
          <t>EMMABODA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46257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46257</v>
      </c>
      <c r="F290" t="inlineStr">
        <is>
          <t>KALMAR LÄN</t>
        </is>
      </c>
      <c r="G290" t="inlineStr">
        <is>
          <t>EMMABODA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45422</v>
      </c>
      <c r="E291" s="1" t="n">
        <v>46257</v>
      </c>
      <c r="F291" t="inlineStr">
        <is>
          <t>KALMAR LÄN</t>
        </is>
      </c>
      <c r="G291" t="inlineStr">
        <is>
          <t>EMMABODA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34055-2025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45845</v>
      </c>
      <c r="E292" s="1" t="n">
        <v>46257</v>
      </c>
      <c r="F292" t="inlineStr">
        <is>
          <t>KALMAR LÄN</t>
        </is>
      </c>
      <c r="G292" t="inlineStr">
        <is>
          <t>EMMABODA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45392</v>
      </c>
      <c r="E293" s="1" t="n">
        <v>46257</v>
      </c>
      <c r="F293" t="inlineStr">
        <is>
          <t>KALMAR LÄN</t>
        </is>
      </c>
      <c r="G293" t="inlineStr">
        <is>
          <t>EMMABODA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46257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44982</v>
      </c>
      <c r="E295" s="1" t="n">
        <v>46257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46257</v>
      </c>
      <c r="F296" t="inlineStr">
        <is>
          <t>KALMAR LÄN</t>
        </is>
      </c>
      <c r="G296" t="inlineStr">
        <is>
          <t>EMMABODA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46257</v>
      </c>
      <c r="F297" t="inlineStr">
        <is>
          <t>KALMAR LÄN</t>
        </is>
      </c>
      <c r="G297" t="inlineStr">
        <is>
          <t>EMMABODA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46257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46257</v>
      </c>
      <c r="F299" t="inlineStr">
        <is>
          <t>KALMAR LÄN</t>
        </is>
      </c>
      <c r="G299" t="inlineStr">
        <is>
          <t>EMMABODA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45196</v>
      </c>
      <c r="E300" s="1" t="n">
        <v>46257</v>
      </c>
      <c r="F300" t="inlineStr">
        <is>
          <t>KALMAR LÄN</t>
        </is>
      </c>
      <c r="G300" t="inlineStr">
        <is>
          <t>EMMABODA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43256-2022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44834</v>
      </c>
      <c r="E301" s="1" t="n">
        <v>46257</v>
      </c>
      <c r="F301" t="inlineStr">
        <is>
          <t>KALMAR LÄN</t>
        </is>
      </c>
      <c r="G301" t="inlineStr">
        <is>
          <t>EMMABODA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44447</v>
      </c>
      <c r="E302" s="1" t="n">
        <v>46257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44586</v>
      </c>
      <c r="E303" s="1" t="n">
        <v>46257</v>
      </c>
      <c r="F303" t="inlineStr">
        <is>
          <t>KALMAR LÄN</t>
        </is>
      </c>
      <c r="G303" t="inlineStr">
        <is>
          <t>EMMABODA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34032-2022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44791</v>
      </c>
      <c r="E304" s="1" t="n">
        <v>46257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46257</v>
      </c>
      <c r="F305" t="inlineStr">
        <is>
          <t>KALMAR LÄN</t>
        </is>
      </c>
      <c r="G305" t="inlineStr">
        <is>
          <t>EMMABODA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46257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46257</v>
      </c>
      <c r="F307" t="inlineStr">
        <is>
          <t>KALMAR LÄN</t>
        </is>
      </c>
      <c r="G307" t="inlineStr">
        <is>
          <t>EMMABODA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45161</v>
      </c>
      <c r="E308" s="1" t="n">
        <v>46257</v>
      </c>
      <c r="F308" t="inlineStr">
        <is>
          <t>KALMAR LÄN</t>
        </is>
      </c>
      <c r="G308" t="inlineStr">
        <is>
          <t>EMMABODA</t>
        </is>
      </c>
      <c r="H308" t="inlineStr">
        <is>
          <t>Kommuner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46257</v>
      </c>
      <c r="F309" t="inlineStr">
        <is>
          <t>KALMAR LÄN</t>
        </is>
      </c>
      <c r="G309" t="inlineStr">
        <is>
          <t>EMMABODA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54982-2025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45967</v>
      </c>
      <c r="E310" s="1" t="n">
        <v>46257</v>
      </c>
      <c r="F310" t="inlineStr">
        <is>
          <t>KALMAR LÄN</t>
        </is>
      </c>
      <c r="G310" t="inlineStr">
        <is>
          <t>EMMABODA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54983-2025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45967</v>
      </c>
      <c r="E311" s="1" t="n">
        <v>46257</v>
      </c>
      <c r="F311" t="inlineStr">
        <is>
          <t>KALMAR LÄN</t>
        </is>
      </c>
      <c r="G311" t="inlineStr">
        <is>
          <t>EMMABODA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46257</v>
      </c>
      <c r="F312" t="inlineStr">
        <is>
          <t>KALMAR LÄN</t>
        </is>
      </c>
      <c r="G312" t="inlineStr">
        <is>
          <t>EMMABODA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45048</v>
      </c>
      <c r="E313" s="1" t="n">
        <v>46257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32561-2022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46257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46257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46257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58136-2021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44487</v>
      </c>
      <c r="E317" s="1" t="n">
        <v>46257</v>
      </c>
      <c r="F317" t="inlineStr">
        <is>
          <t>KALMAR LÄN</t>
        </is>
      </c>
      <c r="G317" t="inlineStr">
        <is>
          <t>EMMABODA</t>
        </is>
      </c>
      <c r="H317" t="inlineStr">
        <is>
          <t>Kommuner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45727</v>
      </c>
      <c r="E318" s="1" t="n">
        <v>46257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44593</v>
      </c>
      <c r="E319" s="1" t="n">
        <v>46257</v>
      </c>
      <c r="F319" t="inlineStr">
        <is>
          <t>KALMAR LÄN</t>
        </is>
      </c>
      <c r="G319" t="inlineStr">
        <is>
          <t>EMMABODA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46257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44897</v>
      </c>
      <c r="E321" s="1" t="n">
        <v>46257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44600</v>
      </c>
      <c r="E322" s="1" t="n">
        <v>46257</v>
      </c>
      <c r="F322" t="inlineStr">
        <is>
          <t>KALMAR LÄN</t>
        </is>
      </c>
      <c r="G322" t="inlineStr">
        <is>
          <t>EMMABODA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45415</v>
      </c>
      <c r="E323" s="1" t="n">
        <v>46257</v>
      </c>
      <c r="F323" t="inlineStr">
        <is>
          <t>KALMAR LÄN</t>
        </is>
      </c>
      <c r="G323" t="inlineStr">
        <is>
          <t>EMMABODA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46257</v>
      </c>
      <c r="F324" t="inlineStr">
        <is>
          <t>KALMAR LÄN</t>
        </is>
      </c>
      <c r="G324" t="inlineStr">
        <is>
          <t>EMMABODA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46257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45475</v>
      </c>
      <c r="E326" s="1" t="n">
        <v>46257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46257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50467-2021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44455</v>
      </c>
      <c r="E328" s="1" t="n">
        <v>46257</v>
      </c>
      <c r="F328" t="inlineStr">
        <is>
          <t>KALMAR LÄN</t>
        </is>
      </c>
      <c r="G328" t="inlineStr">
        <is>
          <t>EMMABODA</t>
        </is>
      </c>
      <c r="H328" t="inlineStr">
        <is>
          <t>Övriga Aktiebolag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45230</v>
      </c>
      <c r="E329" s="1" t="n">
        <v>46257</v>
      </c>
      <c r="F329" t="inlineStr">
        <is>
          <t>KALMAR LÄN</t>
        </is>
      </c>
      <c r="G329" t="inlineStr">
        <is>
          <t>EMMABODA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46257</v>
      </c>
      <c r="F330" t="inlineStr">
        <is>
          <t>KALMAR LÄN</t>
        </is>
      </c>
      <c r="G330" t="inlineStr">
        <is>
          <t>EMMABODA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46257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46257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45475</v>
      </c>
      <c r="E333" s="1" t="n">
        <v>46257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46257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46257</v>
      </c>
      <c r="F335" t="inlineStr">
        <is>
          <t>KALMAR LÄN</t>
        </is>
      </c>
      <c r="G335" t="inlineStr">
        <is>
          <t>EMMABODA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46257</v>
      </c>
      <c r="F336" t="inlineStr">
        <is>
          <t>KALMAR LÄN</t>
        </is>
      </c>
      <c r="G336" t="inlineStr">
        <is>
          <t>EMMABODA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45587</v>
      </c>
      <c r="E337" s="1" t="n">
        <v>46257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46257</v>
      </c>
      <c r="F338" t="inlineStr">
        <is>
          <t>KALMAR LÄN</t>
        </is>
      </c>
      <c r="G338" t="inlineStr">
        <is>
          <t>EMMABODA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18946-2022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44690</v>
      </c>
      <c r="E339" s="1" t="n">
        <v>46257</v>
      </c>
      <c r="F339" t="inlineStr">
        <is>
          <t>KALMAR LÄN</t>
        </is>
      </c>
      <c r="G339" t="inlineStr">
        <is>
          <t>EMMABODA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46257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46257</v>
      </c>
      <c r="F341" t="inlineStr">
        <is>
          <t>KALMAR LÄN</t>
        </is>
      </c>
      <c r="G341" t="inlineStr">
        <is>
          <t>EMMABODA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9715-2025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46257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45851</v>
      </c>
      <c r="E343" s="1" t="n">
        <v>46257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45851</v>
      </c>
      <c r="E344" s="1" t="n">
        <v>46257</v>
      </c>
      <c r="F344" t="inlineStr">
        <is>
          <t>KALMAR LÄN</t>
        </is>
      </c>
      <c r="G344" t="inlineStr">
        <is>
          <t>EMMABODA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45641</v>
      </c>
      <c r="E345" s="1" t="n">
        <v>46257</v>
      </c>
      <c r="F345" t="inlineStr">
        <is>
          <t>KALMAR LÄN</t>
        </is>
      </c>
      <c r="G345" t="inlineStr">
        <is>
          <t>EMMABODA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44593</v>
      </c>
      <c r="E346" s="1" t="n">
        <v>46257</v>
      </c>
      <c r="F346" t="inlineStr">
        <is>
          <t>KALMAR LÄN</t>
        </is>
      </c>
      <c r="G346" t="inlineStr">
        <is>
          <t>EMMABODA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46257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46257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45772</v>
      </c>
      <c r="E349" s="1" t="n">
        <v>46257</v>
      </c>
      <c r="F349" t="inlineStr">
        <is>
          <t>KALMAR LÄN</t>
        </is>
      </c>
      <c r="G349" t="inlineStr">
        <is>
          <t>EMMABODA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62733-2021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44504</v>
      </c>
      <c r="E350" s="1" t="n">
        <v>46257</v>
      </c>
      <c r="F350" t="inlineStr">
        <is>
          <t>KALMAR LÄN</t>
        </is>
      </c>
      <c r="G350" t="inlineStr">
        <is>
          <t>EMMABODA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45126</v>
      </c>
      <c r="E351" s="1" t="n">
        <v>46257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46257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35592-2025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45857</v>
      </c>
      <c r="E353" s="1" t="n">
        <v>46257</v>
      </c>
      <c r="F353" t="inlineStr">
        <is>
          <t>KALMAR LÄN</t>
        </is>
      </c>
      <c r="G353" t="inlineStr">
        <is>
          <t>EMMABODA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44799</v>
      </c>
      <c r="E354" s="1" t="n">
        <v>46257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37060-2023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45155</v>
      </c>
      <c r="E355" s="1" t="n">
        <v>46257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45225</v>
      </c>
      <c r="E356" s="1" t="n">
        <v>46257</v>
      </c>
      <c r="F356" t="inlineStr">
        <is>
          <t>KALMAR LÄN</t>
        </is>
      </c>
      <c r="G356" t="inlineStr">
        <is>
          <t>EMMABODA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46257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58623-2025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46257</v>
      </c>
      <c r="F358" t="inlineStr">
        <is>
          <t>KALMAR LÄN</t>
        </is>
      </c>
      <c r="G358" t="inlineStr">
        <is>
          <t>EMMABODA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44965</v>
      </c>
      <c r="E359" s="1" t="n">
        <v>46257</v>
      </c>
      <c r="F359" t="inlineStr">
        <is>
          <t>KALMAR LÄN</t>
        </is>
      </c>
      <c r="G359" t="inlineStr">
        <is>
          <t>EMMABODA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46257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27676-2022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44743</v>
      </c>
      <c r="E361" s="1" t="n">
        <v>46257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29023-2022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46257</v>
      </c>
      <c r="F362" t="inlineStr">
        <is>
          <t>KALMAR LÄN</t>
        </is>
      </c>
      <c r="G362" t="inlineStr">
        <is>
          <t>EMMABODA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45327</v>
      </c>
      <c r="E363" s="1" t="n">
        <v>46257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45327</v>
      </c>
      <c r="E364" s="1" t="n">
        <v>46257</v>
      </c>
      <c r="F364" t="inlineStr">
        <is>
          <t>KALMAR LÄN</t>
        </is>
      </c>
      <c r="G364" t="inlineStr">
        <is>
          <t>EMMABODA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47120-2022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46257</v>
      </c>
      <c r="F365" t="inlineStr">
        <is>
          <t>KALMAR LÄN</t>
        </is>
      </c>
      <c r="G365" t="inlineStr">
        <is>
          <t>EMMABODA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45190</v>
      </c>
      <c r="E366" s="1" t="n">
        <v>46257</v>
      </c>
      <c r="F366" t="inlineStr">
        <is>
          <t>KALMAR LÄN</t>
        </is>
      </c>
      <c r="G366" t="inlineStr">
        <is>
          <t>EMMABODA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19854-2024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45433</v>
      </c>
      <c r="E367" s="1" t="n">
        <v>46257</v>
      </c>
      <c r="F367" t="inlineStr">
        <is>
          <t>KALMAR LÄN</t>
        </is>
      </c>
      <c r="G367" t="inlineStr">
        <is>
          <t>EMMABODA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45067</v>
      </c>
      <c r="E368" s="1" t="n">
        <v>46257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46257</v>
      </c>
      <c r="F369" t="inlineStr">
        <is>
          <t>KALMAR LÄN</t>
        </is>
      </c>
      <c r="G369" t="inlineStr">
        <is>
          <t>EMMABODA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46257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44729</v>
      </c>
      <c r="E371" s="1" t="n">
        <v>46257</v>
      </c>
      <c r="F371" t="inlineStr">
        <is>
          <t>KALMAR LÄN</t>
        </is>
      </c>
      <c r="G371" t="inlineStr">
        <is>
          <t>EMMABODA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45559</v>
      </c>
      <c r="E372" s="1" t="n">
        <v>46257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45182</v>
      </c>
      <c r="E373" s="1" t="n">
        <v>46257</v>
      </c>
      <c r="F373" t="inlineStr">
        <is>
          <t>KALMAR LÄN</t>
        </is>
      </c>
      <c r="G373" t="inlineStr">
        <is>
          <t>EMMABODA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44984</v>
      </c>
      <c r="E374" s="1" t="n">
        <v>46257</v>
      </c>
      <c r="F374" t="inlineStr">
        <is>
          <t>KALMAR LÄN</t>
        </is>
      </c>
      <c r="G374" t="inlineStr">
        <is>
          <t>EMMABODA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19881-2024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45433</v>
      </c>
      <c r="E375" s="1" t="n">
        <v>46257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46257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45863</v>
      </c>
      <c r="E377" s="1" t="n">
        <v>46257</v>
      </c>
      <c r="F377" t="inlineStr">
        <is>
          <t>KALMAR LÄN</t>
        </is>
      </c>
      <c r="G377" t="inlineStr">
        <is>
          <t>EMMABODA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45007</v>
      </c>
      <c r="E378" s="1" t="n">
        <v>46257</v>
      </c>
      <c r="F378" t="inlineStr">
        <is>
          <t>KALMAR LÄN</t>
        </is>
      </c>
      <c r="G378" t="inlineStr">
        <is>
          <t>EMMABODA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45007</v>
      </c>
      <c r="E379" s="1" t="n">
        <v>46257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63180-2021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44507</v>
      </c>
      <c r="E380" s="1" t="n">
        <v>46257</v>
      </c>
      <c r="F380" t="inlineStr">
        <is>
          <t>KALMAR LÄN</t>
        </is>
      </c>
      <c r="G380" t="inlineStr">
        <is>
          <t>EMMABODA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46257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46257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45084</v>
      </c>
      <c r="E383" s="1" t="n">
        <v>46257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54482-2021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44473</v>
      </c>
      <c r="E384" s="1" t="n">
        <v>46257</v>
      </c>
      <c r="F384" t="inlineStr">
        <is>
          <t>KALMAR LÄN</t>
        </is>
      </c>
      <c r="G384" t="inlineStr">
        <is>
          <t>EMMABODA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44432-2023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46257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46257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46257</v>
      </c>
      <c r="F387" t="inlineStr">
        <is>
          <t>KALMAR LÄN</t>
        </is>
      </c>
      <c r="G387" t="inlineStr">
        <is>
          <t>EMMABODA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46257</v>
      </c>
      <c r="F388" t="inlineStr">
        <is>
          <t>KALMAR LÄN</t>
        </is>
      </c>
      <c r="G388" t="inlineStr">
        <is>
          <t>EMMABODA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45750</v>
      </c>
      <c r="E389" s="1" t="n">
        <v>46257</v>
      </c>
      <c r="F389" t="inlineStr">
        <is>
          <t>KALMAR LÄN</t>
        </is>
      </c>
      <c r="G389" t="inlineStr">
        <is>
          <t>EMMABODA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9775-2022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44619</v>
      </c>
      <c r="E390" s="1" t="n">
        <v>46257</v>
      </c>
      <c r="F390" t="inlineStr">
        <is>
          <t>KALMAR LÄN</t>
        </is>
      </c>
      <c r="G390" t="inlineStr">
        <is>
          <t>EMMABODA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46257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45790</v>
      </c>
      <c r="E392" s="1" t="n">
        <v>46257</v>
      </c>
      <c r="F392" t="inlineStr">
        <is>
          <t>KALMAR LÄN</t>
        </is>
      </c>
      <c r="G392" t="inlineStr">
        <is>
          <t>EMMABODA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45434</v>
      </c>
      <c r="E393" s="1" t="n">
        <v>46257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49626-2023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46257</v>
      </c>
      <c r="F394" t="inlineStr">
        <is>
          <t>KALMAR LÄN</t>
        </is>
      </c>
      <c r="G394" t="inlineStr">
        <is>
          <t>EMMABODA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46257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46257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44530</v>
      </c>
      <c r="E397" s="1" t="n">
        <v>46257</v>
      </c>
      <c r="F397" t="inlineStr">
        <is>
          <t>KALMAR LÄN</t>
        </is>
      </c>
      <c r="G397" t="inlineStr">
        <is>
          <t>EMMABODA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46257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46257</v>
      </c>
      <c r="F399" t="inlineStr">
        <is>
          <t>KALMAR LÄN</t>
        </is>
      </c>
      <c r="G399" t="inlineStr">
        <is>
          <t>EMMABODA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46257</v>
      </c>
      <c r="F400" t="inlineStr">
        <is>
          <t>KALMAR LÄN</t>
        </is>
      </c>
      <c r="G400" t="inlineStr">
        <is>
          <t>EMMABODA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59468-2022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44907</v>
      </c>
      <c r="E401" s="1" t="n">
        <v>46257</v>
      </c>
      <c r="F401" t="inlineStr">
        <is>
          <t>KALMAR LÄN</t>
        </is>
      </c>
      <c r="G401" t="inlineStr">
        <is>
          <t>EMMABODA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63219-2023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45273</v>
      </c>
      <c r="E402" s="1" t="n">
        <v>46257</v>
      </c>
      <c r="F402" t="inlineStr">
        <is>
          <t>KALMAR LÄN</t>
        </is>
      </c>
      <c r="G402" t="inlineStr">
        <is>
          <t>EMMABODA</t>
        </is>
      </c>
      <c r="H402" t="inlineStr">
        <is>
          <t>Kommuner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49625-2023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46257</v>
      </c>
      <c r="F403" t="inlineStr">
        <is>
          <t>KALMAR LÄN</t>
        </is>
      </c>
      <c r="G403" t="inlineStr">
        <is>
          <t>EMMABODA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44851</v>
      </c>
      <c r="E404" s="1" t="n">
        <v>46257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46257</v>
      </c>
      <c r="F405" t="inlineStr">
        <is>
          <t>KALMAR LÄN</t>
        </is>
      </c>
      <c r="G405" t="inlineStr">
        <is>
          <t>EMMABODA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46257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33606-2023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45132</v>
      </c>
      <c r="E407" s="1" t="n">
        <v>46257</v>
      </c>
      <c r="F407" t="inlineStr">
        <is>
          <t>KALMAR LÄN</t>
        </is>
      </c>
      <c r="G407" t="inlineStr">
        <is>
          <t>EMMABODA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45084</v>
      </c>
      <c r="E408" s="1" t="n">
        <v>46257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59737-2021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44494</v>
      </c>
      <c r="E409" s="1" t="n">
        <v>46257</v>
      </c>
      <c r="F409" t="inlineStr">
        <is>
          <t>KALMAR LÄN</t>
        </is>
      </c>
      <c r="G409" t="inlineStr">
        <is>
          <t>EMMABODA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66662-2021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44519</v>
      </c>
      <c r="E410" s="1" t="n">
        <v>46257</v>
      </c>
      <c r="F410" t="inlineStr">
        <is>
          <t>KALMAR LÄN</t>
        </is>
      </c>
      <c r="G410" t="inlineStr">
        <is>
          <t>EMMABODA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46257</v>
      </c>
      <c r="F411" t="inlineStr">
        <is>
          <t>KALMAR LÄN</t>
        </is>
      </c>
      <c r="G411" t="inlineStr">
        <is>
          <t>EMMABODA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45102</v>
      </c>
      <c r="E412" s="1" t="n">
        <v>46257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45102</v>
      </c>
      <c r="E413" s="1" t="n">
        <v>46257</v>
      </c>
      <c r="F413" t="inlineStr">
        <is>
          <t>KALMAR LÄN</t>
        </is>
      </c>
      <c r="G413" t="inlineStr">
        <is>
          <t>EMMABODA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56549-2022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44893</v>
      </c>
      <c r="E414" s="1" t="n">
        <v>46257</v>
      </c>
      <c r="F414" t="inlineStr">
        <is>
          <t>KALMAR LÄN</t>
        </is>
      </c>
      <c r="G414" t="inlineStr">
        <is>
          <t>EMMABODA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44839</v>
      </c>
      <c r="E415" s="1" t="n">
        <v>46257</v>
      </c>
      <c r="F415" t="inlineStr">
        <is>
          <t>KALMAR LÄN</t>
        </is>
      </c>
      <c r="G415" t="inlineStr">
        <is>
          <t>EMMABODA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66333-2021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44518</v>
      </c>
      <c r="E416" s="1" t="n">
        <v>46257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44728</v>
      </c>
      <c r="E417" s="1" t="n">
        <v>46257</v>
      </c>
      <c r="F417" t="inlineStr">
        <is>
          <t>KALMAR LÄN</t>
        </is>
      </c>
      <c r="G417" t="inlineStr">
        <is>
          <t>EMMABODA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46257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46257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45009</v>
      </c>
      <c r="E420" s="1" t="n">
        <v>46257</v>
      </c>
      <c r="F420" t="inlineStr">
        <is>
          <t>KALMAR LÄN</t>
        </is>
      </c>
      <c r="G420" t="inlineStr">
        <is>
          <t>EMMABODA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46257</v>
      </c>
      <c r="F421" t="inlineStr">
        <is>
          <t>KALMAR LÄN</t>
        </is>
      </c>
      <c r="G421" t="inlineStr">
        <is>
          <t>EMMABODA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45317</v>
      </c>
      <c r="E422" s="1" t="n">
        <v>46257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46257</v>
      </c>
      <c r="F423" t="inlineStr">
        <is>
          <t>KALMAR LÄN</t>
        </is>
      </c>
      <c r="G423" t="inlineStr">
        <is>
          <t>EMMABODA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61791-2022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44911</v>
      </c>
      <c r="E424" s="1" t="n">
        <v>46257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45159</v>
      </c>
      <c r="E425" s="1" t="n">
        <v>46257</v>
      </c>
      <c r="F425" t="inlineStr">
        <is>
          <t>KALMAR LÄN</t>
        </is>
      </c>
      <c r="G425" t="inlineStr">
        <is>
          <t>EMMABODA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45514</v>
      </c>
      <c r="E426" s="1" t="n">
        <v>46257</v>
      </c>
      <c r="F426" t="inlineStr">
        <is>
          <t>KALMAR LÄN</t>
        </is>
      </c>
      <c r="G426" t="inlineStr">
        <is>
          <t>EMMABODA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45514</v>
      </c>
      <c r="E427" s="1" t="n">
        <v>46257</v>
      </c>
      <c r="F427" t="inlineStr">
        <is>
          <t>KALMAR LÄN</t>
        </is>
      </c>
      <c r="G427" t="inlineStr">
        <is>
          <t>EMMABODA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46257</v>
      </c>
      <c r="F428" t="inlineStr">
        <is>
          <t>KALMAR LÄN</t>
        </is>
      </c>
      <c r="G428" t="inlineStr">
        <is>
          <t>EMMABODA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46257</v>
      </c>
      <c r="F429" t="inlineStr">
        <is>
          <t>KALMAR LÄN</t>
        </is>
      </c>
      <c r="G429" t="inlineStr">
        <is>
          <t>EMMABODA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53350-2022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44879</v>
      </c>
      <c r="E430" s="1" t="n">
        <v>46257</v>
      </c>
      <c r="F430" t="inlineStr">
        <is>
          <t>KALMAR LÄN</t>
        </is>
      </c>
      <c r="G430" t="inlineStr">
        <is>
          <t>EMMABODA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46257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46257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46257</v>
      </c>
      <c r="F433" t="inlineStr">
        <is>
          <t>KALMAR LÄN</t>
        </is>
      </c>
      <c r="G433" t="inlineStr">
        <is>
          <t>EMMABODA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45126</v>
      </c>
      <c r="E434" s="1" t="n">
        <v>46257</v>
      </c>
      <c r="F434" t="inlineStr">
        <is>
          <t>KALMAR LÄN</t>
        </is>
      </c>
      <c r="G434" t="inlineStr">
        <is>
          <t>EMMABODA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46257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45126</v>
      </c>
      <c r="E436" s="1" t="n">
        <v>46257</v>
      </c>
      <c r="F436" t="inlineStr">
        <is>
          <t>KALMAR LÄN</t>
        </is>
      </c>
      <c r="G436" t="inlineStr">
        <is>
          <t>EMMABODA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45126</v>
      </c>
      <c r="E437" s="1" t="n">
        <v>46257</v>
      </c>
      <c r="F437" t="inlineStr">
        <is>
          <t>KALMAR LÄN</t>
        </is>
      </c>
      <c r="G437" t="inlineStr">
        <is>
          <t>EMMABODA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45155</v>
      </c>
      <c r="E438" s="1" t="n">
        <v>46257</v>
      </c>
      <c r="F438" t="inlineStr">
        <is>
          <t>KALMAR LÄN</t>
        </is>
      </c>
      <c r="G438" t="inlineStr">
        <is>
          <t>EMMABODA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19551-2026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46134</v>
      </c>
      <c r="E439" s="1" t="n">
        <v>46257</v>
      </c>
      <c r="F439" t="inlineStr">
        <is>
          <t>KALMAR LÄN</t>
        </is>
      </c>
      <c r="G439" t="inlineStr">
        <is>
          <t>EMMABODA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46257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46257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46257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44953</v>
      </c>
      <c r="E443" s="1" t="n">
        <v>46257</v>
      </c>
      <c r="F443" t="inlineStr">
        <is>
          <t>KALMAR LÄN</t>
        </is>
      </c>
      <c r="G443" t="inlineStr">
        <is>
          <t>EMMABODA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45362</v>
      </c>
      <c r="E444" s="1" t="n">
        <v>46257</v>
      </c>
      <c r="F444" t="inlineStr">
        <is>
          <t>KALMAR LÄN</t>
        </is>
      </c>
      <c r="G444" t="inlineStr">
        <is>
          <t>EMMABODA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45887</v>
      </c>
      <c r="E445" s="1" t="n">
        <v>46257</v>
      </c>
      <c r="F445" t="inlineStr">
        <is>
          <t>KALMAR LÄN</t>
        </is>
      </c>
      <c r="G445" t="inlineStr">
        <is>
          <t>EMMABODA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46257</v>
      </c>
      <c r="F446" t="inlineStr">
        <is>
          <t>KALMAR LÄN</t>
        </is>
      </c>
      <c r="G446" t="inlineStr">
        <is>
          <t>EMMABODA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44700</v>
      </c>
      <c r="E447" s="1" t="n">
        <v>46257</v>
      </c>
      <c r="F447" t="inlineStr">
        <is>
          <t>KALMAR LÄN</t>
        </is>
      </c>
      <c r="G447" t="inlineStr">
        <is>
          <t>EMMABODA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46257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46257</v>
      </c>
      <c r="F449" t="inlineStr">
        <is>
          <t>KALMAR LÄN</t>
        </is>
      </c>
      <c r="G449" t="inlineStr">
        <is>
          <t>EMMABODA</t>
        </is>
      </c>
      <c r="H449" t="inlineStr">
        <is>
          <t>Kyrkan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46257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46257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45296</v>
      </c>
      <c r="E452" s="1" t="n">
        <v>46257</v>
      </c>
      <c r="F452" t="inlineStr">
        <is>
          <t>KALMAR LÄN</t>
        </is>
      </c>
      <c r="G452" t="inlineStr">
        <is>
          <t>EMMABODA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68947-2021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44530</v>
      </c>
      <c r="E453" s="1" t="n">
        <v>46257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44777</v>
      </c>
      <c r="E454" s="1" t="n">
        <v>46257</v>
      </c>
      <c r="F454" t="inlineStr">
        <is>
          <t>KALMAR LÄN</t>
        </is>
      </c>
      <c r="G454" t="inlineStr">
        <is>
          <t>EMMABODA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60674-2024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45644</v>
      </c>
      <c r="E455" s="1" t="n">
        <v>46257</v>
      </c>
      <c r="F455" t="inlineStr">
        <is>
          <t>KALMAR LÄN</t>
        </is>
      </c>
      <c r="G455" t="inlineStr">
        <is>
          <t>EMMABODA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46257</v>
      </c>
      <c r="F456" t="inlineStr">
        <is>
          <t>KALMAR LÄN</t>
        </is>
      </c>
      <c r="G456" t="inlineStr">
        <is>
          <t>EMMABODA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46257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46257</v>
      </c>
      <c r="F458" t="inlineStr">
        <is>
          <t>KALMAR LÄN</t>
        </is>
      </c>
      <c r="G458" t="inlineStr">
        <is>
          <t>EMMABODA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46257</v>
      </c>
      <c r="F459" t="inlineStr">
        <is>
          <t>KALMAR LÄN</t>
        </is>
      </c>
      <c r="G459" t="inlineStr">
        <is>
          <t>EMMABODA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46078</v>
      </c>
      <c r="E460" s="1" t="n">
        <v>46257</v>
      </c>
      <c r="F460" t="inlineStr">
        <is>
          <t>KALMAR LÄN</t>
        </is>
      </c>
      <c r="G460" t="inlineStr">
        <is>
          <t>EMMABODA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46257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46257</v>
      </c>
      <c r="F462" t="inlineStr">
        <is>
          <t>KALMAR LÄN</t>
        </is>
      </c>
      <c r="G462" t="inlineStr">
        <is>
          <t>EMMABODA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39100-2023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45164</v>
      </c>
      <c r="E463" s="1" t="n">
        <v>46257</v>
      </c>
      <c r="F463" t="inlineStr">
        <is>
          <t>KALMAR LÄN</t>
        </is>
      </c>
      <c r="G463" t="inlineStr">
        <is>
          <t>EMMABODA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46257</v>
      </c>
      <c r="F464" t="inlineStr">
        <is>
          <t>KALMAR LÄN</t>
        </is>
      </c>
      <c r="G464" t="inlineStr">
        <is>
          <t>EMMABODA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45190</v>
      </c>
      <c r="E465" s="1" t="n">
        <v>46257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46257</v>
      </c>
      <c r="F466" t="inlineStr">
        <is>
          <t>KALMAR LÄN</t>
        </is>
      </c>
      <c r="G466" t="inlineStr">
        <is>
          <t>EMMABODA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44993</v>
      </c>
      <c r="E467" s="1" t="n">
        <v>46257</v>
      </c>
      <c r="F467" t="inlineStr">
        <is>
          <t>KALMAR LÄN</t>
        </is>
      </c>
      <c r="G467" t="inlineStr">
        <is>
          <t>EMMABODA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46257</v>
      </c>
      <c r="F468" t="inlineStr">
        <is>
          <t>KALMAR LÄN</t>
        </is>
      </c>
      <c r="G468" t="inlineStr">
        <is>
          <t>EMMABODA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45719</v>
      </c>
      <c r="E469" s="1" t="n">
        <v>46257</v>
      </c>
      <c r="F469" t="inlineStr">
        <is>
          <t>KALMAR LÄN</t>
        </is>
      </c>
      <c r="G469" t="inlineStr">
        <is>
          <t>EMMABODA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46257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45349</v>
      </c>
      <c r="E471" s="1" t="n">
        <v>46257</v>
      </c>
      <c r="F471" t="inlineStr">
        <is>
          <t>KALMAR LÄN</t>
        </is>
      </c>
      <c r="G471" t="inlineStr">
        <is>
          <t>EMMABODA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46257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45126</v>
      </c>
      <c r="E473" s="1" t="n">
        <v>46257</v>
      </c>
      <c r="F473" t="inlineStr">
        <is>
          <t>KALMAR LÄN</t>
        </is>
      </c>
      <c r="G473" t="inlineStr">
        <is>
          <t>EMMABODA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50500-2022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44861</v>
      </c>
      <c r="E474" s="1" t="n">
        <v>46257</v>
      </c>
      <c r="F474" t="inlineStr">
        <is>
          <t>KALMAR LÄN</t>
        </is>
      </c>
      <c r="G474" t="inlineStr">
        <is>
          <t>EMMABODA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46257</v>
      </c>
      <c r="F475" t="inlineStr">
        <is>
          <t>KALMAR LÄN</t>
        </is>
      </c>
      <c r="G475" t="inlineStr">
        <is>
          <t>EMMABODA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46085</v>
      </c>
      <c r="E476" s="1" t="n">
        <v>46257</v>
      </c>
      <c r="F476" t="inlineStr">
        <is>
          <t>KALMAR LÄN</t>
        </is>
      </c>
      <c r="G476" t="inlineStr">
        <is>
          <t>EMMABODA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46257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46257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46257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45205</v>
      </c>
      <c r="E480" s="1" t="n">
        <v>46257</v>
      </c>
      <c r="F480" t="inlineStr">
        <is>
          <t>KALMAR LÄN</t>
        </is>
      </c>
      <c r="G480" t="inlineStr">
        <is>
          <t>EMMABODA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45474</v>
      </c>
      <c r="E481" s="1" t="n">
        <v>46257</v>
      </c>
      <c r="F481" t="inlineStr">
        <is>
          <t>KALMAR LÄN</t>
        </is>
      </c>
      <c r="G481" t="inlineStr">
        <is>
          <t>EMMABODA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46257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46090</v>
      </c>
      <c r="E483" s="1" t="n">
        <v>46257</v>
      </c>
      <c r="F483" t="inlineStr">
        <is>
          <t>KALMAR LÄN</t>
        </is>
      </c>
      <c r="G483" t="inlineStr">
        <is>
          <t>EMMABODA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46257</v>
      </c>
      <c r="F484" t="inlineStr">
        <is>
          <t>KALMAR LÄN</t>
        </is>
      </c>
      <c r="G484" t="inlineStr">
        <is>
          <t>EMMABODA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46257</v>
      </c>
      <c r="F485" t="inlineStr">
        <is>
          <t>KALMAR LÄN</t>
        </is>
      </c>
      <c r="G485" t="inlineStr">
        <is>
          <t>EMMABODA</t>
        </is>
      </c>
      <c r="I485" t="n">
        <v>9.1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46257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46257</v>
      </c>
      <c r="F487" t="inlineStr">
        <is>
          <t>KALMAR LÄN</t>
        </is>
      </c>
      <c r="G487" t="inlineStr">
        <is>
          <t>EMMABODA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45126</v>
      </c>
      <c r="E488" s="1" t="n">
        <v>46257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46257</v>
      </c>
      <c r="F489" t="inlineStr">
        <is>
          <t>KALMAR LÄN</t>
        </is>
      </c>
      <c r="G489" t="inlineStr">
        <is>
          <t>EMMABODA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46257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46257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46257</v>
      </c>
      <c r="F492" t="inlineStr">
        <is>
          <t>KALMAR LÄN</t>
        </is>
      </c>
      <c r="G492" t="inlineStr">
        <is>
          <t>EMMABODA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46257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48918-2023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45204</v>
      </c>
      <c r="E494" s="1" t="n">
        <v>46257</v>
      </c>
      <c r="F494" t="inlineStr">
        <is>
          <t>KALMAR LÄN</t>
        </is>
      </c>
      <c r="G494" t="inlineStr">
        <is>
          <t>EMMABODA</t>
        </is>
      </c>
      <c r="H494" t="inlineStr">
        <is>
          <t>Övriga Aktiebolag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54230-2023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45232</v>
      </c>
      <c r="E495" s="1" t="n">
        <v>46257</v>
      </c>
      <c r="F495" t="inlineStr">
        <is>
          <t>KALMAR LÄN</t>
        </is>
      </c>
      <c r="G495" t="inlineStr">
        <is>
          <t>EMMABODA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46257</v>
      </c>
      <c r="F496" t="inlineStr">
        <is>
          <t>KALMAR LÄN</t>
        </is>
      </c>
      <c r="G496" t="inlineStr">
        <is>
          <t>EMMABODA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46257</v>
      </c>
      <c r="F497" t="inlineStr">
        <is>
          <t>KALMAR LÄN</t>
        </is>
      </c>
      <c r="G497" t="inlineStr">
        <is>
          <t>EMMABODA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46257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46257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46257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46257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45003</v>
      </c>
      <c r="E502" s="1" t="n">
        <v>46257</v>
      </c>
      <c r="F502" t="inlineStr">
        <is>
          <t>KALMAR LÄN</t>
        </is>
      </c>
      <c r="G502" t="inlineStr">
        <is>
          <t>EMMABODA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46257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46257</v>
      </c>
      <c r="F504" t="inlineStr">
        <is>
          <t>KALMAR LÄN</t>
        </is>
      </c>
      <c r="G504" t="inlineStr">
        <is>
          <t>EMMABODA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46257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12014-2023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44995</v>
      </c>
      <c r="E506" s="1" t="n">
        <v>46257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46257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46257</v>
      </c>
      <c r="F508" t="inlineStr">
        <is>
          <t>KALMAR LÄN</t>
        </is>
      </c>
      <c r="G508" t="inlineStr">
        <is>
          <t>EMMABODA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45126</v>
      </c>
      <c r="E509" s="1" t="n">
        <v>46257</v>
      </c>
      <c r="F509" t="inlineStr">
        <is>
          <t>KALMAR LÄN</t>
        </is>
      </c>
      <c r="G509" t="inlineStr">
        <is>
          <t>EMMABODA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46257</v>
      </c>
      <c r="F510" t="inlineStr">
        <is>
          <t>KALMAR LÄN</t>
        </is>
      </c>
      <c r="G510" t="inlineStr">
        <is>
          <t>EMMABODA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45514</v>
      </c>
      <c r="E511" s="1" t="n">
        <v>46257</v>
      </c>
      <c r="F511" t="inlineStr">
        <is>
          <t>KALMAR LÄN</t>
        </is>
      </c>
      <c r="G511" t="inlineStr">
        <is>
          <t>EMMABODA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46257</v>
      </c>
      <c r="F512" t="inlineStr">
        <is>
          <t>KALMAR LÄN</t>
        </is>
      </c>
      <c r="G512" t="inlineStr">
        <is>
          <t>EMMABODA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46257</v>
      </c>
      <c r="F513" t="inlineStr">
        <is>
          <t>KALMAR LÄN</t>
        </is>
      </c>
      <c r="G513" t="inlineStr">
        <is>
          <t>EMMABODA</t>
        </is>
      </c>
      <c r="H513" t="inlineStr">
        <is>
          <t>Kyrkan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46257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5345-2023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44959</v>
      </c>
      <c r="E515" s="1" t="n">
        <v>46257</v>
      </c>
      <c r="F515" t="inlineStr">
        <is>
          <t>KALMAR LÄN</t>
        </is>
      </c>
      <c r="G515" t="inlineStr">
        <is>
          <t>EMMABODA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46257</v>
      </c>
      <c r="F516" t="inlineStr">
        <is>
          <t>KALMAR LÄN</t>
        </is>
      </c>
      <c r="G516" t="inlineStr">
        <is>
          <t>EMMABODA</t>
        </is>
      </c>
      <c r="H516" t="inlineStr">
        <is>
          <t>Kommuner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46257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45707</v>
      </c>
      <c r="E518" s="1" t="n">
        <v>46257</v>
      </c>
      <c r="F518" t="inlineStr">
        <is>
          <t>KALMAR LÄN</t>
        </is>
      </c>
      <c r="G518" t="inlineStr">
        <is>
          <t>EMMABODA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44851</v>
      </c>
      <c r="E519" s="1" t="n">
        <v>46257</v>
      </c>
      <c r="F519" t="inlineStr">
        <is>
          <t>KALMAR LÄN</t>
        </is>
      </c>
      <c r="G519" t="inlineStr">
        <is>
          <t>EMMABODA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44608</v>
      </c>
      <c r="E520" s="1" t="n">
        <v>46257</v>
      </c>
      <c r="F520" t="inlineStr">
        <is>
          <t>KALMAR LÄN</t>
        </is>
      </c>
      <c r="G520" t="inlineStr">
        <is>
          <t>EMMABODA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46257</v>
      </c>
      <c r="F521" t="inlineStr">
        <is>
          <t>KALMAR LÄN</t>
        </is>
      </c>
      <c r="G521" t="inlineStr">
        <is>
          <t>EMMABODA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46257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46257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46257</v>
      </c>
      <c r="F524" t="inlineStr">
        <is>
          <t>KALMAR LÄN</t>
        </is>
      </c>
      <c r="G524" t="inlineStr">
        <is>
          <t>EMMABODA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46257</v>
      </c>
      <c r="F525" t="inlineStr">
        <is>
          <t>KALMAR LÄN</t>
        </is>
      </c>
      <c r="G525" t="inlineStr">
        <is>
          <t>EMMABODA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46257</v>
      </c>
      <c r="F526" t="inlineStr">
        <is>
          <t>KALMAR LÄN</t>
        </is>
      </c>
      <c r="G526" t="inlineStr">
        <is>
          <t>EMMABODA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46257</v>
      </c>
      <c r="F527" t="inlineStr">
        <is>
          <t>KALMAR LÄN</t>
        </is>
      </c>
      <c r="G527" t="inlineStr">
        <is>
          <t>EMMABODA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46257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46257</v>
      </c>
      <c r="F529" t="inlineStr">
        <is>
          <t>KALMAR LÄN</t>
        </is>
      </c>
      <c r="G529" t="inlineStr">
        <is>
          <t>EMMABODA</t>
        </is>
      </c>
      <c r="H529" t="inlineStr">
        <is>
          <t>Kommuner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44984</v>
      </c>
      <c r="E530" s="1" t="n">
        <v>46257</v>
      </c>
      <c r="F530" t="inlineStr">
        <is>
          <t>KALMAR LÄN</t>
        </is>
      </c>
      <c r="G530" t="inlineStr">
        <is>
          <t>EMMABODA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46257</v>
      </c>
      <c r="F531" t="inlineStr">
        <is>
          <t>KALMAR LÄN</t>
        </is>
      </c>
      <c r="G531" t="inlineStr">
        <is>
          <t>EMMABODA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46257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46257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30460-2022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44761</v>
      </c>
      <c r="E534" s="1" t="n">
        <v>46257</v>
      </c>
      <c r="F534" t="inlineStr">
        <is>
          <t>KALMAR LÄN</t>
        </is>
      </c>
      <c r="G534" t="inlineStr">
        <is>
          <t>EMMABODA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36043-2022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44802</v>
      </c>
      <c r="E535" s="1" t="n">
        <v>46257</v>
      </c>
      <c r="F535" t="inlineStr">
        <is>
          <t>KALMAR LÄN</t>
        </is>
      </c>
      <c r="G535" t="inlineStr">
        <is>
          <t>EMMABODA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18310-2024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45422</v>
      </c>
      <c r="E536" s="1" t="n">
        <v>46257</v>
      </c>
      <c r="F536" t="inlineStr">
        <is>
          <t>KALMAR LÄN</t>
        </is>
      </c>
      <c r="G536" t="inlineStr">
        <is>
          <t>EMMABODA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37296-2022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44808</v>
      </c>
      <c r="E537" s="1" t="n">
        <v>46257</v>
      </c>
      <c r="F537" t="inlineStr">
        <is>
          <t>KALMAR LÄN</t>
        </is>
      </c>
      <c r="G537" t="inlineStr">
        <is>
          <t>EMMABODA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46257</v>
      </c>
      <c r="F538" t="inlineStr">
        <is>
          <t>KALMAR LÄN</t>
        </is>
      </c>
      <c r="G538" t="inlineStr">
        <is>
          <t>EMMABODA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18444-2026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46127</v>
      </c>
      <c r="E539" s="1" t="n">
        <v>46257</v>
      </c>
      <c r="F539" t="inlineStr">
        <is>
          <t>KALMAR LÄN</t>
        </is>
      </c>
      <c r="G539" t="inlineStr">
        <is>
          <t>EMMABODA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46257</v>
      </c>
      <c r="F540" t="inlineStr">
        <is>
          <t>KALMAR LÄN</t>
        </is>
      </c>
      <c r="G540" t="inlineStr">
        <is>
          <t>EMMABODA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18437-2026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46127</v>
      </c>
      <c r="E541" s="1" t="n">
        <v>46257</v>
      </c>
      <c r="F541" t="inlineStr">
        <is>
          <t>KALMAR LÄN</t>
        </is>
      </c>
      <c r="G541" t="inlineStr">
        <is>
          <t>EMMABODA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19299-2026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46257</v>
      </c>
      <c r="F542" t="inlineStr">
        <is>
          <t>KALMAR LÄN</t>
        </is>
      </c>
      <c r="G542" t="inlineStr">
        <is>
          <t>EMMABODA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48113-2021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44449</v>
      </c>
      <c r="E543" s="1" t="n">
        <v>46257</v>
      </c>
      <c r="F543" t="inlineStr">
        <is>
          <t>KALMAR LÄN</t>
        </is>
      </c>
      <c r="G543" t="inlineStr">
        <is>
          <t>EMMABODA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46257</v>
      </c>
      <c r="F544" t="inlineStr">
        <is>
          <t>KALMAR LÄN</t>
        </is>
      </c>
      <c r="G544" t="inlineStr">
        <is>
          <t>EMMABODA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46257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20052-2025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45772</v>
      </c>
      <c r="E546" s="1" t="n">
        <v>46257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46257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33160-2026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46245</v>
      </c>
      <c r="E548" s="1" t="n">
        <v>46257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45049</v>
      </c>
      <c r="E549" s="1" t="n">
        <v>46257</v>
      </c>
      <c r="F549" t="inlineStr">
        <is>
          <t>KALMAR LÄN</t>
        </is>
      </c>
      <c r="G549" t="inlineStr">
        <is>
          <t>EMMABODA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69464-2021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46257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46257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46257</v>
      </c>
      <c r="F552" t="inlineStr">
        <is>
          <t>KALMAR LÄN</t>
        </is>
      </c>
      <c r="G552" t="inlineStr">
        <is>
          <t>EMMABODA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44993</v>
      </c>
      <c r="E553" s="1" t="n">
        <v>46257</v>
      </c>
      <c r="F553" t="inlineStr">
        <is>
          <t>KALMAR LÄN</t>
        </is>
      </c>
      <c r="G553" t="inlineStr">
        <is>
          <t>EMMABODA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46257</v>
      </c>
      <c r="F554" t="inlineStr">
        <is>
          <t>KALMAR LÄN</t>
        </is>
      </c>
      <c r="G554" t="inlineStr">
        <is>
          <t>EMMABODA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45126</v>
      </c>
      <c r="E555" s="1" t="n">
        <v>46257</v>
      </c>
      <c r="F555" t="inlineStr">
        <is>
          <t>KALMAR LÄN</t>
        </is>
      </c>
      <c r="G555" t="inlineStr">
        <is>
          <t>EMMABODA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46257</v>
      </c>
      <c r="F556" t="inlineStr">
        <is>
          <t>KALMAR LÄN</t>
        </is>
      </c>
      <c r="G556" t="inlineStr">
        <is>
          <t>EMMABODA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16703-2022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44673</v>
      </c>
      <c r="E557" s="1" t="n">
        <v>46257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49726-2024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45596</v>
      </c>
      <c r="E558" s="1" t="n">
        <v>46257</v>
      </c>
      <c r="F558" t="inlineStr">
        <is>
          <t>KALMAR LÄN</t>
        </is>
      </c>
      <c r="G558" t="inlineStr">
        <is>
          <t>EMMABODA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46139</v>
      </c>
      <c r="E559" s="1" t="n">
        <v>46257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56606-2022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44893</v>
      </c>
      <c r="E560" s="1" t="n">
        <v>46257</v>
      </c>
      <c r="F560" t="inlineStr">
        <is>
          <t>KALMAR LÄN</t>
        </is>
      </c>
      <c r="G560" t="inlineStr">
        <is>
          <t>EMMABODA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46257</v>
      </c>
      <c r="F561" t="inlineStr">
        <is>
          <t>KALMAR LÄN</t>
        </is>
      </c>
      <c r="G561" t="inlineStr">
        <is>
          <t>EMMABODA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46257</v>
      </c>
      <c r="F562" t="inlineStr">
        <is>
          <t>KALMAR LÄN</t>
        </is>
      </c>
      <c r="G562" t="inlineStr">
        <is>
          <t>EMMABODA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45905</v>
      </c>
      <c r="E563" s="1" t="n">
        <v>46257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45668</v>
      </c>
      <c r="E564" s="1" t="n">
        <v>46257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45901</v>
      </c>
      <c r="E565" s="1" t="n">
        <v>46257</v>
      </c>
      <c r="F565" t="inlineStr">
        <is>
          <t>KALMAR LÄN</t>
        </is>
      </c>
      <c r="G565" t="inlineStr">
        <is>
          <t>EMMABODA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30262-2022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44759</v>
      </c>
      <c r="E566" s="1" t="n">
        <v>46257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45909</v>
      </c>
      <c r="E567" s="1" t="n">
        <v>46257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46205</v>
      </c>
      <c r="E568" s="1" t="n">
        <v>46257</v>
      </c>
      <c r="F568" t="inlineStr">
        <is>
          <t>KALMAR LÄN</t>
        </is>
      </c>
      <c r="G568" t="inlineStr">
        <is>
          <t>EMMABODA</t>
        </is>
      </c>
      <c r="H568" t="inlineStr">
        <is>
          <t>Sveaskog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44594</v>
      </c>
      <c r="E569" s="1" t="n">
        <v>46257</v>
      </c>
      <c r="F569" t="inlineStr">
        <is>
          <t>KALMAR LÄN</t>
        </is>
      </c>
      <c r="G569" t="inlineStr">
        <is>
          <t>EMMABODA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46257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45401</v>
      </c>
      <c r="E571" s="1" t="n">
        <v>46257</v>
      </c>
      <c r="F571" t="inlineStr">
        <is>
          <t>KALMAR LÄN</t>
        </is>
      </c>
      <c r="G571" t="inlineStr">
        <is>
          <t>EMMABODA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46527-2025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45926</v>
      </c>
      <c r="E572" s="1" t="n">
        <v>46257</v>
      </c>
      <c r="F572" t="inlineStr">
        <is>
          <t>KALMAR LÄN</t>
        </is>
      </c>
      <c r="G572" t="inlineStr">
        <is>
          <t>EMMABODA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45323</v>
      </c>
      <c r="E573" s="1" t="n">
        <v>46257</v>
      </c>
      <c r="F573" t="inlineStr">
        <is>
          <t>KALMAR LÄN</t>
        </is>
      </c>
      <c r="G573" t="inlineStr">
        <is>
          <t>EMMABODA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47149-2022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44852</v>
      </c>
      <c r="E574" s="1" t="n">
        <v>46257</v>
      </c>
      <c r="F574" t="inlineStr">
        <is>
          <t>KALMAR LÄN</t>
        </is>
      </c>
      <c r="G574" t="inlineStr">
        <is>
          <t>EMMABODA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46257</v>
      </c>
      <c r="F575" t="inlineStr">
        <is>
          <t>KALMAR LÄN</t>
        </is>
      </c>
      <c r="G575" t="inlineStr">
        <is>
          <t>EMMABODA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46257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58640-2024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46257</v>
      </c>
      <c r="F577" t="inlineStr">
        <is>
          <t>KALMAR LÄN</t>
        </is>
      </c>
      <c r="G577" t="inlineStr">
        <is>
          <t>EMMABODA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30515-2023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45111</v>
      </c>
      <c r="E578" s="1" t="n">
        <v>46257</v>
      </c>
      <c r="F578" t="inlineStr">
        <is>
          <t>KALMAR LÄN</t>
        </is>
      </c>
      <c r="G578" t="inlineStr">
        <is>
          <t>EMMABODA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46257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45310</v>
      </c>
      <c r="E580" s="1" t="n">
        <v>46257</v>
      </c>
      <c r="F580" t="inlineStr">
        <is>
          <t>KALMAR LÄN</t>
        </is>
      </c>
      <c r="G580" t="inlineStr">
        <is>
          <t>EMMABODA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46257</v>
      </c>
      <c r="F581" t="inlineStr">
        <is>
          <t>KALMAR LÄN</t>
        </is>
      </c>
      <c r="G581" t="inlineStr">
        <is>
          <t>EMMABODA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45818</v>
      </c>
      <c r="E582" s="1" t="n">
        <v>46257</v>
      </c>
      <c r="F582" t="inlineStr">
        <is>
          <t>KALMAR LÄN</t>
        </is>
      </c>
      <c r="G582" t="inlineStr">
        <is>
          <t>EMMABODA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44145-2025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45915</v>
      </c>
      <c r="E583" s="1" t="n">
        <v>46257</v>
      </c>
      <c r="F583" t="inlineStr">
        <is>
          <t>KALMAR LÄN</t>
        </is>
      </c>
      <c r="G583" t="inlineStr">
        <is>
          <t>EMMABODA</t>
        </is>
      </c>
      <c r="H583" t="inlineStr">
        <is>
          <t>Övriga Aktiebolag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46257</v>
      </c>
      <c r="F584" t="inlineStr">
        <is>
          <t>KALMAR LÄN</t>
        </is>
      </c>
      <c r="G584" t="inlineStr">
        <is>
          <t>EMMABODA</t>
        </is>
      </c>
      <c r="H584" t="inlineStr">
        <is>
          <t>Övriga Aktiebolag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45062</v>
      </c>
      <c r="E585" s="1" t="n">
        <v>46257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46257</v>
      </c>
      <c r="F586" t="inlineStr">
        <is>
          <t>KALMAR LÄN</t>
        </is>
      </c>
      <c r="G586" t="inlineStr">
        <is>
          <t>EMMABODA</t>
        </is>
      </c>
      <c r="H586" t="inlineStr">
        <is>
          <t>Sveaskog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28682-2025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46257</v>
      </c>
      <c r="F587" t="inlineStr">
        <is>
          <t>KALMAR LÄN</t>
        </is>
      </c>
      <c r="G587" t="inlineStr">
        <is>
          <t>EMMABODA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46257</v>
      </c>
      <c r="F588" t="inlineStr">
        <is>
          <t>KALMAR LÄN</t>
        </is>
      </c>
      <c r="G588" t="inlineStr">
        <is>
          <t>EMMABODA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34245-2024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45524</v>
      </c>
      <c r="E589" s="1" t="n">
        <v>46257</v>
      </c>
      <c r="F589" t="inlineStr">
        <is>
          <t>KALMAR LÄN</t>
        </is>
      </c>
      <c r="G589" t="inlineStr">
        <is>
          <t>EMMABODA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28212-2025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46257</v>
      </c>
      <c r="F590" t="inlineStr">
        <is>
          <t>KALMAR LÄN</t>
        </is>
      </c>
      <c r="G590" t="inlineStr">
        <is>
          <t>EMMABODA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45562</v>
      </c>
      <c r="E591" s="1" t="n">
        <v>46257</v>
      </c>
      <c r="F591" t="inlineStr">
        <is>
          <t>KALMAR LÄN</t>
        </is>
      </c>
      <c r="G591" t="inlineStr">
        <is>
          <t>EMMABODA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46257</v>
      </c>
      <c r="F592" t="inlineStr">
        <is>
          <t>KALMAR LÄN</t>
        </is>
      </c>
      <c r="G592" t="inlineStr">
        <is>
          <t>EMMABODA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45688</v>
      </c>
      <c r="E593" s="1" t="n">
        <v>46257</v>
      </c>
      <c r="F593" t="inlineStr">
        <is>
          <t>KALMAR LÄN</t>
        </is>
      </c>
      <c r="G593" t="inlineStr">
        <is>
          <t>EMMABODA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46257</v>
      </c>
      <c r="F594" t="inlineStr">
        <is>
          <t>KALMAR LÄN</t>
        </is>
      </c>
      <c r="G594" t="inlineStr">
        <is>
          <t>EMMABODA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4387-2022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44589</v>
      </c>
      <c r="E595" s="1" t="n">
        <v>46257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55815-2025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45972</v>
      </c>
      <c r="E596" s="1" t="n">
        <v>46257</v>
      </c>
      <c r="F596" t="inlineStr">
        <is>
          <t>KALMAR LÄN</t>
        </is>
      </c>
      <c r="G596" t="inlineStr">
        <is>
          <t>EMMABODA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46257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46257</v>
      </c>
      <c r="F598" t="inlineStr">
        <is>
          <t>KALMAR LÄN</t>
        </is>
      </c>
      <c r="G598" t="inlineStr">
        <is>
          <t>EMMABODA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46257</v>
      </c>
      <c r="F599" t="inlineStr">
        <is>
          <t>KALMAR LÄN</t>
        </is>
      </c>
      <c r="G599" t="inlineStr">
        <is>
          <t>EMMABODA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45742</v>
      </c>
      <c r="E600" s="1" t="n">
        <v>46257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46257</v>
      </c>
      <c r="F601" t="inlineStr">
        <is>
          <t>KALMAR LÄN</t>
        </is>
      </c>
      <c r="G601" t="inlineStr">
        <is>
          <t>EMMABODA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67538-2021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44524</v>
      </c>
      <c r="E602" s="1" t="n">
        <v>46257</v>
      </c>
      <c r="F602" t="inlineStr">
        <is>
          <t>KALMAR LÄN</t>
        </is>
      </c>
      <c r="G602" t="inlineStr">
        <is>
          <t>EMMABODA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24983-2022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46257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46257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46257</v>
      </c>
      <c r="F605" t="inlineStr">
        <is>
          <t>KALMAR LÄN</t>
        </is>
      </c>
      <c r="G605" t="inlineStr">
        <is>
          <t>EMMABODA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31027-2026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46213</v>
      </c>
      <c r="E606" s="1" t="n">
        <v>46257</v>
      </c>
      <c r="F606" t="inlineStr">
        <is>
          <t>KALMAR LÄN</t>
        </is>
      </c>
      <c r="G606" t="inlineStr">
        <is>
          <t>EMMABODA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44840</v>
      </c>
      <c r="E607" s="1" t="n">
        <v>46257</v>
      </c>
      <c r="F607" t="inlineStr">
        <is>
          <t>KALMAR LÄN</t>
        </is>
      </c>
      <c r="G607" t="inlineStr">
        <is>
          <t>EMMABODA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49284-2024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46257</v>
      </c>
      <c r="F608" t="inlineStr">
        <is>
          <t>KALMAR LÄN</t>
        </is>
      </c>
      <c r="G608" t="inlineStr">
        <is>
          <t>EMMABODA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27155-2026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46188</v>
      </c>
      <c r="E609" s="1" t="n">
        <v>46257</v>
      </c>
      <c r="F609" t="inlineStr">
        <is>
          <t>KALMAR LÄN</t>
        </is>
      </c>
      <c r="G609" t="inlineStr">
        <is>
          <t>EMMABODA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54855-2025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45966</v>
      </c>
      <c r="E610" s="1" t="n">
        <v>46257</v>
      </c>
      <c r="F610" t="inlineStr">
        <is>
          <t>KALMAR LÄN</t>
        </is>
      </c>
      <c r="G610" t="inlineStr">
        <is>
          <t>EMMABODA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57794-2022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46257</v>
      </c>
      <c r="F611" t="inlineStr">
        <is>
          <t>KALMAR LÄN</t>
        </is>
      </c>
      <c r="G611" t="inlineStr">
        <is>
          <t>EMMABODA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46257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45273</v>
      </c>
      <c r="E613" s="1" t="n">
        <v>46257</v>
      </c>
      <c r="F613" t="inlineStr">
        <is>
          <t>KALMAR LÄN</t>
        </is>
      </c>
      <c r="G613" t="inlineStr">
        <is>
          <t>EMMABODA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45349</v>
      </c>
      <c r="E614" s="1" t="n">
        <v>46257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41545-2022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46257</v>
      </c>
      <c r="F615" t="inlineStr">
        <is>
          <t>KALMAR LÄN</t>
        </is>
      </c>
      <c r="G615" t="inlineStr">
        <is>
          <t>EMMABODA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27414-2023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46257</v>
      </c>
      <c r="F616" t="inlineStr">
        <is>
          <t>KALMAR LÄN</t>
        </is>
      </c>
      <c r="G616" t="inlineStr">
        <is>
          <t>EMMABODA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49274-2025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46257</v>
      </c>
      <c r="F617" t="inlineStr">
        <is>
          <t>KALMAR LÄN</t>
        </is>
      </c>
      <c r="G617" t="inlineStr">
        <is>
          <t>EMMABODA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45976</v>
      </c>
      <c r="E618" s="1" t="n">
        <v>46257</v>
      </c>
      <c r="F618" t="inlineStr">
        <is>
          <t>KALMAR LÄN</t>
        </is>
      </c>
      <c r="G618" t="inlineStr">
        <is>
          <t>EMMABODA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73058-2021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44550</v>
      </c>
      <c r="E619" s="1" t="n">
        <v>46257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20430-2026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46257</v>
      </c>
      <c r="F620" t="inlineStr">
        <is>
          <t>KALMAR LÄN</t>
        </is>
      </c>
      <c r="G620" t="inlineStr">
        <is>
          <t>EMMABODA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46257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45385</v>
      </c>
      <c r="E622" s="1" t="n">
        <v>46257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46257</v>
      </c>
      <c r="F623" t="inlineStr">
        <is>
          <t>KALMAR LÄN</t>
        </is>
      </c>
      <c r="G623" t="inlineStr">
        <is>
          <t>EMMABODA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56691-2025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45976</v>
      </c>
      <c r="E624" s="1" t="n">
        <v>46257</v>
      </c>
      <c r="F624" t="inlineStr">
        <is>
          <t>KALMAR LÄN</t>
        </is>
      </c>
      <c r="G624" t="inlineStr">
        <is>
          <t>EMMABODA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45515</v>
      </c>
      <c r="E625" s="1" t="n">
        <v>46257</v>
      </c>
      <c r="F625" t="inlineStr">
        <is>
          <t>KALMAR LÄN</t>
        </is>
      </c>
      <c r="G625" t="inlineStr">
        <is>
          <t>EMMABODA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45307</v>
      </c>
      <c r="E626" s="1" t="n">
        <v>46257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45317</v>
      </c>
      <c r="E627" s="1" t="n">
        <v>46257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43719-2023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46257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28600-2022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44748</v>
      </c>
      <c r="E629" s="1" t="n">
        <v>46257</v>
      </c>
      <c r="F629" t="inlineStr">
        <is>
          <t>KALMAR LÄN</t>
        </is>
      </c>
      <c r="G629" t="inlineStr">
        <is>
          <t>EMMABODA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46257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20505-2022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44699</v>
      </c>
      <c r="E631" s="1" t="n">
        <v>46257</v>
      </c>
      <c r="F631" t="inlineStr">
        <is>
          <t>KALMAR LÄN</t>
        </is>
      </c>
      <c r="G631" t="inlineStr">
        <is>
          <t>EMMABODA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15362-2024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45400</v>
      </c>
      <c r="E632" s="1" t="n">
        <v>46257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53373-2023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45229</v>
      </c>
      <c r="E633" s="1" t="n">
        <v>46257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45293-2023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46257</v>
      </c>
      <c r="F634" t="inlineStr">
        <is>
          <t>KALMAR LÄN</t>
        </is>
      </c>
      <c r="G634" t="inlineStr">
        <is>
          <t>EMMABODA</t>
        </is>
      </c>
      <c r="H634" t="inlineStr">
        <is>
          <t>Kyrkan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46257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44769</v>
      </c>
      <c r="E636" s="1" t="n">
        <v>46257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58592-2021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44488</v>
      </c>
      <c r="E637" s="1" t="n">
        <v>46257</v>
      </c>
      <c r="F637" t="inlineStr">
        <is>
          <t>KALMAR LÄN</t>
        </is>
      </c>
      <c r="G637" t="inlineStr">
        <is>
          <t>EMMABODA</t>
        </is>
      </c>
      <c r="H637" t="inlineStr">
        <is>
          <t>Kommuner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22700-2025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46257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46257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46257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44955</v>
      </c>
      <c r="E641" s="1" t="n">
        <v>46257</v>
      </c>
      <c r="F641" t="inlineStr">
        <is>
          <t>KALMAR LÄN</t>
        </is>
      </c>
      <c r="G641" t="inlineStr">
        <is>
          <t>EMMABODA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46257</v>
      </c>
      <c r="F642" t="inlineStr">
        <is>
          <t>KALMAR LÄN</t>
        </is>
      </c>
      <c r="G642" t="inlineStr">
        <is>
          <t>EMMABODA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46257</v>
      </c>
      <c r="F643" t="inlineStr">
        <is>
          <t>KALMAR LÄN</t>
        </is>
      </c>
      <c r="G643" t="inlineStr">
        <is>
          <t>EMMABODA</t>
        </is>
      </c>
      <c r="I643" t="n">
        <v>7.7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8058-2025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45707</v>
      </c>
      <c r="E644" s="1" t="n">
        <v>46257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46069</v>
      </c>
      <c r="E645" s="1" t="n">
        <v>46257</v>
      </c>
      <c r="F645" t="inlineStr">
        <is>
          <t>KALMAR LÄN</t>
        </is>
      </c>
      <c r="G645" t="inlineStr">
        <is>
          <t>EMMABODA</t>
        </is>
      </c>
      <c r="H645" t="inlineStr">
        <is>
          <t>Kyrkan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19098-2023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45048</v>
      </c>
      <c r="E646" s="1" t="n">
        <v>46257</v>
      </c>
      <c r="F646" t="inlineStr">
        <is>
          <t>KALMAR LÄN</t>
        </is>
      </c>
      <c r="G646" t="inlineStr">
        <is>
          <t>EMMABODA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46257</v>
      </c>
      <c r="F647" t="inlineStr">
        <is>
          <t>KALMAR LÄN</t>
        </is>
      </c>
      <c r="G647" t="inlineStr">
        <is>
          <t>EMMABODA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46257</v>
      </c>
      <c r="F648" t="inlineStr">
        <is>
          <t>KALMAR LÄN</t>
        </is>
      </c>
      <c r="G648" t="inlineStr">
        <is>
          <t>EMMABODA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49953-2023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45215</v>
      </c>
      <c r="E649" s="1" t="n">
        <v>46257</v>
      </c>
      <c r="F649" t="inlineStr">
        <is>
          <t>KALMAR LÄN</t>
        </is>
      </c>
      <c r="G649" t="inlineStr">
        <is>
          <t>EMMABODA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39521-2024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45551</v>
      </c>
      <c r="E650" s="1" t="n">
        <v>46257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33980-2024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46257</v>
      </c>
      <c r="F651" t="inlineStr">
        <is>
          <t>KALMAR LÄN</t>
        </is>
      </c>
      <c r="G651" t="inlineStr">
        <is>
          <t>EMMABODA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46257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46257</v>
      </c>
      <c r="F653" t="inlineStr">
        <is>
          <t>KALMAR LÄN</t>
        </is>
      </c>
      <c r="G653" t="inlineStr">
        <is>
          <t>EMMABODA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46257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46257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46161</v>
      </c>
      <c r="E656" s="1" t="n">
        <v>46257</v>
      </c>
      <c r="F656" t="inlineStr">
        <is>
          <t>KALMAR LÄN</t>
        </is>
      </c>
      <c r="G656" t="inlineStr">
        <is>
          <t>EMMABODA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46257</v>
      </c>
      <c r="F657" t="inlineStr">
        <is>
          <t>KALMAR LÄN</t>
        </is>
      </c>
      <c r="G657" t="inlineStr">
        <is>
          <t>EMMABODA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46257</v>
      </c>
      <c r="F658" t="inlineStr">
        <is>
          <t>KALMAR LÄN</t>
        </is>
      </c>
      <c r="G658" t="inlineStr">
        <is>
          <t>EMMABODA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46257</v>
      </c>
      <c r="F659" t="inlineStr">
        <is>
          <t>KALMAR LÄN</t>
        </is>
      </c>
      <c r="G659" t="inlineStr">
        <is>
          <t>EMMABODA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46257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46257</v>
      </c>
      <c r="F661" t="inlineStr">
        <is>
          <t>KALMAR LÄN</t>
        </is>
      </c>
      <c r="G661" t="inlineStr">
        <is>
          <t>EMMABODA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45317</v>
      </c>
      <c r="E662" s="1" t="n">
        <v>46257</v>
      </c>
      <c r="F662" t="inlineStr">
        <is>
          <t>KALMAR LÄN</t>
        </is>
      </c>
      <c r="G662" t="inlineStr">
        <is>
          <t>EMMABODA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41734-2025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45902</v>
      </c>
      <c r="E663" s="1" t="n">
        <v>46257</v>
      </c>
      <c r="F663" t="inlineStr">
        <is>
          <t>KALMAR LÄN</t>
        </is>
      </c>
      <c r="G663" t="inlineStr">
        <is>
          <t>EMMABODA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46257</v>
      </c>
      <c r="F664" t="inlineStr">
        <is>
          <t>KALMAR LÄN</t>
        </is>
      </c>
      <c r="G664" t="inlineStr">
        <is>
          <t>EMMABODA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39169-2024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45548</v>
      </c>
      <c r="E665" s="1" t="n">
        <v>46257</v>
      </c>
      <c r="F665" t="inlineStr">
        <is>
          <t>KALMAR LÄN</t>
        </is>
      </c>
      <c r="G665" t="inlineStr">
        <is>
          <t>EMMABODA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45415</v>
      </c>
      <c r="E666" s="1" t="n">
        <v>46257</v>
      </c>
      <c r="F666" t="inlineStr">
        <is>
          <t>KALMAR LÄN</t>
        </is>
      </c>
      <c r="G666" t="inlineStr">
        <is>
          <t>EMMABODA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46257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42448-2024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46257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46257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46257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49066-2021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44453</v>
      </c>
      <c r="E671" s="1" t="n">
        <v>46257</v>
      </c>
      <c r="F671" t="inlineStr">
        <is>
          <t>KALMAR LÄN</t>
        </is>
      </c>
      <c r="G671" t="inlineStr">
        <is>
          <t>EMMABODA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45481</v>
      </c>
      <c r="E672" s="1" t="n">
        <v>46257</v>
      </c>
      <c r="F672" t="inlineStr">
        <is>
          <t>KALMAR LÄN</t>
        </is>
      </c>
      <c r="G672" t="inlineStr">
        <is>
          <t>EMMABODA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45566</v>
      </c>
      <c r="E673" s="1" t="n">
        <v>46257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46429-2024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45582</v>
      </c>
      <c r="E674" s="1" t="n">
        <v>46257</v>
      </c>
      <c r="F674" t="inlineStr">
        <is>
          <t>KALMAR LÄN</t>
        </is>
      </c>
      <c r="G674" t="inlineStr">
        <is>
          <t>EMMABODA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45609</v>
      </c>
      <c r="E675" s="1" t="n">
        <v>46257</v>
      </c>
      <c r="F675" t="inlineStr">
        <is>
          <t>KALMAR LÄN</t>
        </is>
      </c>
      <c r="G675" t="inlineStr">
        <is>
          <t>EMMABODA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29491-2024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46257</v>
      </c>
      <c r="F676" t="inlineStr">
        <is>
          <t>KALMAR LÄN</t>
        </is>
      </c>
      <c r="G676" t="inlineStr">
        <is>
          <t>EMMABODA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5200-2025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45688</v>
      </c>
      <c r="E677" s="1" t="n">
        <v>46257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45610</v>
      </c>
      <c r="E678" s="1" t="n">
        <v>46257</v>
      </c>
      <c r="F678" t="inlineStr">
        <is>
          <t>KALMAR LÄN</t>
        </is>
      </c>
      <c r="G678" t="inlineStr">
        <is>
          <t>EMMABODA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45400</v>
      </c>
      <c r="E679" s="1" t="n">
        <v>46257</v>
      </c>
      <c r="F679" t="inlineStr">
        <is>
          <t>KALMAR LÄN</t>
        </is>
      </c>
      <c r="G679" t="inlineStr">
        <is>
          <t>EMMABODA</t>
        </is>
      </c>
      <c r="I679" t="n">
        <v>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46162</v>
      </c>
      <c r="E680" s="1" t="n">
        <v>46257</v>
      </c>
      <c r="F680" t="inlineStr">
        <is>
          <t>KALMAR LÄN</t>
        </is>
      </c>
      <c r="G680" t="inlineStr">
        <is>
          <t>EMMABODA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45455</v>
      </c>
      <c r="E681" s="1" t="n">
        <v>46257</v>
      </c>
      <c r="F681" t="inlineStr">
        <is>
          <t>KALMAR LÄN</t>
        </is>
      </c>
      <c r="G681" t="inlineStr">
        <is>
          <t>EMMABODA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768-2025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45665</v>
      </c>
      <c r="E682" s="1" t="n">
        <v>46257</v>
      </c>
      <c r="F682" t="inlineStr">
        <is>
          <t>KALMAR LÄN</t>
        </is>
      </c>
      <c r="G682" t="inlineStr">
        <is>
          <t>EMMABODA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8397-2023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44977</v>
      </c>
      <c r="E683" s="1" t="n">
        <v>46257</v>
      </c>
      <c r="F683" t="inlineStr">
        <is>
          <t>KALMAR LÄN</t>
        </is>
      </c>
      <c r="G683" t="inlineStr">
        <is>
          <t>EMMABODA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46257</v>
      </c>
      <c r="F684" t="inlineStr">
        <is>
          <t>KALMAR LÄN</t>
        </is>
      </c>
      <c r="G684" t="inlineStr">
        <is>
          <t>EMMABODA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46257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46257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7095-2021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44462</v>
      </c>
      <c r="E687" s="1" t="n">
        <v>46257</v>
      </c>
      <c r="F687" t="inlineStr">
        <is>
          <t>KALMAR LÄN</t>
        </is>
      </c>
      <c r="G687" t="inlineStr">
        <is>
          <t>EMMABODA</t>
        </is>
      </c>
      <c r="I687" t="n">
        <v>129.3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393-2023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44959</v>
      </c>
      <c r="E688" s="1" t="n">
        <v>46257</v>
      </c>
      <c r="F688" t="inlineStr">
        <is>
          <t>KALMAR LÄN</t>
        </is>
      </c>
      <c r="G688" t="inlineStr">
        <is>
          <t>EMMABODA</t>
        </is>
      </c>
      <c r="I688" t="n">
        <v>14.2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3275-2023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45194</v>
      </c>
      <c r="E689" s="1" t="n">
        <v>46257</v>
      </c>
      <c r="F689" t="inlineStr">
        <is>
          <t>KALMAR LÄN</t>
        </is>
      </c>
      <c r="G689" t="inlineStr">
        <is>
          <t>EMMABODA</t>
        </is>
      </c>
      <c r="I689" t="n">
        <v>18.8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916-2024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45377</v>
      </c>
      <c r="E690" s="1" t="n">
        <v>46257</v>
      </c>
      <c r="F690" t="inlineStr">
        <is>
          <t>KALMAR LÄN</t>
        </is>
      </c>
      <c r="G690" t="inlineStr">
        <is>
          <t>EMMABODA</t>
        </is>
      </c>
      <c r="I690" t="n">
        <v>34.2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1064-2024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45387</v>
      </c>
      <c r="E691" s="1" t="n">
        <v>46257</v>
      </c>
      <c r="F691" t="inlineStr">
        <is>
          <t>KALMAR LÄN</t>
        </is>
      </c>
      <c r="G691" t="inlineStr">
        <is>
          <t>EMMABODA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7020-2022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44903</v>
      </c>
      <c r="E692" s="1" t="n">
        <v>46257</v>
      </c>
      <c r="F692" t="inlineStr">
        <is>
          <t>KALMAR LÄN</t>
        </is>
      </c>
      <c r="G692" t="inlineStr">
        <is>
          <t>EMMABODA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6951-2022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44900</v>
      </c>
      <c r="E693" s="1" t="n">
        <v>46257</v>
      </c>
      <c r="F693" t="inlineStr">
        <is>
          <t>KALMAR LÄN</t>
        </is>
      </c>
      <c r="G693" t="inlineStr">
        <is>
          <t>EMMABODA</t>
        </is>
      </c>
      <c r="I693" t="n">
        <v>16.2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5811-2022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44852</v>
      </c>
      <c r="E694" s="1" t="n">
        <v>46257</v>
      </c>
      <c r="F694" t="inlineStr">
        <is>
          <t>KALMAR LÄN</t>
        </is>
      </c>
      <c r="G694" t="inlineStr">
        <is>
          <t>EMMABODA</t>
        </is>
      </c>
      <c r="I694" t="n">
        <v>20.2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3326-2023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45200</v>
      </c>
      <c r="E695" s="1" t="n">
        <v>46257</v>
      </c>
      <c r="F695" t="inlineStr">
        <is>
          <t>KALMAR LÄN</t>
        </is>
      </c>
      <c r="G695" t="inlineStr">
        <is>
          <t>EMMABODA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3397-2024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45534</v>
      </c>
      <c r="E696" s="1" t="n">
        <v>46257</v>
      </c>
      <c r="F696" t="inlineStr">
        <is>
          <t>KALMAR LÄN</t>
        </is>
      </c>
      <c r="G696" t="inlineStr">
        <is>
          <t>EMMABODA</t>
        </is>
      </c>
      <c r="I696" t="n">
        <v>49.9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3244-2023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46257</v>
      </c>
      <c r="F697" t="inlineStr">
        <is>
          <t>KALMAR LÄN</t>
        </is>
      </c>
      <c r="G697" t="inlineStr">
        <is>
          <t>EMMABODA</t>
        </is>
      </c>
      <c r="I697" t="n">
        <v>86.2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1011-2024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46257</v>
      </c>
      <c r="F698" t="inlineStr">
        <is>
          <t>KALMAR LÄN</t>
        </is>
      </c>
      <c r="G698" t="inlineStr">
        <is>
          <t>EMMABODA</t>
        </is>
      </c>
      <c r="I698" t="n">
        <v>25.2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4594-2023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45287</v>
      </c>
      <c r="E699" s="1" t="n">
        <v>46257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46257</v>
      </c>
      <c r="F700" t="inlineStr">
        <is>
          <t>KALMAR LÄN</t>
        </is>
      </c>
      <c r="G700" t="inlineStr">
        <is>
          <t>EMMABODA</t>
        </is>
      </c>
      <c r="I700" t="n">
        <v>70.90000000000001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46257</v>
      </c>
      <c r="F701" t="inlineStr">
        <is>
          <t>KALMAR LÄN</t>
        </is>
      </c>
      <c r="G701" t="inlineStr">
        <is>
          <t>EMMABODA</t>
        </is>
      </c>
      <c r="I701" t="n">
        <v>21.8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46257</v>
      </c>
      <c r="F702" t="inlineStr">
        <is>
          <t>KALMAR LÄN</t>
        </is>
      </c>
      <c r="G702" t="inlineStr">
        <is>
          <t>EMMABODA</t>
        </is>
      </c>
      <c r="I702" t="n">
        <v>17.9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6935-2021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44460</v>
      </c>
      <c r="E703" s="1" t="n">
        <v>46257</v>
      </c>
      <c r="F703" t="inlineStr">
        <is>
          <t>KALMAR LÄN</t>
        </is>
      </c>
      <c r="G703" t="inlineStr">
        <is>
          <t>EMMABODA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46257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46257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46257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46257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46257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46257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46257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46257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46257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46257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46257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46257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46257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46257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46257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46257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46257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46257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46257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46257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46257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46257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46257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46257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46257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46257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46257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46257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46257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46257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46257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2026-08-23T01:50:01Z</dcterms:created>
  <dcterms:modified xmlns:dcterms="http://purl.org/dc/terms/" xmlns:xsi="http://www.w3.org/2001/XMLSchema-instance" xsi:type="dcterms:W3CDTF">2026-08-23T01:50:02Z</dcterms:modified>
</cp:coreProperties>
</file>