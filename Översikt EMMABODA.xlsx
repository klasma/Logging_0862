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46230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46230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46230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46230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46230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46230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46230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46230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46230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46230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46230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46230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46230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46230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46230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46230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46230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46230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46230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46230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46230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46230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46230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46230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46230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24282-2025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46230</v>
      </c>
      <c r="F32" t="inlineStr">
        <is>
          <t>KALMAR LÄN</t>
        </is>
      </c>
      <c r="G32" t="inlineStr">
        <is>
          <t>EMMABODA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HYPERLINK("https://klasma.github.io/Logging_0862/artfynd/A 24282-2025 artfynd.xlsx", "A 24282-2025")</f>
        <v/>
      </c>
      <c r="X32">
        <f>HYPERLINK("https://klasma.github.io/Logging_0862/kartor/A 24282-2025 karta.png", "A 24282-2025")</f>
        <v/>
      </c>
      <c r="Y32">
        <f>HYPERLINK("https://klasma.github.io/Logging_0862/kartor_geotiff/A 24282-2025 georefererad karta.tif", "A 24282-2025")</f>
        <v/>
      </c>
      <c r="AA32">
        <f>HYPERLINK("https://klasma.github.io/Logging_0862/klagomål/A 24282-2025 FSC-klagomål.docx", "A 24282-2025")</f>
        <v/>
      </c>
      <c r="AB32">
        <f>HYPERLINK("https://klasma.github.io/Logging_0862/klagomålsmail/A 24282-2025 FSC-klagomål mail.docx", "A 24282-2025")</f>
        <v/>
      </c>
      <c r="AC32">
        <f>HYPERLINK("https://klasma.github.io/Logging_0862/tillsyn/A 24282-2025 tillsynsbegäran.docx", "A 24282-2025")</f>
        <v/>
      </c>
      <c r="AD32">
        <f>HYPERLINK("https://klasma.github.io/Logging_0862/tillsynsmail/A 24282-2025 tillsynsbegäran mail.docx", "A 24282-2025")</f>
        <v/>
      </c>
      <c r="AE32">
        <f>HYPERLINK("https://klasma.github.io/Logging_0862/fåglar/A 24282-2025 prioriterade fågelarter.docx", "A 24282-2025")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46230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46230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52182-2025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46230</v>
      </c>
      <c r="F35" t="inlineStr">
        <is>
          <t>KALMAR LÄN</t>
        </is>
      </c>
      <c r="G35" t="inlineStr">
        <is>
          <t>EMMABODA</t>
        </is>
      </c>
      <c r="I35" t="n">
        <v>7.6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Göktyta</t>
        </is>
      </c>
      <c r="W35">
        <f>HYPERLINK("https://klasma.github.io/Logging_0862/artfynd/A 52182-2025 artfynd.xlsx", "A 52182-2025")</f>
        <v/>
      </c>
      <c r="X35">
        <f>HYPERLINK("https://klasma.github.io/Logging_0862/kartor/A 52182-2025 karta.png", "A 52182-2025")</f>
        <v/>
      </c>
      <c r="Y35">
        <f>HYPERLINK("https://klasma.github.io/Logging_0862/kartor_geotiff/A 52182-2025 georefererad karta.tif", "A 52182-2025")</f>
        <v/>
      </c>
      <c r="AA35">
        <f>HYPERLINK("https://klasma.github.io/Logging_0862/klagomål/A 52182-2025 FSC-klagomål.docx", "A 52182-2025")</f>
        <v/>
      </c>
      <c r="AB35">
        <f>HYPERLINK("https://klasma.github.io/Logging_0862/klagomålsmail/A 52182-2025 FSC-klagomål mail.docx", "A 52182-2025")</f>
        <v/>
      </c>
      <c r="AC35">
        <f>HYPERLINK("https://klasma.github.io/Logging_0862/tillsyn/A 52182-2025 tillsynsbegäran.docx", "A 52182-2025")</f>
        <v/>
      </c>
      <c r="AD35">
        <f>HYPERLINK("https://klasma.github.io/Logging_0862/tillsynsmail/A 52182-2025 tillsynsbegäran mail.docx", "A 52182-2025")</f>
        <v/>
      </c>
      <c r="AE35">
        <f>HYPERLINK("https://klasma.github.io/Logging_0862/fåglar/A 52182-2025 prioriterade fågelarter.docx", "A 52182-2025")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46230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38119-2023 artfynd.xlsx", "A 38119-2023")</f>
        <v/>
      </c>
      <c r="X36">
        <f>HYPERLINK("https://klasma.github.io/Logging_0862/kartor/A 38119-2023 karta.png", "A 38119-2023")</f>
        <v/>
      </c>
      <c r="Y36">
        <f>HYPERLINK("https://klasma.github.io/Logging_0862/kartor_geotiff/A 38119-2023 georefererad karta.tif", "A 38119-2023")</f>
        <v/>
      </c>
      <c r="AA36">
        <f>HYPERLINK("https://klasma.github.io/Logging_0862/klagomål/A 38119-2023 FSC-klagomål.docx", "A 38119-2023")</f>
        <v/>
      </c>
      <c r="AB36">
        <f>HYPERLINK("https://klasma.github.io/Logging_0862/klagomålsmail/A 38119-2023 FSC-klagomål mail.docx", "A 38119-2023")</f>
        <v/>
      </c>
      <c r="AC36">
        <f>HYPERLINK("https://klasma.github.io/Logging_0862/tillsyn/A 38119-2023 tillsynsbegäran.docx", "A 38119-2023")</f>
        <v/>
      </c>
      <c r="AD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46230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21846-2023 artfynd.xlsx", "A 21846-2023")</f>
        <v/>
      </c>
      <c r="X37">
        <f>HYPERLINK("https://klasma.github.io/Logging_0862/kartor/A 21846-2023 karta.png", "A 21846-2023")</f>
        <v/>
      </c>
      <c r="Y37">
        <f>HYPERLINK("https://klasma.github.io/Logging_0862/kartor_geotiff/A 21846-2023 georefererad karta.tif", "A 21846-2023")</f>
        <v/>
      </c>
      <c r="AA37">
        <f>HYPERLINK("https://klasma.github.io/Logging_0862/klagomål/A 21846-2023 FSC-klagomål.docx", "A 21846-2023")</f>
        <v/>
      </c>
      <c r="AB37">
        <f>HYPERLINK("https://klasma.github.io/Logging_0862/klagomålsmail/A 21846-2023 FSC-klagomål mail.docx", "A 21846-2023")</f>
        <v/>
      </c>
      <c r="AC37">
        <f>HYPERLINK("https://klasma.github.io/Logging_0862/tillsyn/A 21846-2023 tillsynsbegäran.docx", "A 21846-2023")</f>
        <v/>
      </c>
      <c r="AD37">
        <f>HYPERLINK("https://klasma.github.io/Logging_0862/tillsynsmail/A 21846-2023 tillsynsbegäran mail.docx", "A 21846-2023")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46230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46230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Lappuggla</t>
        </is>
      </c>
      <c r="W39">
        <f>HYPERLINK("https://klasma.github.io/Logging_0862/artfynd/A 31226-2022 artfynd.xlsx", "A 31226-2022")</f>
        <v/>
      </c>
      <c r="X39">
        <f>HYPERLINK("https://klasma.github.io/Logging_0862/kartor/A 31226-2022 karta.png", "A 31226-2022")</f>
        <v/>
      </c>
      <c r="Y39">
        <f>HYPERLINK("https://klasma.github.io/Logging_0862/kartor_geotiff/A 31226-2022 georefererad karta.tif", "A 31226-2022")</f>
        <v/>
      </c>
      <c r="AA39">
        <f>HYPERLINK("https://klasma.github.io/Logging_0862/klagomål/A 31226-2022 FSC-klagomål.docx", "A 31226-2022")</f>
        <v/>
      </c>
      <c r="AB39">
        <f>HYPERLINK("https://klasma.github.io/Logging_0862/klagomålsmail/A 31226-2022 FSC-klagomål mail.docx", "A 31226-2022")</f>
        <v/>
      </c>
      <c r="AC39">
        <f>HYPERLINK("https://klasma.github.io/Logging_0862/tillsyn/A 31226-2022 tillsynsbegäran.docx", "A 31226-2022")</f>
        <v/>
      </c>
      <c r="AD39">
        <f>HYPERLINK("https://klasma.github.io/Logging_0862/tillsynsmail/A 31226-2022 tillsynsbegäran mail.docx", "A 31226-2022")</f>
        <v/>
      </c>
      <c r="AE39">
        <f>HYPERLINK("https://klasma.github.io/Logging_0862/fåglar/A 31226-2022 prioriterade fågelarter.docx", "A 31226-2022")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46230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46230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46230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46230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19763-2026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46230</v>
      </c>
      <c r="F44" t="inlineStr">
        <is>
          <t>KALMAR LÄN</t>
        </is>
      </c>
      <c r="G44" t="inlineStr">
        <is>
          <t>EMMABODA</t>
        </is>
      </c>
      <c r="H44" t="inlineStr">
        <is>
          <t>Sveaskog</t>
        </is>
      </c>
      <c r="I44" t="n">
        <v>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HYPERLINK("https://klasma.github.io/Logging_0862/artfynd/A 19763-2026 artfynd.xlsx", "A 19763-2026")</f>
        <v/>
      </c>
      <c r="X44">
        <f>HYPERLINK("https://klasma.github.io/Logging_0862/kartor/A 19763-2026 karta.png", "A 19763-2026")</f>
        <v/>
      </c>
      <c r="Y44">
        <f>HYPERLINK("https://klasma.github.io/Logging_0862/kartor_geotiff/A 19763-2026 georefererad karta.tif", "A 19763-2026")</f>
        <v/>
      </c>
      <c r="AA44">
        <f>HYPERLINK("https://klasma.github.io/Logging_0862/klagomål/A 19763-2026 FSC-klagomål.docx", "A 19763-2026")</f>
        <v/>
      </c>
      <c r="AB44">
        <f>HYPERLINK("https://klasma.github.io/Logging_0862/klagomålsmail/A 19763-2026 FSC-klagomål mail.docx", "A 19763-2026")</f>
        <v/>
      </c>
      <c r="AC44">
        <f>HYPERLINK("https://klasma.github.io/Logging_0862/tillsyn/A 19763-2026 tillsynsbegäran.docx", "A 19763-2026")</f>
        <v/>
      </c>
      <c r="AD44">
        <f>HYPERLINK("https://klasma.github.io/Logging_0862/tillsynsmail/A 19763-2026 tillsynsbegäran mail.docx", "A 19763-2026")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46230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46230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46230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46230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46230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46230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46230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46230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46230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46230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46230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46230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46230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46230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46230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46230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46230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46230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46230</v>
      </c>
      <c r="F63" t="inlineStr">
        <is>
          <t>KALMAR LÄN</t>
        </is>
      </c>
      <c r="G63" t="inlineStr">
        <is>
          <t>EMMABODA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46230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46230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46230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46230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46230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46230</v>
      </c>
      <c r="F69" t="inlineStr">
        <is>
          <t>KALMAR LÄN</t>
        </is>
      </c>
      <c r="G69" t="inlineStr">
        <is>
          <t>EMMABODA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68900-2021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46230</v>
      </c>
      <c r="F70" t="inlineStr">
        <is>
          <t>KALMAR LÄN</t>
        </is>
      </c>
      <c r="G70" t="inlineStr">
        <is>
          <t>EMMABODA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46230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46230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46230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46230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46230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46230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46230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46230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46230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46230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46230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46230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46230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46230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46230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46230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46230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46230</v>
      </c>
      <c r="F88" t="inlineStr">
        <is>
          <t>KALMAR LÄN</t>
        </is>
      </c>
      <c r="G88" t="inlineStr">
        <is>
          <t>EMMABODA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46230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46230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46230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46230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46230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46230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46230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46230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46230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46230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46230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44405</v>
      </c>
      <c r="E100" s="1" t="n">
        <v>46230</v>
      </c>
      <c r="F100" t="inlineStr">
        <is>
          <t>KALMAR LÄN</t>
        </is>
      </c>
      <c r="G100" t="inlineStr">
        <is>
          <t>EMMABODA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46230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46230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46230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46230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46230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46230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46230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46230</v>
      </c>
      <c r="F108" t="inlineStr">
        <is>
          <t>KALMAR LÄN</t>
        </is>
      </c>
      <c r="G108" t="inlineStr">
        <is>
          <t>EMMABODA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46230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46230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46230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46230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60540-2021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46230</v>
      </c>
      <c r="F113" t="inlineStr">
        <is>
          <t>KALMAR LÄN</t>
        </is>
      </c>
      <c r="G113" t="inlineStr">
        <is>
          <t>EMMABODA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46230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46230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46230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46230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46230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46230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46230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46230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46230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46230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46230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46230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46230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46230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46230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46230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46230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46230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46230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46230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46230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46230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46230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46230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46230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46230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46230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46230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46230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46230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46230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46230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46230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46230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46230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46230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46230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46230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46230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46230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46230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46230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46230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46230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46230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46230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46230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46230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46230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46230</v>
      </c>
      <c r="F163" t="inlineStr">
        <is>
          <t>KALMAR LÄN</t>
        </is>
      </c>
      <c r="G163" t="inlineStr">
        <is>
          <t>EMMABODA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46230</v>
      </c>
      <c r="F164" t="inlineStr">
        <is>
          <t>KALMAR LÄN</t>
        </is>
      </c>
      <c r="G164" t="inlineStr">
        <is>
          <t>EMMABODA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46230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46230</v>
      </c>
      <c r="F166" t="inlineStr">
        <is>
          <t>KALMAR LÄN</t>
        </is>
      </c>
      <c r="G166" t="inlineStr">
        <is>
          <t>EMMABODA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46230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46230</v>
      </c>
      <c r="F168" t="inlineStr">
        <is>
          <t>KALMAR LÄN</t>
        </is>
      </c>
      <c r="G168" t="inlineStr">
        <is>
          <t>EMMABODA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46230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46230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46230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46230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45392</v>
      </c>
      <c r="E173" s="1" t="n">
        <v>46230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46230</v>
      </c>
      <c r="F174" t="inlineStr">
        <is>
          <t>KALMAR LÄN</t>
        </is>
      </c>
      <c r="G174" t="inlineStr">
        <is>
          <t>EMMABODA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46230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46230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46230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46230</v>
      </c>
      <c r="F178" t="inlineStr">
        <is>
          <t>KALMAR LÄN</t>
        </is>
      </c>
      <c r="G178" t="inlineStr">
        <is>
          <t>EMMABODA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51135-2023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45219</v>
      </c>
      <c r="E179" s="1" t="n">
        <v>46230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46230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46230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46230</v>
      </c>
      <c r="F182" t="inlineStr">
        <is>
          <t>KALMAR LÄN</t>
        </is>
      </c>
      <c r="G182" t="inlineStr">
        <is>
          <t>EMMABODA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44519</v>
      </c>
      <c r="E183" s="1" t="n">
        <v>46230</v>
      </c>
      <c r="F183" t="inlineStr">
        <is>
          <t>KALMAR LÄN</t>
        </is>
      </c>
      <c r="G183" t="inlineStr">
        <is>
          <t>EMMABODA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45019</v>
      </c>
      <c r="E184" s="1" t="n">
        <v>46230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46230</v>
      </c>
      <c r="F185" t="inlineStr">
        <is>
          <t>KALMAR LÄN</t>
        </is>
      </c>
      <c r="G185" t="inlineStr">
        <is>
          <t>EMMABODA</t>
        </is>
      </c>
      <c r="H185" t="inlineStr">
        <is>
          <t>Kommuner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46230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46230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44683</v>
      </c>
      <c r="E188" s="1" t="n">
        <v>46230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46230</v>
      </c>
      <c r="F189" t="inlineStr">
        <is>
          <t>KALMAR LÄN</t>
        </is>
      </c>
      <c r="G189" t="inlineStr">
        <is>
          <t>EMMABODA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46230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46230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46230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46230</v>
      </c>
      <c r="F193" t="inlineStr">
        <is>
          <t>KALMAR LÄN</t>
        </is>
      </c>
      <c r="G193" t="inlineStr">
        <is>
          <t>EMMABODA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46230</v>
      </c>
      <c r="F194" t="inlineStr">
        <is>
          <t>KALMAR LÄN</t>
        </is>
      </c>
      <c r="G194" t="inlineStr">
        <is>
          <t>EMMABODA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46230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46230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46230</v>
      </c>
      <c r="F197" t="inlineStr">
        <is>
          <t>KALMAR LÄN</t>
        </is>
      </c>
      <c r="G197" t="inlineStr">
        <is>
          <t>EMMABODA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45164</v>
      </c>
      <c r="E198" s="1" t="n">
        <v>46230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45394</v>
      </c>
      <c r="E199" s="1" t="n">
        <v>46230</v>
      </c>
      <c r="F199" t="inlineStr">
        <is>
          <t>KALMAR LÄN</t>
        </is>
      </c>
      <c r="G199" t="inlineStr">
        <is>
          <t>EMMABODA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46230</v>
      </c>
      <c r="F200" t="inlineStr">
        <is>
          <t>KALMAR LÄN</t>
        </is>
      </c>
      <c r="G200" t="inlineStr">
        <is>
          <t>EMMABODA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46230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46230</v>
      </c>
      <c r="F202" t="inlineStr">
        <is>
          <t>KALMAR LÄN</t>
        </is>
      </c>
      <c r="G202" t="inlineStr">
        <is>
          <t>EMMABODA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46230</v>
      </c>
      <c r="F203" t="inlineStr">
        <is>
          <t>KALMAR LÄN</t>
        </is>
      </c>
      <c r="G203" t="inlineStr">
        <is>
          <t>EMMABODA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46230</v>
      </c>
      <c r="F204" t="inlineStr">
        <is>
          <t>KALMAR LÄN</t>
        </is>
      </c>
      <c r="G204" t="inlineStr">
        <is>
          <t>EMMABODA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45355</v>
      </c>
      <c r="E205" s="1" t="n">
        <v>46230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46230</v>
      </c>
      <c r="F206" t="inlineStr">
        <is>
          <t>KALMAR LÄN</t>
        </is>
      </c>
      <c r="G206" t="inlineStr">
        <is>
          <t>EMMABODA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46230</v>
      </c>
      <c r="F207" t="inlineStr">
        <is>
          <t>KALMAR LÄN</t>
        </is>
      </c>
      <c r="G207" t="inlineStr">
        <is>
          <t>EMMABODA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44791</v>
      </c>
      <c r="E208" s="1" t="n">
        <v>46230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44834</v>
      </c>
      <c r="E209" s="1" t="n">
        <v>46230</v>
      </c>
      <c r="F209" t="inlineStr">
        <is>
          <t>KALMAR LÄN</t>
        </is>
      </c>
      <c r="G209" t="inlineStr">
        <is>
          <t>EMMABODA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45369</v>
      </c>
      <c r="E210" s="1" t="n">
        <v>46230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44982</v>
      </c>
      <c r="E211" s="1" t="n">
        <v>46230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47219-2021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46230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46230</v>
      </c>
      <c r="F213" t="inlineStr">
        <is>
          <t>KALMAR LÄN</t>
        </is>
      </c>
      <c r="G213" t="inlineStr">
        <is>
          <t>EMMABODA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46230</v>
      </c>
      <c r="F214" t="inlineStr">
        <is>
          <t>KALMAR LÄN</t>
        </is>
      </c>
      <c r="G214" t="inlineStr">
        <is>
          <t>EMMABODA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46230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46230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46230</v>
      </c>
      <c r="F217" t="inlineStr">
        <is>
          <t>KALMAR LÄN</t>
        </is>
      </c>
      <c r="G217" t="inlineStr">
        <is>
          <t>EMMABODA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45415</v>
      </c>
      <c r="E218" s="1" t="n">
        <v>46230</v>
      </c>
      <c r="F218" t="inlineStr">
        <is>
          <t>KALMAR LÄN</t>
        </is>
      </c>
      <c r="G218" t="inlineStr">
        <is>
          <t>EMMABODA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46230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46230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44424</v>
      </c>
      <c r="E221" s="1" t="n">
        <v>46230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46230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46230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46230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46230</v>
      </c>
      <c r="F225" t="inlineStr">
        <is>
          <t>KALMAR LÄN</t>
        </is>
      </c>
      <c r="G225" t="inlineStr">
        <is>
          <t>EMMABODA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46230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46230</v>
      </c>
      <c r="F227" t="inlineStr">
        <is>
          <t>KALMAR LÄN</t>
        </is>
      </c>
      <c r="G227" t="inlineStr">
        <is>
          <t>EMMABODA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44690</v>
      </c>
      <c r="E228" s="1" t="n">
        <v>46230</v>
      </c>
      <c r="F228" t="inlineStr">
        <is>
          <t>KALMAR LÄN</t>
        </is>
      </c>
      <c r="G228" t="inlineStr">
        <is>
          <t>EMMABODA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45641</v>
      </c>
      <c r="E229" s="1" t="n">
        <v>46230</v>
      </c>
      <c r="F229" t="inlineStr">
        <is>
          <t>KALMAR LÄN</t>
        </is>
      </c>
      <c r="G229" t="inlineStr">
        <is>
          <t>EMMABODA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46230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44504</v>
      </c>
      <c r="E231" s="1" t="n">
        <v>46230</v>
      </c>
      <c r="F231" t="inlineStr">
        <is>
          <t>KALMAR LÄN</t>
        </is>
      </c>
      <c r="G231" t="inlineStr">
        <is>
          <t>EMMABODA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41446-2021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44424</v>
      </c>
      <c r="E232" s="1" t="n">
        <v>46230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46230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46230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44799</v>
      </c>
      <c r="E235" s="1" t="n">
        <v>46230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37060-2023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45155</v>
      </c>
      <c r="E236" s="1" t="n">
        <v>46230</v>
      </c>
      <c r="F236" t="inlineStr">
        <is>
          <t>KALMAR LÄN</t>
        </is>
      </c>
      <c r="G236" t="inlineStr">
        <is>
          <t>EMMABODA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52610-2023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46230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44852</v>
      </c>
      <c r="E238" s="1" t="n">
        <v>46230</v>
      </c>
      <c r="F238" t="inlineStr">
        <is>
          <t>KALMAR LÄN</t>
        </is>
      </c>
      <c r="G238" t="inlineStr">
        <is>
          <t>EMMABODA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46230</v>
      </c>
      <c r="F239" t="inlineStr">
        <is>
          <t>KALMAR LÄN</t>
        </is>
      </c>
      <c r="G239" t="inlineStr">
        <is>
          <t>EMMABODA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45433</v>
      </c>
      <c r="E240" s="1" t="n">
        <v>46230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45067</v>
      </c>
      <c r="E241" s="1" t="n">
        <v>46230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44729</v>
      </c>
      <c r="E242" s="1" t="n">
        <v>46230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46230</v>
      </c>
      <c r="F243" t="inlineStr">
        <is>
          <t>KALMAR LÄN</t>
        </is>
      </c>
      <c r="G243" t="inlineStr">
        <is>
          <t>EMMABODA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46230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63180-2021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44507</v>
      </c>
      <c r="E245" s="1" t="n">
        <v>46230</v>
      </c>
      <c r="F245" t="inlineStr">
        <is>
          <t>KALMAR LÄN</t>
        </is>
      </c>
      <c r="G245" t="inlineStr">
        <is>
          <t>EMMABODA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54482-2021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44473</v>
      </c>
      <c r="E246" s="1" t="n">
        <v>46230</v>
      </c>
      <c r="F246" t="inlineStr">
        <is>
          <t>KALMAR LÄN</t>
        </is>
      </c>
      <c r="G246" t="inlineStr">
        <is>
          <t>EMMABODA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46230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46230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46230</v>
      </c>
      <c r="F249" t="inlineStr">
        <is>
          <t>KALMAR LÄN</t>
        </is>
      </c>
      <c r="G249" t="inlineStr">
        <is>
          <t>EMMABODA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46230</v>
      </c>
      <c r="F250" t="inlineStr">
        <is>
          <t>KALMAR LÄN</t>
        </is>
      </c>
      <c r="G250" t="inlineStr">
        <is>
          <t>EMMABODA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46230</v>
      </c>
      <c r="F251" t="inlineStr">
        <is>
          <t>KALMAR LÄN</t>
        </is>
      </c>
      <c r="G251" t="inlineStr">
        <is>
          <t>EMMABODA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46230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44619</v>
      </c>
      <c r="E253" s="1" t="n">
        <v>46230</v>
      </c>
      <c r="F253" t="inlineStr">
        <is>
          <t>KALMAR LÄN</t>
        </is>
      </c>
      <c r="G253" t="inlineStr">
        <is>
          <t>EMMABODA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45273</v>
      </c>
      <c r="E254" s="1" t="n">
        <v>46230</v>
      </c>
      <c r="F254" t="inlineStr">
        <is>
          <t>KALMAR LÄN</t>
        </is>
      </c>
      <c r="G254" t="inlineStr">
        <is>
          <t>EMMABODA</t>
        </is>
      </c>
      <c r="H254" t="inlineStr">
        <is>
          <t>Kommuner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46230</v>
      </c>
      <c r="F255" t="inlineStr">
        <is>
          <t>KALMAR LÄN</t>
        </is>
      </c>
      <c r="G255" t="inlineStr">
        <is>
          <t>EMMABODA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46230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46230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45132</v>
      </c>
      <c r="E258" s="1" t="n">
        <v>46230</v>
      </c>
      <c r="F258" t="inlineStr">
        <is>
          <t>KALMAR LÄN</t>
        </is>
      </c>
      <c r="G258" t="inlineStr">
        <is>
          <t>EMMABODA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46230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46230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46230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45102</v>
      </c>
      <c r="E262" s="1" t="n">
        <v>46230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45102</v>
      </c>
      <c r="E263" s="1" t="n">
        <v>46230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45881</v>
      </c>
      <c r="E264" s="1" t="n">
        <v>46230</v>
      </c>
      <c r="F264" t="inlineStr">
        <is>
          <t>KALMAR LÄN</t>
        </is>
      </c>
      <c r="G264" t="inlineStr">
        <is>
          <t>EMMABODA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46230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46230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46230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46230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46230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46230</v>
      </c>
      <c r="F270" t="inlineStr">
        <is>
          <t>KALMAR LÄN</t>
        </is>
      </c>
      <c r="G270" t="inlineStr">
        <is>
          <t>EMMABODA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46230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46230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46230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46230</v>
      </c>
      <c r="F274" t="inlineStr">
        <is>
          <t>KALMAR LÄN</t>
        </is>
      </c>
      <c r="G274" t="inlineStr">
        <is>
          <t>EMMABODA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46230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46230</v>
      </c>
      <c r="F276" t="inlineStr">
        <is>
          <t>KALMAR LÄN</t>
        </is>
      </c>
      <c r="G276" t="inlineStr">
        <is>
          <t>EMMABODA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46230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46230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46230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46230</v>
      </c>
      <c r="F280" t="inlineStr">
        <is>
          <t>KALMAR LÄN</t>
        </is>
      </c>
      <c r="G280" t="inlineStr">
        <is>
          <t>EMMABODA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46230</v>
      </c>
      <c r="F281" t="inlineStr">
        <is>
          <t>KALMAR LÄN</t>
        </is>
      </c>
      <c r="G281" t="inlineStr">
        <is>
          <t>EMMABODA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46230</v>
      </c>
      <c r="F282" t="inlineStr">
        <is>
          <t>KALMAR LÄN</t>
        </is>
      </c>
      <c r="G282" t="inlineStr">
        <is>
          <t>EMMABODA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45551</v>
      </c>
      <c r="E283" s="1" t="n">
        <v>46230</v>
      </c>
      <c r="F283" t="inlineStr">
        <is>
          <t>KALMAR LÄN</t>
        </is>
      </c>
      <c r="G283" t="inlineStr">
        <is>
          <t>EMMABODA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46230</v>
      </c>
      <c r="F284" t="inlineStr">
        <is>
          <t>KALMAR LÄN</t>
        </is>
      </c>
      <c r="G284" t="inlineStr">
        <is>
          <t>EMMABODA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46230</v>
      </c>
      <c r="F285" t="inlineStr">
        <is>
          <t>KALMAR LÄN</t>
        </is>
      </c>
      <c r="G285" t="inlineStr">
        <is>
          <t>EMMABODA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45121</v>
      </c>
      <c r="E286" s="1" t="n">
        <v>46230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46230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46230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46230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46230</v>
      </c>
      <c r="F290" t="inlineStr">
        <is>
          <t>KALMAR LÄN</t>
        </is>
      </c>
      <c r="G290" t="inlineStr">
        <is>
          <t>EMMABODA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46230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46230</v>
      </c>
      <c r="F292" t="inlineStr">
        <is>
          <t>KALMAR LÄN</t>
        </is>
      </c>
      <c r="G292" t="inlineStr">
        <is>
          <t>EMMABODA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46230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46230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46230</v>
      </c>
      <c r="F295" t="inlineStr">
        <is>
          <t>KALMAR LÄN</t>
        </is>
      </c>
      <c r="G295" t="inlineStr">
        <is>
          <t>EMMABODA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46230</v>
      </c>
      <c r="F296" t="inlineStr">
        <is>
          <t>KALMAR LÄN</t>
        </is>
      </c>
      <c r="G296" t="inlineStr">
        <is>
          <t>EMMABODA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46230</v>
      </c>
      <c r="F297" t="inlineStr">
        <is>
          <t>KALMAR LÄN</t>
        </is>
      </c>
      <c r="G297" t="inlineStr">
        <is>
          <t>EMMABODA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45069</v>
      </c>
      <c r="E298" s="1" t="n">
        <v>46230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45069</v>
      </c>
      <c r="E299" s="1" t="n">
        <v>46230</v>
      </c>
      <c r="F299" t="inlineStr">
        <is>
          <t>KALMAR LÄN</t>
        </is>
      </c>
      <c r="G299" t="inlineStr">
        <is>
          <t>EMMABODA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46230</v>
      </c>
      <c r="F300" t="inlineStr">
        <is>
          <t>KALMAR LÄN</t>
        </is>
      </c>
      <c r="G300" t="inlineStr">
        <is>
          <t>EMMABODA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46230</v>
      </c>
      <c r="F301" t="inlineStr">
        <is>
          <t>KALMAR LÄN</t>
        </is>
      </c>
      <c r="G301" t="inlineStr">
        <is>
          <t>EMMABODA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46230</v>
      </c>
      <c r="F302" t="inlineStr">
        <is>
          <t>KALMAR LÄN</t>
        </is>
      </c>
      <c r="G302" t="inlineStr">
        <is>
          <t>EMMABODA</t>
        </is>
      </c>
      <c r="H302" t="inlineStr">
        <is>
          <t>Övriga Aktiebolag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46230</v>
      </c>
      <c r="F303" t="inlineStr">
        <is>
          <t>KALMAR LÄN</t>
        </is>
      </c>
      <c r="G303" t="inlineStr">
        <is>
          <t>EMMABODA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45348</v>
      </c>
      <c r="E304" s="1" t="n">
        <v>46230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46230</v>
      </c>
      <c r="F305" t="inlineStr">
        <is>
          <t>KALMAR LÄN</t>
        </is>
      </c>
      <c r="G305" t="inlineStr">
        <is>
          <t>EMMABODA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46230</v>
      </c>
      <c r="F306" t="inlineStr">
        <is>
          <t>KALMAR LÄN</t>
        </is>
      </c>
      <c r="G306" t="inlineStr">
        <is>
          <t>EMMABODA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46230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46230</v>
      </c>
      <c r="F308" t="inlineStr">
        <is>
          <t>KALMAR LÄN</t>
        </is>
      </c>
      <c r="G308" t="inlineStr">
        <is>
          <t>EMMABODA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46230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46230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46507-2021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44445</v>
      </c>
      <c r="E311" s="1" t="n">
        <v>46230</v>
      </c>
      <c r="F311" t="inlineStr">
        <is>
          <t>KALMAR LÄN</t>
        </is>
      </c>
      <c r="G311" t="inlineStr">
        <is>
          <t>EMMABODA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46230</v>
      </c>
      <c r="F312" t="inlineStr">
        <is>
          <t>KALMAR LÄN</t>
        </is>
      </c>
      <c r="G312" t="inlineStr">
        <is>
          <t>EMMABODA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46230</v>
      </c>
      <c r="F313" t="inlineStr">
        <is>
          <t>KALMAR LÄN</t>
        </is>
      </c>
      <c r="G313" t="inlineStr">
        <is>
          <t>EMMABODA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44683</v>
      </c>
      <c r="E314" s="1" t="n">
        <v>46230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46230</v>
      </c>
      <c r="F315" t="inlineStr">
        <is>
          <t>KALMAR LÄN</t>
        </is>
      </c>
      <c r="G315" t="inlineStr">
        <is>
          <t>EMMABODA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45461</v>
      </c>
      <c r="E316" s="1" t="n">
        <v>46230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45349</v>
      </c>
      <c r="E317" s="1" t="n">
        <v>46230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46230</v>
      </c>
      <c r="F318" t="inlineStr">
        <is>
          <t>KALMAR LÄN</t>
        </is>
      </c>
      <c r="G318" t="inlineStr">
        <is>
          <t>EMMABODA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45921</v>
      </c>
      <c r="E319" s="1" t="n">
        <v>46230</v>
      </c>
      <c r="F319" t="inlineStr">
        <is>
          <t>KALMAR LÄN</t>
        </is>
      </c>
      <c r="G319" t="inlineStr">
        <is>
          <t>EMMABODA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46230</v>
      </c>
      <c r="F320" t="inlineStr">
        <is>
          <t>KALMAR LÄN</t>
        </is>
      </c>
      <c r="G320" t="inlineStr">
        <is>
          <t>EMMABODA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46230</v>
      </c>
      <c r="F321" t="inlineStr">
        <is>
          <t>KALMAR LÄN</t>
        </is>
      </c>
      <c r="G321" t="inlineStr">
        <is>
          <t>EMMABODA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46230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46230</v>
      </c>
      <c r="F323" t="inlineStr">
        <is>
          <t>KALMAR LÄN</t>
        </is>
      </c>
      <c r="G323" t="inlineStr">
        <is>
          <t>EMMABODA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46230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46230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46230</v>
      </c>
      <c r="F326" t="inlineStr">
        <is>
          <t>KALMAR LÄN</t>
        </is>
      </c>
      <c r="G326" t="inlineStr">
        <is>
          <t>EMMABODA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46230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45335</v>
      </c>
      <c r="E328" s="1" t="n">
        <v>46230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46230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46230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45200</v>
      </c>
      <c r="E331" s="1" t="n">
        <v>46230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45755</v>
      </c>
      <c r="E332" s="1" t="n">
        <v>46230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46230</v>
      </c>
      <c r="F333" t="inlineStr">
        <is>
          <t>KALMAR LÄN</t>
        </is>
      </c>
      <c r="G333" t="inlineStr">
        <is>
          <t>EMMABODA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46230</v>
      </c>
      <c r="F334" t="inlineStr">
        <is>
          <t>KALMAR LÄN</t>
        </is>
      </c>
      <c r="G334" t="inlineStr">
        <is>
          <t>EMMABODA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46230</v>
      </c>
      <c r="F335" t="inlineStr">
        <is>
          <t>KALMAR LÄN</t>
        </is>
      </c>
      <c r="G335" t="inlineStr">
        <is>
          <t>EMMABODA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46230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44944</v>
      </c>
      <c r="E337" s="1" t="n">
        <v>46230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46230</v>
      </c>
      <c r="F338" t="inlineStr">
        <is>
          <t>KALMAR LÄN</t>
        </is>
      </c>
      <c r="G338" t="inlineStr">
        <is>
          <t>EMMABODA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46230</v>
      </c>
      <c r="F339" t="inlineStr">
        <is>
          <t>KALMAR LÄN</t>
        </is>
      </c>
      <c r="G339" t="inlineStr">
        <is>
          <t>EMMABODA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46230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46230</v>
      </c>
      <c r="F341" t="inlineStr">
        <is>
          <t>KALMAR LÄN</t>
        </is>
      </c>
      <c r="G341" t="inlineStr">
        <is>
          <t>EMMABODA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46230</v>
      </c>
      <c r="F342" t="inlineStr">
        <is>
          <t>KALMAR LÄN</t>
        </is>
      </c>
      <c r="G342" t="inlineStr">
        <is>
          <t>EMMABODA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46230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46230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46230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45976</v>
      </c>
      <c r="E346" s="1" t="n">
        <v>46230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46230</v>
      </c>
      <c r="F347" t="inlineStr">
        <is>
          <t>KALMAR LÄN</t>
        </is>
      </c>
      <c r="G347" t="inlineStr">
        <is>
          <t>EMMABODA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46230</v>
      </c>
      <c r="F348" t="inlineStr">
        <is>
          <t>KALMAR LÄN</t>
        </is>
      </c>
      <c r="G348" t="inlineStr">
        <is>
          <t>EMMABODA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44922</v>
      </c>
      <c r="E349" s="1" t="n">
        <v>46230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46230</v>
      </c>
      <c r="F350" t="inlineStr">
        <is>
          <t>KALMAR LÄN</t>
        </is>
      </c>
      <c r="G350" t="inlineStr">
        <is>
          <t>EMMABODA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44781</v>
      </c>
      <c r="E351" s="1" t="n">
        <v>46230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46230</v>
      </c>
      <c r="F352" t="inlineStr">
        <is>
          <t>KALMAR LÄN</t>
        </is>
      </c>
      <c r="G352" t="inlineStr">
        <is>
          <t>EMMABODA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45466</v>
      </c>
      <c r="E353" s="1" t="n">
        <v>46230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46230</v>
      </c>
      <c r="F354" t="inlineStr">
        <is>
          <t>KALMAR LÄN</t>
        </is>
      </c>
      <c r="G354" t="inlineStr">
        <is>
          <t>EMMABODA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46230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46230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46230</v>
      </c>
      <c r="F357" t="inlineStr">
        <is>
          <t>KALMAR LÄN</t>
        </is>
      </c>
      <c r="G357" t="inlineStr">
        <is>
          <t>EMMABODA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45327</v>
      </c>
      <c r="E358" s="1" t="n">
        <v>46230</v>
      </c>
      <c r="F358" t="inlineStr">
        <is>
          <t>KALMAR LÄN</t>
        </is>
      </c>
      <c r="G358" t="inlineStr">
        <is>
          <t>EMMABODA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46230</v>
      </c>
      <c r="F359" t="inlineStr">
        <is>
          <t>KALMAR LÄN</t>
        </is>
      </c>
      <c r="G359" t="inlineStr">
        <is>
          <t>EMMABODA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46230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46230</v>
      </c>
      <c r="F361" t="inlineStr">
        <is>
          <t>KALMAR LÄN</t>
        </is>
      </c>
      <c r="G361" t="inlineStr">
        <is>
          <t>EMMABODA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46230</v>
      </c>
      <c r="F362" t="inlineStr">
        <is>
          <t>KALMAR LÄN</t>
        </is>
      </c>
      <c r="G362" t="inlineStr">
        <is>
          <t>EMMABODA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46230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46230</v>
      </c>
      <c r="F364" t="inlineStr">
        <is>
          <t>KALMAR LÄN</t>
        </is>
      </c>
      <c r="G364" t="inlineStr">
        <is>
          <t>EMMABODA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46230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44951</v>
      </c>
      <c r="E366" s="1" t="n">
        <v>46230</v>
      </c>
      <c r="F366" t="inlineStr">
        <is>
          <t>KALMAR LÄN</t>
        </is>
      </c>
      <c r="G366" t="inlineStr">
        <is>
          <t>EMMABODA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46230</v>
      </c>
      <c r="F367" t="inlineStr">
        <is>
          <t>KALMAR LÄN</t>
        </is>
      </c>
      <c r="G367" t="inlineStr">
        <is>
          <t>EMMABODA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46230</v>
      </c>
      <c r="F368" t="inlineStr">
        <is>
          <t>KALMAR LÄN</t>
        </is>
      </c>
      <c r="G368" t="inlineStr">
        <is>
          <t>EMMABODA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46230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46230</v>
      </c>
      <c r="F370" t="inlineStr">
        <is>
          <t>KALMAR LÄN</t>
        </is>
      </c>
      <c r="G370" t="inlineStr">
        <is>
          <t>EMMABODA</t>
        </is>
      </c>
      <c r="H370" t="inlineStr">
        <is>
          <t>Övriga Aktiebolag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54982-2025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45967</v>
      </c>
      <c r="E371" s="1" t="n">
        <v>46230</v>
      </c>
      <c r="F371" t="inlineStr">
        <is>
          <t>KALMAR LÄN</t>
        </is>
      </c>
      <c r="G371" t="inlineStr">
        <is>
          <t>EMMABODA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46230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54983-2025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45967</v>
      </c>
      <c r="E373" s="1" t="n">
        <v>46230</v>
      </c>
      <c r="F373" t="inlineStr">
        <is>
          <t>KALMAR LÄN</t>
        </is>
      </c>
      <c r="G373" t="inlineStr">
        <is>
          <t>EMMABODA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44433</v>
      </c>
      <c r="E374" s="1" t="n">
        <v>46230</v>
      </c>
      <c r="F374" t="inlineStr">
        <is>
          <t>KALMAR LÄN</t>
        </is>
      </c>
      <c r="G374" t="inlineStr">
        <is>
          <t>EMMABODA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45258</v>
      </c>
      <c r="E375" s="1" t="n">
        <v>46230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46230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46230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46230</v>
      </c>
      <c r="F378" t="inlineStr">
        <is>
          <t>KALMAR LÄN</t>
        </is>
      </c>
      <c r="G378" t="inlineStr">
        <is>
          <t>EMMABODA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45349</v>
      </c>
      <c r="E379" s="1" t="n">
        <v>46230</v>
      </c>
      <c r="F379" t="inlineStr">
        <is>
          <t>KALMAR LÄN</t>
        </is>
      </c>
      <c r="G379" t="inlineStr">
        <is>
          <t>EMMABODA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45310</v>
      </c>
      <c r="E380" s="1" t="n">
        <v>46230</v>
      </c>
      <c r="F380" t="inlineStr">
        <is>
          <t>KALMAR LÄN</t>
        </is>
      </c>
      <c r="G380" t="inlineStr">
        <is>
          <t>EMMABODA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46230</v>
      </c>
      <c r="F381" t="inlineStr">
        <is>
          <t>KALMAR LÄN</t>
        </is>
      </c>
      <c r="G381" t="inlineStr">
        <is>
          <t>EMMABODA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45573</v>
      </c>
      <c r="E382" s="1" t="n">
        <v>46230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46230</v>
      </c>
      <c r="F383" t="inlineStr">
        <is>
          <t>KALMAR LÄN</t>
        </is>
      </c>
      <c r="G383" t="inlineStr">
        <is>
          <t>EMMABODA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46230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46230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46230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46230</v>
      </c>
      <c r="F387" t="inlineStr">
        <is>
          <t>KALMAR LÄN</t>
        </is>
      </c>
      <c r="G387" t="inlineStr">
        <is>
          <t>EMMABODA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45258</v>
      </c>
      <c r="E388" s="1" t="n">
        <v>46230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46230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46230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45400</v>
      </c>
      <c r="E391" s="1" t="n">
        <v>46230</v>
      </c>
      <c r="F391" t="inlineStr">
        <is>
          <t>KALMAR LÄN</t>
        </is>
      </c>
      <c r="G391" t="inlineStr">
        <is>
          <t>EMMABODA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46230</v>
      </c>
      <c r="F392" t="inlineStr">
        <is>
          <t>KALMAR LÄN</t>
        </is>
      </c>
      <c r="G392" t="inlineStr">
        <is>
          <t>EMMABODA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46230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46230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46230</v>
      </c>
      <c r="F395" t="inlineStr">
        <is>
          <t>KALMAR LÄN</t>
        </is>
      </c>
      <c r="G395" t="inlineStr">
        <is>
          <t>EMMABODA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46230</v>
      </c>
      <c r="F396" t="inlineStr">
        <is>
          <t>KALMAR LÄN</t>
        </is>
      </c>
      <c r="G396" t="inlineStr">
        <is>
          <t>EMMABODA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46230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46230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46230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46230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46230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44418</v>
      </c>
      <c r="E402" s="1" t="n">
        <v>46230</v>
      </c>
      <c r="F402" t="inlineStr">
        <is>
          <t>KALMAR LÄN</t>
        </is>
      </c>
      <c r="G402" t="inlineStr">
        <is>
          <t>EMMABODA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45716</v>
      </c>
      <c r="E403" s="1" t="n">
        <v>46230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45048</v>
      </c>
      <c r="E404" s="1" t="n">
        <v>46230</v>
      </c>
      <c r="F404" t="inlineStr">
        <is>
          <t>KALMAR LÄN</t>
        </is>
      </c>
      <c r="G404" t="inlineStr">
        <is>
          <t>EMMABODA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46230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46230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46230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46230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46083</v>
      </c>
      <c r="E409" s="1" t="n">
        <v>46230</v>
      </c>
      <c r="F409" t="inlineStr">
        <is>
          <t>KALMAR LÄN</t>
        </is>
      </c>
      <c r="G409" t="inlineStr">
        <is>
          <t>EMMABODA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46230</v>
      </c>
      <c r="F410" t="inlineStr">
        <is>
          <t>KALMAR LÄN</t>
        </is>
      </c>
      <c r="G410" t="inlineStr">
        <is>
          <t>EMMABODA</t>
        </is>
      </c>
      <c r="I410" t="n">
        <v>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46230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46230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46230</v>
      </c>
      <c r="F413" t="inlineStr">
        <is>
          <t>KALMAR LÄN</t>
        </is>
      </c>
      <c r="G413" t="inlineStr">
        <is>
          <t>EMMABODA</t>
        </is>
      </c>
      <c r="H413" t="inlineStr">
        <is>
          <t>Kyrkan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46230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46230</v>
      </c>
      <c r="F415" t="inlineStr">
        <is>
          <t>KALMAR LÄN</t>
        </is>
      </c>
      <c r="G415" t="inlineStr">
        <is>
          <t>EMMABODA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46230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46230</v>
      </c>
      <c r="F417" t="inlineStr">
        <is>
          <t>KALMAR LÄN</t>
        </is>
      </c>
      <c r="G417" t="inlineStr">
        <is>
          <t>EMMABODA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46230</v>
      </c>
      <c r="F418" t="inlineStr">
        <is>
          <t>KALMAR LÄN</t>
        </is>
      </c>
      <c r="G418" t="inlineStr">
        <is>
          <t>EMMABODA</t>
        </is>
      </c>
      <c r="H418" t="inlineStr">
        <is>
          <t>Sveaskog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45587</v>
      </c>
      <c r="E419" s="1" t="n">
        <v>46230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46230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46230</v>
      </c>
      <c r="F421" t="inlineStr">
        <is>
          <t>KALMAR LÄN</t>
        </is>
      </c>
      <c r="G421" t="inlineStr">
        <is>
          <t>EMMABODA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46230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46230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46230</v>
      </c>
      <c r="F424" t="inlineStr">
        <is>
          <t>KALMAR LÄN</t>
        </is>
      </c>
      <c r="G424" t="inlineStr">
        <is>
          <t>EMMABODA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46230</v>
      </c>
      <c r="F425" t="inlineStr">
        <is>
          <t>KALMAR LÄN</t>
        </is>
      </c>
      <c r="G425" t="inlineStr">
        <is>
          <t>EMMABODA</t>
        </is>
      </c>
      <c r="H425" t="inlineStr">
        <is>
          <t>Kyrkan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46230</v>
      </c>
      <c r="F426" t="inlineStr">
        <is>
          <t>KALMAR LÄN</t>
        </is>
      </c>
      <c r="G426" t="inlineStr">
        <is>
          <t>EMMABODA</t>
        </is>
      </c>
      <c r="H426" t="inlineStr">
        <is>
          <t>Kyrkan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46230</v>
      </c>
      <c r="F427" t="inlineStr">
        <is>
          <t>KALMAR LÄN</t>
        </is>
      </c>
      <c r="G427" t="inlineStr">
        <is>
          <t>EMMABODA</t>
        </is>
      </c>
      <c r="H427" t="inlineStr">
        <is>
          <t>Kyrkan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46230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46024</v>
      </c>
      <c r="E429" s="1" t="n">
        <v>46230</v>
      </c>
      <c r="F429" t="inlineStr">
        <is>
          <t>KALMAR LÄN</t>
        </is>
      </c>
      <c r="G429" t="inlineStr">
        <is>
          <t>EMMABODA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46230</v>
      </c>
      <c r="F430" t="inlineStr">
        <is>
          <t>KALMAR LÄN</t>
        </is>
      </c>
      <c r="G430" t="inlineStr">
        <is>
          <t>EMMABODA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46230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44743</v>
      </c>
      <c r="E432" s="1" t="n">
        <v>46230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46230</v>
      </c>
      <c r="F433" t="inlineStr">
        <is>
          <t>KALMAR LÄN</t>
        </is>
      </c>
      <c r="G433" t="inlineStr">
        <is>
          <t>EMMABODA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29023-2022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46230</v>
      </c>
      <c r="F434" t="inlineStr">
        <is>
          <t>KALMAR LÄN</t>
        </is>
      </c>
      <c r="G434" t="inlineStr">
        <is>
          <t>EMMABODA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46230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45327</v>
      </c>
      <c r="E436" s="1" t="n">
        <v>46230</v>
      </c>
      <c r="F436" t="inlineStr">
        <is>
          <t>KALMAR LÄN</t>
        </is>
      </c>
      <c r="G436" t="inlineStr">
        <is>
          <t>EMMABODA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46230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41366-2024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46230</v>
      </c>
      <c r="F438" t="inlineStr">
        <is>
          <t>KALMAR LÄN</t>
        </is>
      </c>
      <c r="G438" t="inlineStr">
        <is>
          <t>EMMABODA</t>
        </is>
      </c>
      <c r="H438" t="inlineStr">
        <is>
          <t>Övriga Aktiebolag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46230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46230</v>
      </c>
      <c r="F440" t="inlineStr">
        <is>
          <t>KALMAR LÄN</t>
        </is>
      </c>
      <c r="G440" t="inlineStr">
        <is>
          <t>EMMABODA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19881-2024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45433</v>
      </c>
      <c r="E441" s="1" t="n">
        <v>46230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46230</v>
      </c>
      <c r="F442" t="inlineStr">
        <is>
          <t>KALMAR LÄN</t>
        </is>
      </c>
      <c r="G442" t="inlineStr">
        <is>
          <t>EMMABODA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45007</v>
      </c>
      <c r="E443" s="1" t="n">
        <v>46230</v>
      </c>
      <c r="F443" t="inlineStr">
        <is>
          <t>KALMAR LÄN</t>
        </is>
      </c>
      <c r="G443" t="inlineStr">
        <is>
          <t>EMMABODA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46230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46230</v>
      </c>
      <c r="F445" t="inlineStr">
        <is>
          <t>KALMAR LÄN</t>
        </is>
      </c>
      <c r="G445" t="inlineStr">
        <is>
          <t>EMMABODA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46230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46230</v>
      </c>
      <c r="F447" t="inlineStr">
        <is>
          <t>KALMAR LÄN</t>
        </is>
      </c>
      <c r="G447" t="inlineStr">
        <is>
          <t>EMMABODA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46230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46230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46230</v>
      </c>
      <c r="F450" t="inlineStr">
        <is>
          <t>KALMAR LÄN</t>
        </is>
      </c>
      <c r="G450" t="inlineStr">
        <is>
          <t>EMMABODA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46230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36496-2024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45537</v>
      </c>
      <c r="E452" s="1" t="n">
        <v>46230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46230</v>
      </c>
      <c r="F453" t="inlineStr">
        <is>
          <t>KALMAR LÄN</t>
        </is>
      </c>
      <c r="G453" t="inlineStr">
        <is>
          <t>EMMABODA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46230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46230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46230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46230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46230</v>
      </c>
      <c r="F458" t="inlineStr">
        <is>
          <t>KALMAR LÄN</t>
        </is>
      </c>
      <c r="G458" t="inlineStr">
        <is>
          <t>EMMABODA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46230</v>
      </c>
      <c r="F459" t="inlineStr">
        <is>
          <t>KALMAR LÄN</t>
        </is>
      </c>
      <c r="G459" t="inlineStr">
        <is>
          <t>EMMABODA</t>
        </is>
      </c>
      <c r="H459" t="inlineStr">
        <is>
          <t>Sveaskog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68940-2021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44530</v>
      </c>
      <c r="E460" s="1" t="n">
        <v>46230</v>
      </c>
      <c r="F460" t="inlineStr">
        <is>
          <t>KALMAR LÄN</t>
        </is>
      </c>
      <c r="G460" t="inlineStr">
        <is>
          <t>EMMABODA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45189</v>
      </c>
      <c r="E461" s="1" t="n">
        <v>46230</v>
      </c>
      <c r="F461" t="inlineStr">
        <is>
          <t>KALMAR LÄN</t>
        </is>
      </c>
      <c r="G461" t="inlineStr">
        <is>
          <t>EMMABODA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46230</v>
      </c>
      <c r="F462" t="inlineStr">
        <is>
          <t>KALMAR LÄN</t>
        </is>
      </c>
      <c r="G462" t="inlineStr">
        <is>
          <t>EMMABODA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46230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46230</v>
      </c>
      <c r="F464" t="inlineStr">
        <is>
          <t>KALMAR LÄN</t>
        </is>
      </c>
      <c r="G464" t="inlineStr">
        <is>
          <t>EMMABODA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44851</v>
      </c>
      <c r="E465" s="1" t="n">
        <v>46230</v>
      </c>
      <c r="F465" t="inlineStr">
        <is>
          <t>KALMAR LÄN</t>
        </is>
      </c>
      <c r="G465" t="inlineStr">
        <is>
          <t>EMMABODA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46230</v>
      </c>
      <c r="F466" t="inlineStr">
        <is>
          <t>KALMAR LÄN</t>
        </is>
      </c>
      <c r="G466" t="inlineStr">
        <is>
          <t>EMMABODA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59737-2021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44494</v>
      </c>
      <c r="E467" s="1" t="n">
        <v>46230</v>
      </c>
      <c r="F467" t="inlineStr">
        <is>
          <t>KALMAR LÄN</t>
        </is>
      </c>
      <c r="G467" t="inlineStr">
        <is>
          <t>EMMABODA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46230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46230</v>
      </c>
      <c r="F469" t="inlineStr">
        <is>
          <t>KALMAR LÄN</t>
        </is>
      </c>
      <c r="G469" t="inlineStr">
        <is>
          <t>EMMABODA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46230</v>
      </c>
      <c r="F470" t="inlineStr">
        <is>
          <t>KALMAR LÄN</t>
        </is>
      </c>
      <c r="G470" t="inlineStr">
        <is>
          <t>EMMABODA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44405</v>
      </c>
      <c r="E471" s="1" t="n">
        <v>46230</v>
      </c>
      <c r="F471" t="inlineStr">
        <is>
          <t>KALMAR LÄN</t>
        </is>
      </c>
      <c r="G471" t="inlineStr">
        <is>
          <t>EMMABODA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46230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46230</v>
      </c>
      <c r="F473" t="inlineStr">
        <is>
          <t>KALMAR LÄN</t>
        </is>
      </c>
      <c r="G473" t="inlineStr">
        <is>
          <t>EMMABODA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46230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46230</v>
      </c>
      <c r="F475" t="inlineStr">
        <is>
          <t>KALMAR LÄN</t>
        </is>
      </c>
      <c r="G475" t="inlineStr">
        <is>
          <t>EMMABODA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14138-2023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45009</v>
      </c>
      <c r="E476" s="1" t="n">
        <v>46230</v>
      </c>
      <c r="F476" t="inlineStr">
        <is>
          <t>KALMAR LÄN</t>
        </is>
      </c>
      <c r="G476" t="inlineStr">
        <is>
          <t>EMMABODA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45009</v>
      </c>
      <c r="E477" s="1" t="n">
        <v>46230</v>
      </c>
      <c r="F477" t="inlineStr">
        <is>
          <t>KALMAR LÄN</t>
        </is>
      </c>
      <c r="G477" t="inlineStr">
        <is>
          <t>EMMABODA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46230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61791-2022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44911</v>
      </c>
      <c r="E479" s="1" t="n">
        <v>46230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45159</v>
      </c>
      <c r="E480" s="1" t="n">
        <v>46230</v>
      </c>
      <c r="F480" t="inlineStr">
        <is>
          <t>KALMAR LÄN</t>
        </is>
      </c>
      <c r="G480" t="inlineStr">
        <is>
          <t>EMMABODA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46230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46230</v>
      </c>
      <c r="F482" t="inlineStr">
        <is>
          <t>KALMAR LÄN</t>
        </is>
      </c>
      <c r="G482" t="inlineStr">
        <is>
          <t>EMMABODA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45514</v>
      </c>
      <c r="E483" s="1" t="n">
        <v>46230</v>
      </c>
      <c r="F483" t="inlineStr">
        <is>
          <t>KALMAR LÄN</t>
        </is>
      </c>
      <c r="G483" t="inlineStr">
        <is>
          <t>EMMABODA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45514</v>
      </c>
      <c r="E484" s="1" t="n">
        <v>46230</v>
      </c>
      <c r="F484" t="inlineStr">
        <is>
          <t>KALMAR LÄN</t>
        </is>
      </c>
      <c r="G484" t="inlineStr">
        <is>
          <t>EMMABODA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46230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46230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46230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46230</v>
      </c>
      <c r="F488" t="inlineStr">
        <is>
          <t>KALMAR LÄN</t>
        </is>
      </c>
      <c r="G488" t="inlineStr">
        <is>
          <t>EMMABODA</t>
        </is>
      </c>
      <c r="H488" t="inlineStr">
        <is>
          <t>Kyrkan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46230</v>
      </c>
      <c r="F489" t="inlineStr">
        <is>
          <t>KALMAR LÄN</t>
        </is>
      </c>
      <c r="G489" t="inlineStr">
        <is>
          <t>EMMABODA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46230</v>
      </c>
      <c r="F490" t="inlineStr">
        <is>
          <t>KALMAR LÄN</t>
        </is>
      </c>
      <c r="G490" t="inlineStr">
        <is>
          <t>EMMABODA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53350-2022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44879</v>
      </c>
      <c r="E491" s="1" t="n">
        <v>46230</v>
      </c>
      <c r="F491" t="inlineStr">
        <is>
          <t>KALMAR LÄN</t>
        </is>
      </c>
      <c r="G491" t="inlineStr">
        <is>
          <t>EMMABODA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46230</v>
      </c>
      <c r="F492" t="inlineStr">
        <is>
          <t>KALMAR LÄN</t>
        </is>
      </c>
      <c r="G492" t="inlineStr">
        <is>
          <t>EMMABODA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46230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46079</v>
      </c>
      <c r="E494" s="1" t="n">
        <v>46230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45126</v>
      </c>
      <c r="E495" s="1" t="n">
        <v>46230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46230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46230</v>
      </c>
      <c r="F497" t="inlineStr">
        <is>
          <t>KALMAR LÄN</t>
        </is>
      </c>
      <c r="G497" t="inlineStr">
        <is>
          <t>EMMABODA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46230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27155-2026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46188</v>
      </c>
      <c r="E499" s="1" t="n">
        <v>46230</v>
      </c>
      <c r="F499" t="inlineStr">
        <is>
          <t>KALMAR LÄN</t>
        </is>
      </c>
      <c r="G499" t="inlineStr">
        <is>
          <t>EMMABODA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46230</v>
      </c>
      <c r="F500" t="inlineStr">
        <is>
          <t>KALMAR LÄN</t>
        </is>
      </c>
      <c r="G500" t="inlineStr">
        <is>
          <t>EMMABODA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46230</v>
      </c>
      <c r="F501" t="inlineStr">
        <is>
          <t>KALMAR LÄN</t>
        </is>
      </c>
      <c r="G501" t="inlineStr">
        <is>
          <t>EMMABODA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45155</v>
      </c>
      <c r="E502" s="1" t="n">
        <v>46230</v>
      </c>
      <c r="F502" t="inlineStr">
        <is>
          <t>KALMAR LÄN</t>
        </is>
      </c>
      <c r="G502" t="inlineStr">
        <is>
          <t>EMMABODA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46230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46230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46230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46230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44953</v>
      </c>
      <c r="E507" s="1" t="n">
        <v>46230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45362</v>
      </c>
      <c r="E508" s="1" t="n">
        <v>46230</v>
      </c>
      <c r="F508" t="inlineStr">
        <is>
          <t>KALMAR LÄN</t>
        </is>
      </c>
      <c r="G508" t="inlineStr">
        <is>
          <t>EMMABODA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46230</v>
      </c>
      <c r="F509" t="inlineStr">
        <is>
          <t>KALMAR LÄN</t>
        </is>
      </c>
      <c r="G509" t="inlineStr">
        <is>
          <t>EMMABODA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46213</v>
      </c>
      <c r="E510" s="1" t="n">
        <v>46230</v>
      </c>
      <c r="F510" t="inlineStr">
        <is>
          <t>KALMAR LÄN</t>
        </is>
      </c>
      <c r="G510" t="inlineStr">
        <is>
          <t>EMMABODA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16134-2022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44665</v>
      </c>
      <c r="E511" s="1" t="n">
        <v>46230</v>
      </c>
      <c r="F511" t="inlineStr">
        <is>
          <t>KALMAR LÄN</t>
        </is>
      </c>
      <c r="G511" t="inlineStr">
        <is>
          <t>EMMABODA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44700</v>
      </c>
      <c r="E512" s="1" t="n">
        <v>46230</v>
      </c>
      <c r="F512" t="inlineStr">
        <is>
          <t>KALMAR LÄN</t>
        </is>
      </c>
      <c r="G512" t="inlineStr">
        <is>
          <t>EMMABODA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19551-2026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46134</v>
      </c>
      <c r="E513" s="1" t="n">
        <v>46230</v>
      </c>
      <c r="F513" t="inlineStr">
        <is>
          <t>KALMAR LÄN</t>
        </is>
      </c>
      <c r="G513" t="inlineStr">
        <is>
          <t>EMMABODA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45743</v>
      </c>
      <c r="E514" s="1" t="n">
        <v>46230</v>
      </c>
      <c r="F514" t="inlineStr">
        <is>
          <t>KALMAR LÄN</t>
        </is>
      </c>
      <c r="G514" t="inlineStr">
        <is>
          <t>EMMABODA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45296</v>
      </c>
      <c r="E515" s="1" t="n">
        <v>46230</v>
      </c>
      <c r="F515" t="inlineStr">
        <is>
          <t>KALMAR LÄN</t>
        </is>
      </c>
      <c r="G515" t="inlineStr">
        <is>
          <t>EMMABODA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46230</v>
      </c>
      <c r="F516" t="inlineStr">
        <is>
          <t>KALMAR LÄN</t>
        </is>
      </c>
      <c r="G516" t="inlineStr">
        <is>
          <t>EMMABODA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46230</v>
      </c>
      <c r="F517" t="inlineStr">
        <is>
          <t>KALMAR LÄN</t>
        </is>
      </c>
      <c r="G517" t="inlineStr">
        <is>
          <t>EMMABODA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45644</v>
      </c>
      <c r="E518" s="1" t="n">
        <v>46230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46230</v>
      </c>
      <c r="F519" t="inlineStr">
        <is>
          <t>KALMAR LÄN</t>
        </is>
      </c>
      <c r="G519" t="inlineStr">
        <is>
          <t>EMMABODA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42684-2023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46230</v>
      </c>
      <c r="F520" t="inlineStr">
        <is>
          <t>KALMAR LÄN</t>
        </is>
      </c>
      <c r="G520" t="inlineStr">
        <is>
          <t>EMMABODA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46230</v>
      </c>
      <c r="F521" t="inlineStr">
        <is>
          <t>KALMAR LÄN</t>
        </is>
      </c>
      <c r="G521" t="inlineStr">
        <is>
          <t>EMMABODA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15515-2026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46230</v>
      </c>
      <c r="F522" t="inlineStr">
        <is>
          <t>KALMAR LÄN</t>
        </is>
      </c>
      <c r="G522" t="inlineStr">
        <is>
          <t>EMMABODA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49624-2023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46230</v>
      </c>
      <c r="F523" t="inlineStr">
        <is>
          <t>KALMAR LÄN</t>
        </is>
      </c>
      <c r="G523" t="inlineStr">
        <is>
          <t>EMMABODA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45164</v>
      </c>
      <c r="E524" s="1" t="n">
        <v>46230</v>
      </c>
      <c r="F524" t="inlineStr">
        <is>
          <t>KALMAR LÄN</t>
        </is>
      </c>
      <c r="G524" t="inlineStr">
        <is>
          <t>EMMABODA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45190</v>
      </c>
      <c r="E525" s="1" t="n">
        <v>46230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46230</v>
      </c>
      <c r="F526" t="inlineStr">
        <is>
          <t>KALMAR LÄN</t>
        </is>
      </c>
      <c r="G526" t="inlineStr">
        <is>
          <t>EMMABODA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46230</v>
      </c>
      <c r="F527" t="inlineStr">
        <is>
          <t>KALMAR LÄN</t>
        </is>
      </c>
      <c r="G527" t="inlineStr">
        <is>
          <t>EMMABODA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46230</v>
      </c>
      <c r="F528" t="inlineStr">
        <is>
          <t>KALMAR LÄN</t>
        </is>
      </c>
      <c r="G528" t="inlineStr">
        <is>
          <t>EMMABODA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46230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46230</v>
      </c>
      <c r="F530" t="inlineStr">
        <is>
          <t>KALMAR LÄN</t>
        </is>
      </c>
      <c r="G530" t="inlineStr">
        <is>
          <t>EMMABODA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46230</v>
      </c>
      <c r="F531" t="inlineStr">
        <is>
          <t>KALMAR LÄN</t>
        </is>
      </c>
      <c r="G531" t="inlineStr">
        <is>
          <t>EMMABODA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46230</v>
      </c>
      <c r="F532" t="inlineStr">
        <is>
          <t>KALMAR LÄN</t>
        </is>
      </c>
      <c r="G532" t="inlineStr">
        <is>
          <t>EMMABODA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50500-2022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44861</v>
      </c>
      <c r="E533" s="1" t="n">
        <v>46230</v>
      </c>
      <c r="F533" t="inlineStr">
        <is>
          <t>KALMAR LÄN</t>
        </is>
      </c>
      <c r="G533" t="inlineStr">
        <is>
          <t>EMMABODA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46230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45205</v>
      </c>
      <c r="E535" s="1" t="n">
        <v>46230</v>
      </c>
      <c r="F535" t="inlineStr">
        <is>
          <t>KALMAR LÄN</t>
        </is>
      </c>
      <c r="G535" t="inlineStr">
        <is>
          <t>EMMABODA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45474</v>
      </c>
      <c r="E536" s="1" t="n">
        <v>46230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46230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46230</v>
      </c>
      <c r="F538" t="inlineStr">
        <is>
          <t>KALMAR LÄN</t>
        </is>
      </c>
      <c r="G538" t="inlineStr">
        <is>
          <t>EMMABODA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46230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46230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37996-2021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44404</v>
      </c>
      <c r="E541" s="1" t="n">
        <v>46230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46230</v>
      </c>
      <c r="F542" t="inlineStr">
        <is>
          <t>KALMAR LÄN</t>
        </is>
      </c>
      <c r="G542" t="inlineStr">
        <is>
          <t>EMMABODA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46120</v>
      </c>
      <c r="E543" s="1" t="n">
        <v>46230</v>
      </c>
      <c r="F543" t="inlineStr">
        <is>
          <t>KALMAR LÄN</t>
        </is>
      </c>
      <c r="G543" t="inlineStr">
        <is>
          <t>EMMABODA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46230</v>
      </c>
      <c r="F544" t="inlineStr">
        <is>
          <t>KALMAR LÄN</t>
        </is>
      </c>
      <c r="G544" t="inlineStr">
        <is>
          <t>EMMABODA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44490-2024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45574</v>
      </c>
      <c r="E545" s="1" t="n">
        <v>46230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46230</v>
      </c>
      <c r="F546" t="inlineStr">
        <is>
          <t>KALMAR LÄN</t>
        </is>
      </c>
      <c r="G546" t="inlineStr">
        <is>
          <t>EMMABODA</t>
        </is>
      </c>
      <c r="H546" t="inlineStr">
        <is>
          <t>Övriga Aktiebolag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46230</v>
      </c>
      <c r="F547" t="inlineStr">
        <is>
          <t>KALMAR LÄN</t>
        </is>
      </c>
      <c r="G547" t="inlineStr">
        <is>
          <t>EMMABODA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46230</v>
      </c>
      <c r="F548" t="inlineStr">
        <is>
          <t>KALMAR LÄN</t>
        </is>
      </c>
      <c r="G548" t="inlineStr">
        <is>
          <t>EMMABODA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46230</v>
      </c>
      <c r="F549" t="inlineStr">
        <is>
          <t>KALMAR LÄN</t>
        </is>
      </c>
      <c r="G549" t="inlineStr">
        <is>
          <t>EMMABODA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18444-2026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46127</v>
      </c>
      <c r="E550" s="1" t="n">
        <v>46230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18437-2026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46127</v>
      </c>
      <c r="E551" s="1" t="n">
        <v>46230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46230</v>
      </c>
      <c r="F552" t="inlineStr">
        <is>
          <t>KALMAR LÄN</t>
        </is>
      </c>
      <c r="G552" t="inlineStr">
        <is>
          <t>EMMABODA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46230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46230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46230</v>
      </c>
      <c r="F555" t="inlineStr">
        <is>
          <t>KALMAR LÄN</t>
        </is>
      </c>
      <c r="G555" t="inlineStr">
        <is>
          <t>EMMABODA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46230</v>
      </c>
      <c r="F556" t="inlineStr">
        <is>
          <t>KALMAR LÄN</t>
        </is>
      </c>
      <c r="G556" t="inlineStr">
        <is>
          <t>EMMABODA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45341</v>
      </c>
      <c r="E557" s="1" t="n">
        <v>46230</v>
      </c>
      <c r="F557" t="inlineStr">
        <is>
          <t>KALMAR LÄN</t>
        </is>
      </c>
      <c r="G557" t="inlineStr">
        <is>
          <t>EMMABODA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46230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46230</v>
      </c>
      <c r="F559" t="inlineStr">
        <is>
          <t>KALMAR LÄN</t>
        </is>
      </c>
      <c r="G559" t="inlineStr">
        <is>
          <t>EMMABODA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45003</v>
      </c>
      <c r="E560" s="1" t="n">
        <v>46230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46230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12014-2023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44995</v>
      </c>
      <c r="E562" s="1" t="n">
        <v>46230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46230</v>
      </c>
      <c r="F563" t="inlineStr">
        <is>
          <t>KALMAR LÄN</t>
        </is>
      </c>
      <c r="G563" t="inlineStr">
        <is>
          <t>EMMABODA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46230</v>
      </c>
      <c r="F564" t="inlineStr">
        <is>
          <t>KALMAR LÄN</t>
        </is>
      </c>
      <c r="G564" t="inlineStr">
        <is>
          <t>EMMABODA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46230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45146</v>
      </c>
      <c r="E566" s="1" t="n">
        <v>46230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46230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44959</v>
      </c>
      <c r="E568" s="1" t="n">
        <v>46230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46230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46230</v>
      </c>
      <c r="F570" t="inlineStr">
        <is>
          <t>KALMAR LÄN</t>
        </is>
      </c>
      <c r="G570" t="inlineStr">
        <is>
          <t>EMMABODA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46230</v>
      </c>
      <c r="F571" t="inlineStr">
        <is>
          <t>KALMAR LÄN</t>
        </is>
      </c>
      <c r="G571" t="inlineStr">
        <is>
          <t>EMMABODA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46230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46230</v>
      </c>
      <c r="F573" t="inlineStr">
        <is>
          <t>KALMAR LÄN</t>
        </is>
      </c>
      <c r="G573" t="inlineStr">
        <is>
          <t>EMMABODA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44580</v>
      </c>
      <c r="E574" s="1" t="n">
        <v>46230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46230</v>
      </c>
      <c r="F575" t="inlineStr">
        <is>
          <t>KALMAR LÄN</t>
        </is>
      </c>
      <c r="G575" t="inlineStr">
        <is>
          <t>EMMABODA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46230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46230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46230</v>
      </c>
      <c r="F578" t="inlineStr">
        <is>
          <t>KALMAR LÄN</t>
        </is>
      </c>
      <c r="G578" t="inlineStr">
        <is>
          <t>EMMABODA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46230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44761</v>
      </c>
      <c r="E580" s="1" t="n">
        <v>46230</v>
      </c>
      <c r="F580" t="inlineStr">
        <is>
          <t>KALMAR LÄN</t>
        </is>
      </c>
      <c r="G580" t="inlineStr">
        <is>
          <t>EMMABODA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36043-2022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44802</v>
      </c>
      <c r="E581" s="1" t="n">
        <v>46230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45422</v>
      </c>
      <c r="E582" s="1" t="n">
        <v>46230</v>
      </c>
      <c r="F582" t="inlineStr">
        <is>
          <t>KALMAR LÄN</t>
        </is>
      </c>
      <c r="G582" t="inlineStr">
        <is>
          <t>EMMABODA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44808</v>
      </c>
      <c r="E583" s="1" t="n">
        <v>46230</v>
      </c>
      <c r="F583" t="inlineStr">
        <is>
          <t>KALMAR LÄN</t>
        </is>
      </c>
      <c r="G583" t="inlineStr">
        <is>
          <t>EMMABODA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48113-2021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44449</v>
      </c>
      <c r="E584" s="1" t="n">
        <v>46230</v>
      </c>
      <c r="F584" t="inlineStr">
        <is>
          <t>KALMAR LÄN</t>
        </is>
      </c>
      <c r="G584" t="inlineStr">
        <is>
          <t>EMMABODA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44542-2023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45189</v>
      </c>
      <c r="E585" s="1" t="n">
        <v>46230</v>
      </c>
      <c r="F585" t="inlineStr">
        <is>
          <t>KALMAR LÄN</t>
        </is>
      </c>
      <c r="G585" t="inlineStr">
        <is>
          <t>EMMABODA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46230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45049</v>
      </c>
      <c r="E587" s="1" t="n">
        <v>46230</v>
      </c>
      <c r="F587" t="inlineStr">
        <is>
          <t>KALMAR LÄN</t>
        </is>
      </c>
      <c r="G587" t="inlineStr">
        <is>
          <t>EMMABODA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69464-2021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44531</v>
      </c>
      <c r="E588" s="1" t="n">
        <v>46230</v>
      </c>
      <c r="F588" t="inlineStr">
        <is>
          <t>KALMAR LÄN</t>
        </is>
      </c>
      <c r="G588" t="inlineStr">
        <is>
          <t>EMMABODA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45051</v>
      </c>
      <c r="E589" s="1" t="n">
        <v>46230</v>
      </c>
      <c r="F589" t="inlineStr">
        <is>
          <t>KALMAR LÄN</t>
        </is>
      </c>
      <c r="G589" t="inlineStr">
        <is>
          <t>EMMABODA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45051</v>
      </c>
      <c r="E590" s="1" t="n">
        <v>46230</v>
      </c>
      <c r="F590" t="inlineStr">
        <is>
          <t>KALMAR LÄN</t>
        </is>
      </c>
      <c r="G590" t="inlineStr">
        <is>
          <t>EMMABODA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46230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45126</v>
      </c>
      <c r="E592" s="1" t="n">
        <v>46230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46230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44673</v>
      </c>
      <c r="E594" s="1" t="n">
        <v>46230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49726-2024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46230</v>
      </c>
      <c r="F595" t="inlineStr">
        <is>
          <t>KALMAR LÄN</t>
        </is>
      </c>
      <c r="G595" t="inlineStr">
        <is>
          <t>EMMABODA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46230</v>
      </c>
      <c r="F596" t="inlineStr">
        <is>
          <t>KALMAR LÄN</t>
        </is>
      </c>
      <c r="G596" t="inlineStr">
        <is>
          <t>EMMABODA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45668</v>
      </c>
      <c r="E597" s="1" t="n">
        <v>46230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44759</v>
      </c>
      <c r="E598" s="1" t="n">
        <v>46230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44594</v>
      </c>
      <c r="E599" s="1" t="n">
        <v>46230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45323</v>
      </c>
      <c r="E600" s="1" t="n">
        <v>46230</v>
      </c>
      <c r="F600" t="inlineStr">
        <is>
          <t>KALMAR LÄN</t>
        </is>
      </c>
      <c r="G600" t="inlineStr">
        <is>
          <t>EMMABODA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44852</v>
      </c>
      <c r="E601" s="1" t="n">
        <v>46230</v>
      </c>
      <c r="F601" t="inlineStr">
        <is>
          <t>KALMAR LÄN</t>
        </is>
      </c>
      <c r="G601" t="inlineStr">
        <is>
          <t>EMMABODA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46230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46230</v>
      </c>
      <c r="F603" t="inlineStr">
        <is>
          <t>KALMAR LÄN</t>
        </is>
      </c>
      <c r="G603" t="inlineStr">
        <is>
          <t>EMMABODA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45310</v>
      </c>
      <c r="E604" s="1" t="n">
        <v>46230</v>
      </c>
      <c r="F604" t="inlineStr">
        <is>
          <t>KALMAR LÄN</t>
        </is>
      </c>
      <c r="G604" t="inlineStr">
        <is>
          <t>EMMABODA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45204</v>
      </c>
      <c r="E605" s="1" t="n">
        <v>46230</v>
      </c>
      <c r="F605" t="inlineStr">
        <is>
          <t>KALMAR LÄN</t>
        </is>
      </c>
      <c r="G605" t="inlineStr">
        <is>
          <t>EMMABODA</t>
        </is>
      </c>
      <c r="H605" t="inlineStr">
        <is>
          <t>Övriga Aktiebolag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45062</v>
      </c>
      <c r="E606" s="1" t="n">
        <v>46230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46230</v>
      </c>
      <c r="F607" t="inlineStr">
        <is>
          <t>KALMAR LÄN</t>
        </is>
      </c>
      <c r="G607" t="inlineStr">
        <is>
          <t>EMMABODA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46230</v>
      </c>
      <c r="F608" t="inlineStr">
        <is>
          <t>KALMAR LÄN</t>
        </is>
      </c>
      <c r="G608" t="inlineStr">
        <is>
          <t>EMMABODA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46230</v>
      </c>
      <c r="F609" t="inlineStr">
        <is>
          <t>KALMAR LÄN</t>
        </is>
      </c>
      <c r="G609" t="inlineStr">
        <is>
          <t>EMMABODA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44589</v>
      </c>
      <c r="E610" s="1" t="n">
        <v>46230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44726</v>
      </c>
      <c r="E611" s="1" t="n">
        <v>46230</v>
      </c>
      <c r="F611" t="inlineStr">
        <is>
          <t>KALMAR LÄN</t>
        </is>
      </c>
      <c r="G611" t="inlineStr">
        <is>
          <t>EMMABODA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45742</v>
      </c>
      <c r="E612" s="1" t="n">
        <v>46230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67538-2021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44524</v>
      </c>
      <c r="E613" s="1" t="n">
        <v>46230</v>
      </c>
      <c r="F613" t="inlineStr">
        <is>
          <t>KALMAR LÄN</t>
        </is>
      </c>
      <c r="G613" t="inlineStr">
        <is>
          <t>EMMABODA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24983-2022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44728</v>
      </c>
      <c r="E614" s="1" t="n">
        <v>46230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46230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38924-2022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44816</v>
      </c>
      <c r="E616" s="1" t="n">
        <v>46230</v>
      </c>
      <c r="F616" t="inlineStr">
        <is>
          <t>KALMAR LÄN</t>
        </is>
      </c>
      <c r="G616" t="inlineStr">
        <is>
          <t>EMMABODA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44840</v>
      </c>
      <c r="E617" s="1" t="n">
        <v>46230</v>
      </c>
      <c r="F617" t="inlineStr">
        <is>
          <t>KALMAR LÄN</t>
        </is>
      </c>
      <c r="G617" t="inlineStr">
        <is>
          <t>EMMABODA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46230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46230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46230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46230</v>
      </c>
      <c r="F621" t="inlineStr">
        <is>
          <t>KALMAR LÄN</t>
        </is>
      </c>
      <c r="G621" t="inlineStr">
        <is>
          <t>EMMABODA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41545-2022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44827</v>
      </c>
      <c r="E622" s="1" t="n">
        <v>46230</v>
      </c>
      <c r="F622" t="inlineStr">
        <is>
          <t>KALMAR LÄN</t>
        </is>
      </c>
      <c r="G622" t="inlineStr">
        <is>
          <t>EMMABODA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46230</v>
      </c>
      <c r="F623" t="inlineStr">
        <is>
          <t>KALMAR LÄN</t>
        </is>
      </c>
      <c r="G623" t="inlineStr">
        <is>
          <t>EMMABODA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73058-2021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44550</v>
      </c>
      <c r="E624" s="1" t="n">
        <v>46230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45076</v>
      </c>
      <c r="E625" s="1" t="n">
        <v>46230</v>
      </c>
      <c r="F625" t="inlineStr">
        <is>
          <t>KALMAR LÄN</t>
        </is>
      </c>
      <c r="G625" t="inlineStr">
        <is>
          <t>EMMABODA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45385</v>
      </c>
      <c r="E626" s="1" t="n">
        <v>46230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45515</v>
      </c>
      <c r="E627" s="1" t="n">
        <v>46230</v>
      </c>
      <c r="F627" t="inlineStr">
        <is>
          <t>KALMAR LÄN</t>
        </is>
      </c>
      <c r="G627" t="inlineStr">
        <is>
          <t>EMMABODA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45307</v>
      </c>
      <c r="E628" s="1" t="n">
        <v>46230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46230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45187</v>
      </c>
      <c r="E630" s="1" t="n">
        <v>46230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46230</v>
      </c>
      <c r="F631" t="inlineStr">
        <is>
          <t>KALMAR LÄN</t>
        </is>
      </c>
      <c r="G631" t="inlineStr">
        <is>
          <t>EMMABODA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20505-2022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44699</v>
      </c>
      <c r="E632" s="1" t="n">
        <v>46230</v>
      </c>
      <c r="F632" t="inlineStr">
        <is>
          <t>KALMAR LÄN</t>
        </is>
      </c>
      <c r="G632" t="inlineStr">
        <is>
          <t>EMMABODA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15362-2024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45400</v>
      </c>
      <c r="E633" s="1" t="n">
        <v>46230</v>
      </c>
      <c r="F633" t="inlineStr">
        <is>
          <t>KALMAR LÄN</t>
        </is>
      </c>
      <c r="G633" t="inlineStr">
        <is>
          <t>EMMABODA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45229</v>
      </c>
      <c r="E634" s="1" t="n">
        <v>46230</v>
      </c>
      <c r="F634" t="inlineStr">
        <is>
          <t>KALMAR LÄN</t>
        </is>
      </c>
      <c r="G634" t="inlineStr">
        <is>
          <t>EMMABODA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45293-2023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45188</v>
      </c>
      <c r="E635" s="1" t="n">
        <v>46230</v>
      </c>
      <c r="F635" t="inlineStr">
        <is>
          <t>KALMAR LÄN</t>
        </is>
      </c>
      <c r="G635" t="inlineStr">
        <is>
          <t>EMMABODA</t>
        </is>
      </c>
      <c r="H635" t="inlineStr">
        <is>
          <t>Kyrkan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19350-2025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45769</v>
      </c>
      <c r="E636" s="1" t="n">
        <v>46230</v>
      </c>
      <c r="F636" t="inlineStr">
        <is>
          <t>KALMAR LÄN</t>
        </is>
      </c>
      <c r="G636" t="inlineStr">
        <is>
          <t>EMMABODA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44769</v>
      </c>
      <c r="E637" s="1" t="n">
        <v>46230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46230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46230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46230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46230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45048</v>
      </c>
      <c r="E642" s="1" t="n">
        <v>46230</v>
      </c>
      <c r="F642" t="inlineStr">
        <is>
          <t>KALMAR LÄN</t>
        </is>
      </c>
      <c r="G642" t="inlineStr">
        <is>
          <t>EMMABODA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46230</v>
      </c>
      <c r="F643" t="inlineStr">
        <is>
          <t>KALMAR LÄN</t>
        </is>
      </c>
      <c r="G643" t="inlineStr">
        <is>
          <t>EMMABODA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36367-2024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46230</v>
      </c>
      <c r="F644" t="inlineStr">
        <is>
          <t>KALMAR LÄN</t>
        </is>
      </c>
      <c r="G644" t="inlineStr">
        <is>
          <t>EMMABODA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49953-2023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46230</v>
      </c>
      <c r="F645" t="inlineStr">
        <is>
          <t>KALMAR LÄN</t>
        </is>
      </c>
      <c r="G645" t="inlineStr">
        <is>
          <t>EMMABODA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46230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45523</v>
      </c>
      <c r="E647" s="1" t="n">
        <v>46230</v>
      </c>
      <c r="F647" t="inlineStr">
        <is>
          <t>KALMAR LÄN</t>
        </is>
      </c>
      <c r="G647" t="inlineStr">
        <is>
          <t>EMMABODA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46230</v>
      </c>
      <c r="F648" t="inlineStr">
        <is>
          <t>KALMAR LÄN</t>
        </is>
      </c>
      <c r="G648" t="inlineStr">
        <is>
          <t>EMMABODA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46230</v>
      </c>
      <c r="F649" t="inlineStr">
        <is>
          <t>KALMAR LÄN</t>
        </is>
      </c>
      <c r="G649" t="inlineStr">
        <is>
          <t>EMMABODA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45624</v>
      </c>
      <c r="E650" s="1" t="n">
        <v>46230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46230</v>
      </c>
      <c r="F651" t="inlineStr">
        <is>
          <t>KALMAR LÄN</t>
        </is>
      </c>
      <c r="G651" t="inlineStr">
        <is>
          <t>EMMABODA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46230</v>
      </c>
      <c r="F652" t="inlineStr">
        <is>
          <t>KALMAR LÄN</t>
        </is>
      </c>
      <c r="G652" t="inlineStr">
        <is>
          <t>EMMABODA</t>
        </is>
      </c>
      <c r="I652" t="n">
        <v>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45445</v>
      </c>
      <c r="E653" s="1" t="n">
        <v>46230</v>
      </c>
      <c r="F653" t="inlineStr">
        <is>
          <t>KALMAR LÄN</t>
        </is>
      </c>
      <c r="G653" t="inlineStr">
        <is>
          <t>EMMABODA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45317</v>
      </c>
      <c r="E654" s="1" t="n">
        <v>46230</v>
      </c>
      <c r="F654" t="inlineStr">
        <is>
          <t>KALMAR LÄN</t>
        </is>
      </c>
      <c r="G654" t="inlineStr">
        <is>
          <t>EMMABODA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45548</v>
      </c>
      <c r="E655" s="1" t="n">
        <v>46230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45415</v>
      </c>
      <c r="E656" s="1" t="n">
        <v>46230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59413-2024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46230</v>
      </c>
      <c r="F657" t="inlineStr">
        <is>
          <t>KALMAR LÄN</t>
        </is>
      </c>
      <c r="G657" t="inlineStr">
        <is>
          <t>EMMABODA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42448-2024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46230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45386</v>
      </c>
      <c r="E659" s="1" t="n">
        <v>46230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45775</v>
      </c>
      <c r="E660" s="1" t="n">
        <v>46230</v>
      </c>
      <c r="F660" t="inlineStr">
        <is>
          <t>KALMAR LÄN</t>
        </is>
      </c>
      <c r="G660" t="inlineStr">
        <is>
          <t>EMMABODA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49066-2021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44453</v>
      </c>
      <c r="E661" s="1" t="n">
        <v>46230</v>
      </c>
      <c r="F661" t="inlineStr">
        <is>
          <t>KALMAR LÄN</t>
        </is>
      </c>
      <c r="G661" t="inlineStr">
        <is>
          <t>EMMABODA</t>
        </is>
      </c>
      <c r="I661" t="n">
        <v>8.6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45481</v>
      </c>
      <c r="E662" s="1" t="n">
        <v>46230</v>
      </c>
      <c r="F662" t="inlineStr">
        <is>
          <t>KALMAR LÄN</t>
        </is>
      </c>
      <c r="G662" t="inlineStr">
        <is>
          <t>EMMABODA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45566</v>
      </c>
      <c r="E663" s="1" t="n">
        <v>46230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46429-2024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45582</v>
      </c>
      <c r="E664" s="1" t="n">
        <v>46230</v>
      </c>
      <c r="F664" t="inlineStr">
        <is>
          <t>KALMAR LÄN</t>
        </is>
      </c>
      <c r="G664" t="inlineStr">
        <is>
          <t>EMMABODA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52462-2024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46230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46230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45688</v>
      </c>
      <c r="E667" s="1" t="n">
        <v>46230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46230</v>
      </c>
      <c r="F668" t="inlineStr">
        <is>
          <t>KALMAR LÄN</t>
        </is>
      </c>
      <c r="G668" t="inlineStr">
        <is>
          <t>EMMABODA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15281-2024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46230</v>
      </c>
      <c r="F669" t="inlineStr">
        <is>
          <t>KALMAR LÄN</t>
        </is>
      </c>
      <c r="G669" t="inlineStr">
        <is>
          <t>EMMABODA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45455</v>
      </c>
      <c r="E670" s="1" t="n">
        <v>46230</v>
      </c>
      <c r="F670" t="inlineStr">
        <is>
          <t>KALMAR LÄN</t>
        </is>
      </c>
      <c r="G670" t="inlineStr">
        <is>
          <t>EMMABODA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45665</v>
      </c>
      <c r="E671" s="1" t="n">
        <v>46230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8397-2023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44977</v>
      </c>
      <c r="E672" s="1" t="n">
        <v>46230</v>
      </c>
      <c r="F672" t="inlineStr">
        <is>
          <t>KALMAR LÄN</t>
        </is>
      </c>
      <c r="G672" t="inlineStr">
        <is>
          <t>EMMABODA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46230</v>
      </c>
      <c r="F673" t="inlineStr">
        <is>
          <t>KALMAR LÄN</t>
        </is>
      </c>
      <c r="G673" t="inlineStr">
        <is>
          <t>EMMABODA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4947-2023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44958</v>
      </c>
      <c r="E674" s="1" t="n">
        <v>46230</v>
      </c>
      <c r="F674" t="inlineStr">
        <is>
          <t>KALMAR LÄN</t>
        </is>
      </c>
      <c r="G674" t="inlineStr">
        <is>
          <t>EMMABODA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45800</v>
      </c>
      <c r="E675" s="1" t="n">
        <v>46230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25776-2025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45804</v>
      </c>
      <c r="E676" s="1" t="n">
        <v>46230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46230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45825</v>
      </c>
      <c r="E678" s="1" t="n">
        <v>46230</v>
      </c>
      <c r="F678" t="inlineStr">
        <is>
          <t>KALMAR LÄN</t>
        </is>
      </c>
      <c r="G678" t="inlineStr">
        <is>
          <t>EMMABODA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46230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45826</v>
      </c>
      <c r="E680" s="1" t="n">
        <v>46230</v>
      </c>
      <c r="F680" t="inlineStr">
        <is>
          <t>KALMAR LÄN</t>
        </is>
      </c>
      <c r="G680" t="inlineStr">
        <is>
          <t>EMMABODA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45826</v>
      </c>
      <c r="E681" s="1" t="n">
        <v>46230</v>
      </c>
      <c r="F681" t="inlineStr">
        <is>
          <t>KALMAR LÄN</t>
        </is>
      </c>
      <c r="G681" t="inlineStr">
        <is>
          <t>EMMABODA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45826</v>
      </c>
      <c r="E682" s="1" t="n">
        <v>46230</v>
      </c>
      <c r="F682" t="inlineStr">
        <is>
          <t>KALMAR LÄN</t>
        </is>
      </c>
      <c r="G682" t="inlineStr">
        <is>
          <t>EMMABODA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45826</v>
      </c>
      <c r="E683" s="1" t="n">
        <v>46230</v>
      </c>
      <c r="F683" t="inlineStr">
        <is>
          <t>KALMAR LÄN</t>
        </is>
      </c>
      <c r="G683" t="inlineStr">
        <is>
          <t>EMMABODA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46230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45832</v>
      </c>
      <c r="E685" s="1" t="n">
        <v>46230</v>
      </c>
      <c r="F685" t="inlineStr">
        <is>
          <t>KALMAR LÄN</t>
        </is>
      </c>
      <c r="G685" t="inlineStr">
        <is>
          <t>EMMABODA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46230</v>
      </c>
      <c r="F686" t="inlineStr">
        <is>
          <t>KALMAR LÄN</t>
        </is>
      </c>
      <c r="G686" t="inlineStr">
        <is>
          <t>EMMABODA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45805</v>
      </c>
      <c r="E687" s="1" t="n">
        <v>46230</v>
      </c>
      <c r="F687" t="inlineStr">
        <is>
          <t>KALMAR LÄN</t>
        </is>
      </c>
      <c r="G687" t="inlineStr">
        <is>
          <t>EMMABODA</t>
        </is>
      </c>
      <c r="I687" t="n">
        <v>12.5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34055-2025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45845</v>
      </c>
      <c r="E688" s="1" t="n">
        <v>46230</v>
      </c>
      <c r="F688" t="inlineStr">
        <is>
          <t>KALMAR LÄN</t>
        </is>
      </c>
      <c r="G688" t="inlineStr">
        <is>
          <t>EMMABODA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55604-2024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45621</v>
      </c>
      <c r="E689" s="1" t="n">
        <v>46230</v>
      </c>
      <c r="F689" t="inlineStr">
        <is>
          <t>KALMAR LÄN</t>
        </is>
      </c>
      <c r="G689" t="inlineStr">
        <is>
          <t>EMMABODA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46230</v>
      </c>
      <c r="F690" t="inlineStr">
        <is>
          <t>KALMAR LÄN</t>
        </is>
      </c>
      <c r="G690" t="inlineStr">
        <is>
          <t>EMMABODA</t>
        </is>
      </c>
      <c r="I690" t="n">
        <v>9.300000000000001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45849</v>
      </c>
      <c r="E691" s="1" t="n">
        <v>46230</v>
      </c>
      <c r="F691" t="inlineStr">
        <is>
          <t>KALMAR LÄN</t>
        </is>
      </c>
      <c r="G691" t="inlineStr">
        <is>
          <t>EMMABODA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20511-2025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46230</v>
      </c>
      <c r="F692" t="inlineStr">
        <is>
          <t>KALMAR LÄN</t>
        </is>
      </c>
      <c r="G692" t="inlineStr">
        <is>
          <t>EMMABODA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9715-2025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45716</v>
      </c>
      <c r="E693" s="1" t="n">
        <v>46230</v>
      </c>
      <c r="F693" t="inlineStr">
        <is>
          <t>KALMAR LÄN</t>
        </is>
      </c>
      <c r="G693" t="inlineStr">
        <is>
          <t>EMMABODA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45851</v>
      </c>
      <c r="E694" s="1" t="n">
        <v>46230</v>
      </c>
      <c r="F694" t="inlineStr">
        <is>
          <t>KALMAR LÄN</t>
        </is>
      </c>
      <c r="G694" t="inlineStr">
        <is>
          <t>EMMABODA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45851</v>
      </c>
      <c r="E695" s="1" t="n">
        <v>46230</v>
      </c>
      <c r="F695" t="inlineStr">
        <is>
          <t>KALMAR LÄN</t>
        </is>
      </c>
      <c r="G695" t="inlineStr">
        <is>
          <t>EMMABODA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45772</v>
      </c>
      <c r="E696" s="1" t="n">
        <v>46230</v>
      </c>
      <c r="F696" t="inlineStr">
        <is>
          <t>KALMAR LÄN</t>
        </is>
      </c>
      <c r="G696" t="inlineStr">
        <is>
          <t>EMMABODA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35592-2025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45857</v>
      </c>
      <c r="E697" s="1" t="n">
        <v>46230</v>
      </c>
      <c r="F697" t="inlineStr">
        <is>
          <t>KALMAR LÄN</t>
        </is>
      </c>
      <c r="G697" t="inlineStr">
        <is>
          <t>EMMABODA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46230</v>
      </c>
      <c r="F698" t="inlineStr">
        <is>
          <t>KALMAR LÄN</t>
        </is>
      </c>
      <c r="G698" t="inlineStr">
        <is>
          <t>EMMABODA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16273-2025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45750</v>
      </c>
      <c r="E699" s="1" t="n">
        <v>46230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22899-2025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45790</v>
      </c>
      <c r="E700" s="1" t="n">
        <v>46230</v>
      </c>
      <c r="F700" t="inlineStr">
        <is>
          <t>KALMAR LÄN</t>
        </is>
      </c>
      <c r="G700" t="inlineStr">
        <is>
          <t>EMMABODA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7596-2021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44476</v>
      </c>
      <c r="E701" s="1" t="n">
        <v>46230</v>
      </c>
      <c r="F701" t="inlineStr">
        <is>
          <t>KALMAR LÄN</t>
        </is>
      </c>
      <c r="G701" t="inlineStr">
        <is>
          <t>EMMABODA</t>
        </is>
      </c>
      <c r="I701" t="n">
        <v>35.3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3248-2023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46230</v>
      </c>
      <c r="F702" t="inlineStr">
        <is>
          <t>KALMAR LÄN</t>
        </is>
      </c>
      <c r="G702" t="inlineStr">
        <is>
          <t>EMMABODA</t>
        </is>
      </c>
      <c r="I702" t="n">
        <v>30.4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7095-2021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44462</v>
      </c>
      <c r="E703" s="1" t="n">
        <v>46230</v>
      </c>
      <c r="F703" t="inlineStr">
        <is>
          <t>KALMAR LÄN</t>
        </is>
      </c>
      <c r="G703" t="inlineStr">
        <is>
          <t>EMMABODA</t>
        </is>
      </c>
      <c r="I703" t="n">
        <v>129.3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393-2023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44959</v>
      </c>
      <c r="E704" s="1" t="n">
        <v>46230</v>
      </c>
      <c r="F704" t="inlineStr">
        <is>
          <t>KALMAR LÄN</t>
        </is>
      </c>
      <c r="G704" t="inlineStr">
        <is>
          <t>EMMABODA</t>
        </is>
      </c>
      <c r="I704" t="n">
        <v>14.2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3275-2023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45194</v>
      </c>
      <c r="E705" s="1" t="n">
        <v>46230</v>
      </c>
      <c r="F705" t="inlineStr">
        <is>
          <t>KALMAR LÄN</t>
        </is>
      </c>
      <c r="G705" t="inlineStr">
        <is>
          <t>EMMABODA</t>
        </is>
      </c>
      <c r="I705" t="n">
        <v>18.8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916-2024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46230</v>
      </c>
      <c r="F706" t="inlineStr">
        <is>
          <t>KALMAR LÄN</t>
        </is>
      </c>
      <c r="G706" t="inlineStr">
        <is>
          <t>EMMABODA</t>
        </is>
      </c>
      <c r="I706" t="n">
        <v>34.2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1064-2024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46230</v>
      </c>
      <c r="F707" t="inlineStr">
        <is>
          <t>KALMAR LÄN</t>
        </is>
      </c>
      <c r="G707" t="inlineStr">
        <is>
          <t>EMMABODA</t>
        </is>
      </c>
      <c r="I707" t="n">
        <v>14.4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7020-2022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44903</v>
      </c>
      <c r="E708" s="1" t="n">
        <v>46230</v>
      </c>
      <c r="F708" t="inlineStr">
        <is>
          <t>KALMAR LÄN</t>
        </is>
      </c>
      <c r="G708" t="inlineStr">
        <is>
          <t>EMMABODA</t>
        </is>
      </c>
      <c r="I708" t="n">
        <v>10.5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6951-2022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46230</v>
      </c>
      <c r="F709" t="inlineStr">
        <is>
          <t>KALMAR LÄN</t>
        </is>
      </c>
      <c r="G709" t="inlineStr">
        <is>
          <t>EMMABODA</t>
        </is>
      </c>
      <c r="I709" t="n">
        <v>16.2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5811-2022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44852</v>
      </c>
      <c r="E710" s="1" t="n">
        <v>46230</v>
      </c>
      <c r="F710" t="inlineStr">
        <is>
          <t>KALMAR LÄN</t>
        </is>
      </c>
      <c r="G710" t="inlineStr">
        <is>
          <t>EMMABODA</t>
        </is>
      </c>
      <c r="I710" t="n">
        <v>20.2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3326-2023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46230</v>
      </c>
      <c r="F711" t="inlineStr">
        <is>
          <t>KALMAR LÄN</t>
        </is>
      </c>
      <c r="G711" t="inlineStr">
        <is>
          <t>EMMABODA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46230</v>
      </c>
      <c r="F712" t="inlineStr">
        <is>
          <t>KALMAR LÄN</t>
        </is>
      </c>
      <c r="G712" t="inlineStr">
        <is>
          <t>EMMABODA</t>
        </is>
      </c>
      <c r="I712" t="n">
        <v>49.9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3244-2023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45191</v>
      </c>
      <c r="E713" s="1" t="n">
        <v>46230</v>
      </c>
      <c r="F713" t="inlineStr">
        <is>
          <t>KALMAR LÄN</t>
        </is>
      </c>
      <c r="G713" t="inlineStr">
        <is>
          <t>EMMABODA</t>
        </is>
      </c>
      <c r="I713" t="n">
        <v>86.2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46230</v>
      </c>
      <c r="F714" t="inlineStr">
        <is>
          <t>KALMAR LÄN</t>
        </is>
      </c>
      <c r="G714" t="inlineStr">
        <is>
          <t>EMMABODA</t>
        </is>
      </c>
      <c r="I714" t="n">
        <v>25.2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4594-2023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45287</v>
      </c>
      <c r="E715" s="1" t="n">
        <v>46230</v>
      </c>
      <c r="F715" t="inlineStr">
        <is>
          <t>KALMAR LÄN</t>
        </is>
      </c>
      <c r="G715" t="inlineStr">
        <is>
          <t>EMMABODA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1017-2024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46230</v>
      </c>
      <c r="F716" t="inlineStr">
        <is>
          <t>KALMAR LÄN</t>
        </is>
      </c>
      <c r="G716" t="inlineStr">
        <is>
          <t>EMMABODA</t>
        </is>
      </c>
      <c r="I716" t="n">
        <v>70.90000000000001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1014-2024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46230</v>
      </c>
      <c r="F717" t="inlineStr">
        <is>
          <t>KALMAR LÄN</t>
        </is>
      </c>
      <c r="G717" t="inlineStr">
        <is>
          <t>EMMABODA</t>
        </is>
      </c>
      <c r="I717" t="n">
        <v>21.8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46230</v>
      </c>
      <c r="F718" t="inlineStr">
        <is>
          <t>KALMAR LÄN</t>
        </is>
      </c>
      <c r="G718" t="inlineStr">
        <is>
          <t>EMMABODA</t>
        </is>
      </c>
      <c r="I718" t="n">
        <v>17.9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6935-2021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44460</v>
      </c>
      <c r="E719" s="1" t="n">
        <v>46230</v>
      </c>
      <c r="F719" t="inlineStr">
        <is>
          <t>KALMAR LÄN</t>
        </is>
      </c>
      <c r="G719" t="inlineStr">
        <is>
          <t>EMMABODA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1028-2024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45387</v>
      </c>
      <c r="E720" s="1" t="n">
        <v>46230</v>
      </c>
      <c r="F720" t="inlineStr">
        <is>
          <t>KALMAR LÄN</t>
        </is>
      </c>
      <c r="G720" t="inlineStr">
        <is>
          <t>EMMABODA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9363-2021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46230</v>
      </c>
      <c r="F721" t="inlineStr">
        <is>
          <t>KALMAR LÄN</t>
        </is>
      </c>
      <c r="G721" t="inlineStr">
        <is>
          <t>EMMABODA</t>
        </is>
      </c>
      <c r="I721" t="n">
        <v>9.199999999999999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3393-2024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45534</v>
      </c>
      <c r="E722" s="1" t="n">
        <v>46230</v>
      </c>
      <c r="F722" t="inlineStr">
        <is>
          <t>KALMAR LÄN</t>
        </is>
      </c>
      <c r="G722" t="inlineStr">
        <is>
          <t>EMMABODA</t>
        </is>
      </c>
      <c r="I722" t="n">
        <v>48.6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45377</v>
      </c>
      <c r="E723" s="1" t="n">
        <v>46230</v>
      </c>
      <c r="F723" t="inlineStr">
        <is>
          <t>KALMAR LÄN</t>
        </is>
      </c>
      <c r="G723" t="inlineStr">
        <is>
          <t>EMMABODA</t>
        </is>
      </c>
      <c r="I723" t="n">
        <v>30.6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66-2023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44928</v>
      </c>
      <c r="E724" s="1" t="n">
        <v>46230</v>
      </c>
      <c r="F724" t="inlineStr">
        <is>
          <t>KALMAR LÄN</t>
        </is>
      </c>
      <c r="G724" t="inlineStr">
        <is>
          <t>EMMABODA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921-2024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46230</v>
      </c>
      <c r="F725" t="inlineStr">
        <is>
          <t>KALMAR LÄN</t>
        </is>
      </c>
      <c r="G725" t="inlineStr">
        <is>
          <t>EMMABODA</t>
        </is>
      </c>
      <c r="I725" t="n">
        <v>15.6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9386-2021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44519</v>
      </c>
      <c r="E726" s="1" t="n">
        <v>46230</v>
      </c>
      <c r="F726" t="inlineStr">
        <is>
          <t>KALMAR LÄN</t>
        </is>
      </c>
      <c r="G726" t="inlineStr">
        <is>
          <t>EMMABODA</t>
        </is>
      </c>
      <c r="I726" t="n">
        <v>18.7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3325-2023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45200</v>
      </c>
      <c r="E727" s="1" t="n">
        <v>46230</v>
      </c>
      <c r="F727" t="inlineStr">
        <is>
          <t>KALMAR LÄN</t>
        </is>
      </c>
      <c r="G727" t="inlineStr">
        <is>
          <t>EMMABODA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6949-2022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44900</v>
      </c>
      <c r="E728" s="1" t="n">
        <v>46230</v>
      </c>
      <c r="F728" t="inlineStr">
        <is>
          <t>KALMAR LÄN</t>
        </is>
      </c>
      <c r="G728" t="inlineStr">
        <is>
          <t>EMMABODA</t>
        </is>
      </c>
      <c r="I728" t="n">
        <v>11.9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45330</v>
      </c>
      <c r="E729" s="1" t="n">
        <v>46230</v>
      </c>
      <c r="F729" t="inlineStr">
        <is>
          <t>KALMAR LÄN</t>
        </is>
      </c>
      <c r="G729" t="inlineStr">
        <is>
          <t>EMMABODA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388-2023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44959</v>
      </c>
      <c r="E730" s="1" t="n">
        <v>46230</v>
      </c>
      <c r="F730" t="inlineStr">
        <is>
          <t>KALMAR LÄN</t>
        </is>
      </c>
      <c r="G730" t="inlineStr">
        <is>
          <t>EMMABODA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919-2024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45348</v>
      </c>
      <c r="E731" s="1" t="n">
        <v>46230</v>
      </c>
      <c r="F731" t="inlineStr">
        <is>
          <t>KALMAR LÄN</t>
        </is>
      </c>
      <c r="G731" t="inlineStr">
        <is>
          <t>EMMABODA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1775-2025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45813</v>
      </c>
      <c r="E732" s="1" t="n">
        <v>46230</v>
      </c>
      <c r="F732" t="inlineStr">
        <is>
          <t>KALMAR LÄN</t>
        </is>
      </c>
      <c r="G732" t="inlineStr">
        <is>
          <t>EMMABODA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1774-2025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45813</v>
      </c>
      <c r="E733" s="1" t="n">
        <v>46230</v>
      </c>
      <c r="F733" t="inlineStr">
        <is>
          <t>KALMAR LÄN</t>
        </is>
      </c>
      <c r="G733" t="inlineStr">
        <is>
          <t>EMMABODA</t>
        </is>
      </c>
      <c r="I733" t="n">
        <v>21.5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2164-2025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45849</v>
      </c>
      <c r="E734" s="1" t="n">
        <v>46230</v>
      </c>
      <c r="F734" t="inlineStr">
        <is>
          <t>KALMAR LÄN</t>
        </is>
      </c>
      <c r="G734" t="inlineStr">
        <is>
          <t>EMMABODA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2433-2025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45898</v>
      </c>
      <c r="E735" s="1" t="n">
        <v>46230</v>
      </c>
      <c r="F735" t="inlineStr">
        <is>
          <t>KALMAR LÄN</t>
        </is>
      </c>
      <c r="G735" t="inlineStr">
        <is>
          <t>EMMABODA</t>
        </is>
      </c>
      <c r="I735" t="n">
        <v>16.5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2757-2025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45935</v>
      </c>
      <c r="E736" s="1" t="n">
        <v>46230</v>
      </c>
      <c r="F736" t="inlineStr">
        <is>
          <t>KALMAR LÄN</t>
        </is>
      </c>
      <c r="G736" t="inlineStr">
        <is>
          <t>EMMABODA</t>
        </is>
      </c>
      <c r="I736" t="n">
        <v>17.8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3189-2025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45978</v>
      </c>
      <c r="E737" s="1" t="n">
        <v>46230</v>
      </c>
      <c r="F737" t="inlineStr">
        <is>
          <t>KALMAR LÄN</t>
        </is>
      </c>
      <c r="G737" t="inlineStr">
        <is>
          <t>EMMABODA</t>
        </is>
      </c>
      <c r="I737" t="n">
        <v>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82-2026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46034</v>
      </c>
      <c r="E738" s="1" t="n">
        <v>46230</v>
      </c>
      <c r="F738" t="inlineStr">
        <is>
          <t>KALMAR LÄN</t>
        </is>
      </c>
      <c r="G738" t="inlineStr">
        <is>
          <t>EMMABODA</t>
        </is>
      </c>
      <c r="I738" t="n">
        <v>47.8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193-2026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46049</v>
      </c>
      <c r="E739" s="1" t="n">
        <v>46230</v>
      </c>
      <c r="F739" t="inlineStr">
        <is>
          <t>KALMAR LÄN</t>
        </is>
      </c>
      <c r="G739" t="inlineStr">
        <is>
          <t>EMMABODA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194-2026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46049</v>
      </c>
      <c r="E740" s="1" t="n">
        <v>46230</v>
      </c>
      <c r="F740" t="inlineStr">
        <is>
          <t>KALMAR LÄN</t>
        </is>
      </c>
      <c r="G740" t="inlineStr">
        <is>
          <t>EMMABODA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374-2026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46065</v>
      </c>
      <c r="E741" s="1" t="n">
        <v>46230</v>
      </c>
      <c r="F741" t="inlineStr">
        <is>
          <t>KALMAR LÄN</t>
        </is>
      </c>
      <c r="G741" t="inlineStr">
        <is>
          <t>EMMABODA</t>
        </is>
      </c>
      <c r="I741" t="n">
        <v>22.4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700-2026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46092</v>
      </c>
      <c r="E742" s="1" t="n">
        <v>46230</v>
      </c>
      <c r="F742" t="inlineStr">
        <is>
          <t>KALMAR LÄN</t>
        </is>
      </c>
      <c r="G742" t="inlineStr">
        <is>
          <t>EMMABODA</t>
        </is>
      </c>
      <c r="I742" t="n">
        <v>22.1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337-2026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46062</v>
      </c>
      <c r="E743" s="1" t="n">
        <v>46230</v>
      </c>
      <c r="F743" t="inlineStr">
        <is>
          <t>KALMAR LÄN</t>
        </is>
      </c>
      <c r="G743" t="inlineStr">
        <is>
          <t>EMMABODA</t>
        </is>
      </c>
      <c r="I743" t="n">
        <v>38.4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978-2026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46119</v>
      </c>
      <c r="E744" s="1" t="n">
        <v>46230</v>
      </c>
      <c r="F744" t="inlineStr">
        <is>
          <t>KALMAR LÄN</t>
        </is>
      </c>
      <c r="G744" t="inlineStr">
        <is>
          <t>EMMABODA</t>
        </is>
      </c>
      <c r="I744" t="n">
        <v>14.1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988-2026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46119</v>
      </c>
      <c r="E745" s="1" t="n">
        <v>46230</v>
      </c>
      <c r="F745" t="inlineStr">
        <is>
          <t>KALMAR LÄN</t>
        </is>
      </c>
      <c r="G745" t="inlineStr">
        <is>
          <t>EMMABODA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1058-2026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46127</v>
      </c>
      <c r="E746" s="1" t="n">
        <v>46230</v>
      </c>
      <c r="F746" t="inlineStr">
        <is>
          <t>KALMAR LÄN</t>
        </is>
      </c>
      <c r="G746" t="inlineStr">
        <is>
          <t>EMMABODA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1771-2026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46191</v>
      </c>
      <c r="E747" s="1" t="n">
        <v>46230</v>
      </c>
      <c r="F747" t="inlineStr">
        <is>
          <t>KALMAR LÄN</t>
        </is>
      </c>
      <c r="G747" t="inlineStr">
        <is>
          <t>EMMABODA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1527-2026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46167</v>
      </c>
      <c r="E748" s="1" t="n">
        <v>46230</v>
      </c>
      <c r="F748" t="inlineStr">
        <is>
          <t>KALMAR LÄN</t>
        </is>
      </c>
      <c r="G748" t="inlineStr">
        <is>
          <t>EMMABODA</t>
        </is>
      </c>
      <c r="I748" t="n">
        <v>12.7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1430-2026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46156</v>
      </c>
      <c r="E749" s="1" t="n">
        <v>46230</v>
      </c>
      <c r="F749" t="inlineStr">
        <is>
          <t>KALMAR LÄN</t>
        </is>
      </c>
      <c r="G749" t="inlineStr">
        <is>
          <t>EMMABODA</t>
        </is>
      </c>
      <c r="I749" t="n">
        <v>17.1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46230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2026-07-27T01:52:11Z</dcterms:created>
  <dcterms:modified xmlns:dcterms="http://purl.org/dc/terms/" xmlns:xsi="http://www.w3.org/2001/XMLSchema-instance" xsi:type="dcterms:W3CDTF">2026-07-27T01:52:12Z</dcterms:modified>
</cp:coreProperties>
</file>