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46275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46275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46275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46275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46275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46275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46275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46275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46275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46275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46275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46275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46275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46275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46275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46187-2023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46275</v>
      </c>
      <c r="F22" t="inlineStr">
        <is>
          <t>KALMAR LÄN</t>
        </is>
      </c>
      <c r="G22" t="inlineStr">
        <is>
          <t>EMMABODA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HYPERLINK("https://klasma.github.io/Logging_0862/artfynd/A 46187-2023 artfynd.xlsx", "A 46187-2023")</f>
        <v/>
      </c>
      <c r="X22">
        <f>HYPERLINK("https://klasma.github.io/Logging_0862/kartor/A 46187-2023 karta.png", "A 46187-2023")</f>
        <v/>
      </c>
      <c r="Y22">
        <f>HYPERLINK("https://klasma.github.io/Logging_0862/kartor_geotiff/A 46187-2023 georefererad karta.tif", "A 46187-2023")</f>
        <v/>
      </c>
      <c r="AA22">
        <f>HYPERLINK("https://klasma.github.io/Logging_0862/klagomål/A 46187-2023 FSC-klagomål.docx", "A 46187-2023")</f>
        <v/>
      </c>
      <c r="AB22">
        <f>HYPERLINK("https://klasma.github.io/Logging_0862/klagomålsmail/A 46187-2023 FSC-klagomål mail.docx", "A 46187-2023")</f>
        <v/>
      </c>
      <c r="AC22">
        <f>HYPERLINK("https://klasma.github.io/Logging_0862/tillsyn/A 46187-2023 tillsynsbegäran.docx", "A 46187-2023")</f>
        <v/>
      </c>
      <c r="AD22">
        <f>HYPERLINK("https://klasma.github.io/Logging_0862/tillsynsmail/A 46187-2023 tillsynsbegäran mail.docx", "A 46187-2023")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46275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46275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58297-2021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46275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58297-2021 artfynd.xlsx", "A 58297-2021")</f>
        <v/>
      </c>
      <c r="X25">
        <f>HYPERLINK("https://klasma.github.io/Logging_0862/kartor/A 58297-2021 karta.png", "A 58297-2021")</f>
        <v/>
      </c>
      <c r="Y25">
        <f>HYPERLINK("https://klasma.github.io/Logging_0862/kartor_geotiff/A 58297-2021 georefererad karta.tif", "A 58297-2021")</f>
        <v/>
      </c>
      <c r="AA25">
        <f>HYPERLINK("https://klasma.github.io/Logging_0862/klagomål/A 58297-2021 FSC-klagomål.docx", "A 58297-2021")</f>
        <v/>
      </c>
      <c r="AB25">
        <f>HYPERLINK("https://klasma.github.io/Logging_0862/klagomålsmail/A 58297-2021 FSC-klagomål mail.docx", "A 58297-2021")</f>
        <v/>
      </c>
      <c r="AC25">
        <f>HYPERLINK("https://klasma.github.io/Logging_0862/tillsyn/A 58297-2021 tillsynsbegäran.docx", "A 58297-2021")</f>
        <v/>
      </c>
      <c r="AD25">
        <f>HYPERLINK("https://klasma.github.io/Logging_0862/tillsynsmail/A 58297-2021 tillsynsbegäran mail.docx", "A 58297-2021")</f>
        <v/>
      </c>
    </row>
    <row r="26" ht="15" customHeight="1">
      <c r="A26" t="inlineStr">
        <is>
          <t>A 29859-2023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46275</v>
      </c>
      <c r="F26" t="inlineStr">
        <is>
          <t>KALMAR LÄN</t>
        </is>
      </c>
      <c r="G26" t="inlineStr">
        <is>
          <t>EMMABODA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HYPERLINK("https://klasma.github.io/Logging_0862/artfynd/A 29859-2023 artfynd.xlsx", "A 29859-2023")</f>
        <v/>
      </c>
      <c r="X26">
        <f>HYPERLINK("https://klasma.github.io/Logging_0862/kartor/A 29859-2023 karta.png", "A 29859-2023")</f>
        <v/>
      </c>
      <c r="Y26">
        <f>HYPERLINK("https://klasma.github.io/Logging_0862/kartor_geotiff/A 29859-2023 georefererad karta.tif", "A 29859-2023")</f>
        <v/>
      </c>
      <c r="AA26">
        <f>HYPERLINK("https://klasma.github.io/Logging_0862/klagomål/A 29859-2023 FSC-klagomål.docx", "A 29859-2023")</f>
        <v/>
      </c>
      <c r="AB26">
        <f>HYPERLINK("https://klasma.github.io/Logging_0862/klagomålsmail/A 29859-2023 FSC-klagomål mail.docx", "A 29859-2023")</f>
        <v/>
      </c>
      <c r="AC26">
        <f>HYPERLINK("https://klasma.github.io/Logging_0862/tillsyn/A 29859-2023 tillsynsbegäran.docx", "A 29859-2023")</f>
        <v/>
      </c>
      <c r="AD26">
        <f>HYPERLINK("https://klasma.github.io/Logging_0862/tillsynsmail/A 29859-2023 tillsynsbegäran mail.docx", "A 29859-2023")</f>
        <v/>
      </c>
      <c r="AE26">
        <f>HYPERLINK("https://klasma.github.io/Logging_0862/fåglar/A 29859-2023 prioriterade fågelarter.docx", "A 29859-2023")</f>
        <v/>
      </c>
    </row>
    <row r="27" ht="15" customHeight="1">
      <c r="A27" t="inlineStr">
        <is>
          <t>A 5884-2024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46275</v>
      </c>
      <c r="F27" t="inlineStr">
        <is>
          <t>KALMAR LÄN</t>
        </is>
      </c>
      <c r="G27" t="inlineStr">
        <is>
          <t>EMMABODA</t>
        </is>
      </c>
      <c r="I27" t="n">
        <v>4.7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HYPERLINK("https://klasma.github.io/Logging_0862/artfynd/A 5884-2024 artfynd.xlsx", "A 5884-2024")</f>
        <v/>
      </c>
      <c r="X27">
        <f>HYPERLINK("https://klasma.github.io/Logging_0862/kartor/A 5884-2024 karta.png", "A 5884-2024")</f>
        <v/>
      </c>
      <c r="Y27">
        <f>HYPERLINK("https://klasma.github.io/Logging_0862/kartor_geotiff/A 5884-2024 georefererad karta.tif", "A 5884-2024")</f>
        <v/>
      </c>
      <c r="AA27">
        <f>HYPERLINK("https://klasma.github.io/Logging_0862/klagomål/A 5884-2024 FSC-klagomål.docx", "A 5884-2024")</f>
        <v/>
      </c>
      <c r="AB27">
        <f>HYPERLINK("https://klasma.github.io/Logging_0862/klagomålsmail/A 5884-2024 FSC-klagomål mail.docx", "A 5884-2024")</f>
        <v/>
      </c>
      <c r="AC27">
        <f>HYPERLINK("https://klasma.github.io/Logging_0862/tillsyn/A 5884-2024 tillsynsbegäran.docx", "A 5884-2024")</f>
        <v/>
      </c>
      <c r="AD27">
        <f>HYPERLINK("https://klasma.github.io/Logging_0862/tillsynsmail/A 5884-2024 tillsynsbegäran mail.docx", "A 5884-2024")</f>
        <v/>
      </c>
    </row>
    <row r="28" ht="15" customHeight="1">
      <c r="A28" t="inlineStr">
        <is>
          <t>A 28871-2023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46275</v>
      </c>
      <c r="F28" t="inlineStr">
        <is>
          <t>KALMAR LÄN</t>
        </is>
      </c>
      <c r="G28" t="inlineStr">
        <is>
          <t>EMMABODA</t>
        </is>
      </c>
      <c r="I28" t="n">
        <v>1.7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HYPERLINK("https://klasma.github.io/Logging_0862/artfynd/A 28871-2023 artfynd.xlsx", "A 28871-2023")</f>
        <v/>
      </c>
      <c r="X28">
        <f>HYPERLINK("https://klasma.github.io/Logging_0862/kartor/A 28871-2023 karta.png", "A 28871-2023")</f>
        <v/>
      </c>
      <c r="Y28">
        <f>HYPERLINK("https://klasma.github.io/Logging_0862/kartor_geotiff/A 28871-2023 georefererad karta.tif", "A 28871-2023")</f>
        <v/>
      </c>
      <c r="AA28">
        <f>HYPERLINK("https://klasma.github.io/Logging_0862/klagomål/A 28871-2023 FSC-klagomål.docx", "A 28871-2023")</f>
        <v/>
      </c>
      <c r="AB28">
        <f>HYPERLINK("https://klasma.github.io/Logging_0862/klagomålsmail/A 28871-2023 FSC-klagomål mail.docx", "A 28871-2023")</f>
        <v/>
      </c>
      <c r="AC28">
        <f>HYPERLINK("https://klasma.github.io/Logging_0862/tillsyn/A 28871-2023 tillsynsbegäran.docx", "A 28871-2023")</f>
        <v/>
      </c>
      <c r="AD28">
        <f>HYPERLINK("https://klasma.github.io/Logging_0862/tillsynsmail/A 28871-2023 tillsynsbegäran mail.docx", "A 28871-2023")</f>
        <v/>
      </c>
    </row>
    <row r="29" ht="15" customHeight="1">
      <c r="A29" t="inlineStr">
        <is>
          <t>A 21846-2023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46275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21846-2023 artfynd.xlsx", "A 21846-2023")</f>
        <v/>
      </c>
      <c r="X29">
        <f>HYPERLINK("https://klasma.github.io/Logging_0862/kartor/A 21846-2023 karta.png", "A 21846-2023")</f>
        <v/>
      </c>
      <c r="Y29">
        <f>HYPERLINK("https://klasma.github.io/Logging_0862/kartor_geotiff/A 21846-2023 georefererad karta.tif", "A 21846-2023")</f>
        <v/>
      </c>
      <c r="AA29">
        <f>HYPERLINK("https://klasma.github.io/Logging_0862/klagomål/A 21846-2023 FSC-klagomål.docx", "A 21846-2023")</f>
        <v/>
      </c>
      <c r="AB29">
        <f>HYPERLINK("https://klasma.github.io/Logging_0862/klagomålsmail/A 21846-2023 FSC-klagomål mail.docx", "A 21846-2023")</f>
        <v/>
      </c>
      <c r="AC29">
        <f>HYPERLINK("https://klasma.github.io/Logging_0862/tillsyn/A 21846-2023 tillsynsbegäran.docx", "A 21846-2023")</f>
        <v/>
      </c>
      <c r="AD29">
        <f>HYPERLINK("https://klasma.github.io/Logging_0862/tillsynsmail/A 21846-2023 tillsynsbegäran mail.docx", "A 21846-2023")</f>
        <v/>
      </c>
    </row>
    <row r="30" ht="15" customHeight="1">
      <c r="A30" t="inlineStr">
        <is>
          <t>A 39217-2023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46275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Blomkålssvamp</t>
        </is>
      </c>
      <c r="W30">
        <f>HYPERLINK("https://klasma.github.io/Logging_0862/artfynd/A 39217-2023 artfynd.xlsx", "A 39217-2023")</f>
        <v/>
      </c>
      <c r="X30">
        <f>HYPERLINK("https://klasma.github.io/Logging_0862/kartor/A 39217-2023 karta.png", "A 39217-2023")</f>
        <v/>
      </c>
      <c r="Y30">
        <f>HYPERLINK("https://klasma.github.io/Logging_0862/kartor_geotiff/A 39217-2023 georefererad karta.tif", "A 39217-2023")</f>
        <v/>
      </c>
      <c r="AA30">
        <f>HYPERLINK("https://klasma.github.io/Logging_0862/klagomål/A 39217-2023 FSC-klagomål.docx", "A 39217-2023")</f>
        <v/>
      </c>
      <c r="AB30">
        <f>HYPERLINK("https://klasma.github.io/Logging_0862/klagomålsmail/A 39217-2023 FSC-klagomål mail.docx", "A 39217-2023")</f>
        <v/>
      </c>
      <c r="AC30">
        <f>HYPERLINK("https://klasma.github.io/Logging_0862/tillsyn/A 39217-2023 tillsynsbegäran.docx", "A 39217-2023")</f>
        <v/>
      </c>
      <c r="AD30">
        <f>HYPERLINK("https://klasma.github.io/Logging_0862/tillsynsmail/A 39217-2023 tillsynsbegäran mail.docx", "A 39217-2023")</f>
        <v/>
      </c>
    </row>
    <row r="31" ht="15" customHeight="1">
      <c r="A31" t="inlineStr">
        <is>
          <t>A 30597-2022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44762</v>
      </c>
      <c r="E31" s="1" t="n">
        <v>46275</v>
      </c>
      <c r="F31" t="inlineStr">
        <is>
          <t>KALMAR LÄN</t>
        </is>
      </c>
      <c r="G31" t="inlineStr">
        <is>
          <t>EMMABODA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HYPERLINK("https://klasma.github.io/Logging_0862/artfynd/A 30597-2022 artfynd.xlsx", "A 30597-2022")</f>
        <v/>
      </c>
      <c r="X31">
        <f>HYPERLINK("https://klasma.github.io/Logging_0862/kartor/A 30597-2022 karta.png", "A 30597-2022")</f>
        <v/>
      </c>
      <c r="Y31">
        <f>HYPERLINK("https://klasma.github.io/Logging_0862/kartor_geotiff/A 30597-2022 georefererad karta.tif", "A 30597-2022")</f>
        <v/>
      </c>
      <c r="AA31">
        <f>HYPERLINK("https://klasma.github.io/Logging_0862/klagomål/A 30597-2022 FSC-klagomål.docx", "A 30597-2022")</f>
        <v/>
      </c>
      <c r="AB31">
        <f>HYPERLINK("https://klasma.github.io/Logging_0862/klagomålsmail/A 30597-2022 FSC-klagomål mail.docx", "A 30597-2022")</f>
        <v/>
      </c>
      <c r="AC31">
        <f>HYPERLINK("https://klasma.github.io/Logging_0862/tillsyn/A 30597-2022 tillsynsbegäran.docx", "A 30597-2022")</f>
        <v/>
      </c>
      <c r="AD31">
        <f>HYPERLINK("https://klasma.github.io/Logging_0862/tillsynsmail/A 30597-2022 tillsynsbegäran mail.docx", "A 30597-2022")</f>
        <v/>
      </c>
    </row>
    <row r="32" ht="15" customHeight="1">
      <c r="A32" t="inlineStr">
        <is>
          <t>A 27416-2023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46275</v>
      </c>
      <c r="F32" t="inlineStr">
        <is>
          <t>KALMAR LÄN</t>
        </is>
      </c>
      <c r="G32" t="inlineStr">
        <is>
          <t>EMMABODA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HYPERLINK("https://klasma.github.io/Logging_0862/artfynd/A 27416-2023 artfynd.xlsx", "A 27416-2023")</f>
        <v/>
      </c>
      <c r="X32">
        <f>HYPERLINK("https://klasma.github.io/Logging_0862/kartor/A 27416-2023 karta.png", "A 27416-2023")</f>
        <v/>
      </c>
      <c r="Y32">
        <f>HYPERLINK("https://klasma.github.io/Logging_0862/kartor_geotiff/A 27416-2023 georefererad karta.tif", "A 27416-2023")</f>
        <v/>
      </c>
      <c r="AA32">
        <f>HYPERLINK("https://klasma.github.io/Logging_0862/klagomål/A 27416-2023 FSC-klagomål.docx", "A 27416-2023")</f>
        <v/>
      </c>
      <c r="AB32">
        <f>HYPERLINK("https://klasma.github.io/Logging_0862/klagomålsmail/A 27416-2023 FSC-klagomål mail.docx", "A 27416-2023")</f>
        <v/>
      </c>
      <c r="AC32">
        <f>HYPERLINK("https://klasma.github.io/Logging_0862/tillsyn/A 27416-2023 tillsynsbegäran.docx", "A 27416-2023")</f>
        <v/>
      </c>
      <c r="AD32">
        <f>HYPERLINK("https://klasma.github.io/Logging_0862/tillsynsmail/A 27416-2023 tillsynsbegäran mail.docx", "A 27416-2023")</f>
        <v/>
      </c>
    </row>
    <row r="33" ht="15" customHeight="1">
      <c r="A33" t="inlineStr">
        <is>
          <t>A 58883-2022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44895</v>
      </c>
      <c r="E33" s="1" t="n">
        <v>46275</v>
      </c>
      <c r="F33" t="inlineStr">
        <is>
          <t>KALMAR LÄN</t>
        </is>
      </c>
      <c r="G33" t="inlineStr">
        <is>
          <t>EMMABODA</t>
        </is>
      </c>
      <c r="I33" t="n">
        <v>2.5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HYPERLINK("https://klasma.github.io/Logging_0862/artfynd/A 58883-2022 artfynd.xlsx", "A 58883-2022")</f>
        <v/>
      </c>
      <c r="X33">
        <f>HYPERLINK("https://klasma.github.io/Logging_0862/kartor/A 58883-2022 karta.png", "A 58883-2022")</f>
        <v/>
      </c>
      <c r="Y33">
        <f>HYPERLINK("https://klasma.github.io/Logging_0862/kartor_geotiff/A 58883-2022 georefererad karta.tif", "A 58883-2022")</f>
        <v/>
      </c>
      <c r="AA33">
        <f>HYPERLINK("https://klasma.github.io/Logging_0862/klagomål/A 58883-2022 FSC-klagomål.docx", "A 58883-2022")</f>
        <v/>
      </c>
      <c r="AB33">
        <f>HYPERLINK("https://klasma.github.io/Logging_0862/klagomålsmail/A 58883-2022 FSC-klagomål mail.docx", "A 58883-2022")</f>
        <v/>
      </c>
      <c r="AC33">
        <f>HYPERLINK("https://klasma.github.io/Logging_0862/tillsyn/A 58883-2022 tillsynsbegäran.docx", "A 58883-2022")</f>
        <v/>
      </c>
      <c r="AD33">
        <f>HYPERLINK("https://klasma.github.io/Logging_0862/tillsynsmail/A 58883-2022 tillsynsbegäran mail.docx", "A 58883-2022")</f>
        <v/>
      </c>
    </row>
    <row r="34" ht="15" customHeight="1">
      <c r="A34" t="inlineStr">
        <is>
          <t>A 60257-2021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46275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60257-2021 artfynd.xlsx", "A 60257-2021")</f>
        <v/>
      </c>
      <c r="X34">
        <f>HYPERLINK("https://klasma.github.io/Logging_0862/kartor/A 60257-2021 karta.png", "A 60257-2021")</f>
        <v/>
      </c>
      <c r="Y34">
        <f>HYPERLINK("https://klasma.github.io/Logging_0862/kartor_geotiff/A 60257-2021 georefererad karta.tif", "A 60257-2021")</f>
        <v/>
      </c>
      <c r="Z34">
        <f>HYPERLINK("https://klasma.github.io/Logging_0862/knärot/A 60257-2021 karta knärot.png", "A 60257-2021")</f>
        <v/>
      </c>
      <c r="AA34">
        <f>HYPERLINK("https://klasma.github.io/Logging_0862/klagomål/A 60257-2021 FSC-klagomål.docx", "A 60257-2021")</f>
        <v/>
      </c>
      <c r="AB34">
        <f>HYPERLINK("https://klasma.github.io/Logging_0862/klagomålsmail/A 60257-2021 FSC-klagomål mail.docx", "A 60257-2021")</f>
        <v/>
      </c>
      <c r="AC34">
        <f>HYPERLINK("https://klasma.github.io/Logging_0862/tillsyn/A 60257-2021 tillsynsbegäran.docx", "A 60257-2021")</f>
        <v/>
      </c>
      <c r="AD34">
        <f>HYPERLINK("https://klasma.github.io/Logging_0862/tillsynsmail/A 60257-2021 tillsynsbegäran mail.docx", "A 60257-2021")</f>
        <v/>
      </c>
    </row>
    <row r="35" ht="15" customHeight="1">
      <c r="A35" t="inlineStr">
        <is>
          <t>A 24282-2025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46275</v>
      </c>
      <c r="F35" t="inlineStr">
        <is>
          <t>KALMAR LÄN</t>
        </is>
      </c>
      <c r="G35" t="inlineStr">
        <is>
          <t>EMMABODA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HYPERLINK("https://klasma.github.io/Logging_0862/artfynd/A 24282-2025 artfynd.xlsx", "A 24282-2025")</f>
        <v/>
      </c>
      <c r="X35">
        <f>HYPERLINK("https://klasma.github.io/Logging_0862/kartor/A 24282-2025 karta.png", "A 24282-2025")</f>
        <v/>
      </c>
      <c r="Y35">
        <f>HYPERLINK("https://klasma.github.io/Logging_0862/kartor_geotiff/A 24282-2025 georefererad karta.tif", "A 24282-2025")</f>
        <v/>
      </c>
      <c r="AA35">
        <f>HYPERLINK("https://klasma.github.io/Logging_0862/klagomål/A 24282-2025 FSC-klagomål.docx", "A 24282-2025")</f>
        <v/>
      </c>
      <c r="AB35">
        <f>HYPERLINK("https://klasma.github.io/Logging_0862/klagomålsmail/A 24282-2025 FSC-klagomål mail.docx", "A 24282-2025")</f>
        <v/>
      </c>
      <c r="AC35">
        <f>HYPERLINK("https://klasma.github.io/Logging_0862/tillsyn/A 24282-2025 tillsynsbegäran.docx", "A 24282-2025")</f>
        <v/>
      </c>
      <c r="AD35">
        <f>HYPERLINK("https://klasma.github.io/Logging_0862/tillsynsmail/A 24282-2025 tillsynsbegäran mail.docx", "A 24282-2025")</f>
        <v/>
      </c>
      <c r="AE35">
        <f>HYPERLINK("https://klasma.github.io/Logging_0862/fåglar/A 24282-2025 prioriterade fågelarter.docx", "A 24282-2025")</f>
        <v/>
      </c>
    </row>
    <row r="36" ht="15" customHeight="1">
      <c r="A36" t="inlineStr">
        <is>
          <t>A 52182-2025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45953</v>
      </c>
      <c r="E36" s="1" t="n">
        <v>46275</v>
      </c>
      <c r="F36" t="inlineStr">
        <is>
          <t>KALMAR LÄN</t>
        </is>
      </c>
      <c r="G36" t="inlineStr">
        <is>
          <t>EMMABODA</t>
        </is>
      </c>
      <c r="I36" t="n">
        <v>7.6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HYPERLINK("https://klasma.github.io/Logging_0862/artfynd/A 52182-2025 artfynd.xlsx", "A 52182-2025")</f>
        <v/>
      </c>
      <c r="X36">
        <f>HYPERLINK("https://klasma.github.io/Logging_0862/kartor/A 52182-2025 karta.png", "A 52182-2025")</f>
        <v/>
      </c>
      <c r="Y36">
        <f>HYPERLINK("https://klasma.github.io/Logging_0862/kartor_geotiff/A 52182-2025 georefererad karta.tif", "A 52182-2025")</f>
        <v/>
      </c>
      <c r="AA36">
        <f>HYPERLINK("https://klasma.github.io/Logging_0862/klagomål/A 52182-2025 FSC-klagomål.docx", "A 52182-2025")</f>
        <v/>
      </c>
      <c r="AB36">
        <f>HYPERLINK("https://klasma.github.io/Logging_0862/klagomålsmail/A 52182-2025 FSC-klagomål mail.docx", "A 52182-2025")</f>
        <v/>
      </c>
      <c r="AC36">
        <f>HYPERLINK("https://klasma.github.io/Logging_0862/tillsyn/A 52182-2025 tillsynsbegäran.docx", "A 52182-2025")</f>
        <v/>
      </c>
      <c r="AD36">
        <f>HYPERLINK("https://klasma.github.io/Logging_0862/tillsynsmail/A 52182-2025 tillsynsbegäran mail.docx", "A 52182-2025")</f>
        <v/>
      </c>
      <c r="AE36">
        <f>HYPERLINK("https://klasma.github.io/Logging_0862/fåglar/A 52182-2025 prioriterade fågelarter.docx", "A 52182-2025")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46275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46275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6612-2023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46275</v>
      </c>
      <c r="F39" t="inlineStr">
        <is>
          <t>KALMAR LÄN</t>
        </is>
      </c>
      <c r="G39" t="inlineStr">
        <is>
          <t>EMMABODA</t>
        </is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HYPERLINK("https://klasma.github.io/Logging_0862/artfynd/A 6612-2023 artfynd.xlsx", "A 6612-2023")</f>
        <v/>
      </c>
      <c r="X39">
        <f>HYPERLINK("https://klasma.github.io/Logging_0862/kartor/A 6612-2023 karta.png", "A 6612-2023")</f>
        <v/>
      </c>
      <c r="Y39">
        <f>HYPERLINK("https://klasma.github.io/Logging_0862/kartor_geotiff/A 6612-2023 georefererad karta.tif", "A 6612-2023")</f>
        <v/>
      </c>
      <c r="AA39">
        <f>HYPERLINK("https://klasma.github.io/Logging_0862/klagomål/A 6612-2023 FSC-klagomål.docx", "A 6612-2023")</f>
        <v/>
      </c>
      <c r="AB39">
        <f>HYPERLINK("https://klasma.github.io/Logging_0862/klagomålsmail/A 6612-2023 FSC-klagomål mail.docx", "A 6612-2023")</f>
        <v/>
      </c>
      <c r="AC39">
        <f>HYPERLINK("https://klasma.github.io/Logging_0862/tillsyn/A 6612-2023 tillsynsbegäran.docx", "A 6612-2023")</f>
        <v/>
      </c>
      <c r="AD39">
        <f>HYPERLINK("https://klasma.github.io/Logging_0862/tillsynsmail/A 6612-2023 tillsynsbegäran mail.docx", "A 6612-2023")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46275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54981-2025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45967</v>
      </c>
      <c r="E41" s="1" t="n">
        <v>46275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HYPERLINK("https://klasma.github.io/Logging_0862/artfynd/A 54981-2025 artfynd.xlsx", "A 54981-2025")</f>
        <v/>
      </c>
      <c r="X41">
        <f>HYPERLINK("https://klasma.github.io/Logging_0862/kartor/A 54981-2025 karta.png", "A 54981-2025")</f>
        <v/>
      </c>
      <c r="Y41">
        <f>HYPERLINK("https://klasma.github.io/Logging_0862/kartor_geotiff/A 54981-2025 georefererad karta.tif", "A 54981-2025")</f>
        <v/>
      </c>
      <c r="AA41">
        <f>HYPERLINK("https://klasma.github.io/Logging_0862/klagomål/A 54981-2025 FSC-klagomål.docx", "A 54981-2025")</f>
        <v/>
      </c>
      <c r="AB41">
        <f>HYPERLINK("https://klasma.github.io/Logging_0862/klagomålsmail/A 54981-2025 FSC-klagomål mail.docx", "A 54981-2025")</f>
        <v/>
      </c>
      <c r="AC41">
        <f>HYPERLINK("https://klasma.github.io/Logging_0862/tillsyn/A 54981-2025 tillsynsbegäran.docx", "A 54981-2025")</f>
        <v/>
      </c>
      <c r="AD41">
        <f>HYPERLINK("https://klasma.github.io/Logging_0862/tillsynsmail/A 54981-2025 tillsynsbegäran mail.docx", "A 54981-2025")</f>
        <v/>
      </c>
    </row>
    <row r="42" ht="15" customHeight="1">
      <c r="A42" t="inlineStr">
        <is>
          <t>A 19763-2026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46135</v>
      </c>
      <c r="E42" s="1" t="n">
        <v>46275</v>
      </c>
      <c r="F42" t="inlineStr">
        <is>
          <t>KALMAR LÄN</t>
        </is>
      </c>
      <c r="G42" t="inlineStr">
        <is>
          <t>EMMABODA</t>
        </is>
      </c>
      <c r="H42" t="inlineStr">
        <is>
          <t>Sveaskog</t>
        </is>
      </c>
      <c r="I42" t="n">
        <v>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Granspira</t>
        </is>
      </c>
      <c r="W42">
        <f>HYPERLINK("https://klasma.github.io/Logging_0862/artfynd/A 19763-2026 artfynd.xlsx", "A 19763-2026")</f>
        <v/>
      </c>
      <c r="X42">
        <f>HYPERLINK("https://klasma.github.io/Logging_0862/kartor/A 19763-2026 karta.png", "A 19763-2026")</f>
        <v/>
      </c>
      <c r="Y42">
        <f>HYPERLINK("https://klasma.github.io/Logging_0862/kartor_geotiff/A 19763-2026 georefererad karta.tif", "A 19763-2026")</f>
        <v/>
      </c>
      <c r="AA42">
        <f>HYPERLINK("https://klasma.github.io/Logging_0862/klagomål/A 19763-2026 FSC-klagomål.docx", "A 19763-2026")</f>
        <v/>
      </c>
      <c r="AB42">
        <f>HYPERLINK("https://klasma.github.io/Logging_0862/klagomålsmail/A 19763-2026 FSC-klagomål mail.docx", "A 19763-2026")</f>
        <v/>
      </c>
      <c r="AC42">
        <f>HYPERLINK("https://klasma.github.io/Logging_0862/tillsyn/A 19763-2026 tillsynsbegäran.docx", "A 19763-2026")</f>
        <v/>
      </c>
      <c r="AD42">
        <f>HYPERLINK("https://klasma.github.io/Logging_0862/tillsynsmail/A 19763-2026 tillsynsbegäran mail.docx", "A 19763-2026")</f>
        <v/>
      </c>
    </row>
    <row r="43" ht="15" customHeight="1">
      <c r="A43" t="inlineStr">
        <is>
          <t>A 18621-2025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46275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Pärluggla</t>
        </is>
      </c>
      <c r="W43">
        <f>HYPERLINK("https://klasma.github.io/Logging_0862/artfynd/A 18621-2025 artfynd.xlsx", "A 18621-2025")</f>
        <v/>
      </c>
      <c r="X43">
        <f>HYPERLINK("https://klasma.github.io/Logging_0862/kartor/A 18621-2025 karta.png", "A 18621-2025")</f>
        <v/>
      </c>
      <c r="Y43">
        <f>HYPERLINK("https://klasma.github.io/Logging_0862/kartor_geotiff/A 18621-2025 georefererad karta.tif", "A 18621-2025")</f>
        <v/>
      </c>
      <c r="AA43">
        <f>HYPERLINK("https://klasma.github.io/Logging_0862/klagomål/A 18621-2025 FSC-klagomål.docx", "A 18621-2025")</f>
        <v/>
      </c>
      <c r="AB43">
        <f>HYPERLINK("https://klasma.github.io/Logging_0862/klagomålsmail/A 18621-2025 FSC-klagomål mail.docx", "A 18621-2025")</f>
        <v/>
      </c>
      <c r="AC43">
        <f>HYPERLINK("https://klasma.github.io/Logging_0862/tillsyn/A 18621-2025 tillsynsbegäran.docx", "A 18621-2025")</f>
        <v/>
      </c>
      <c r="AD43">
        <f>HYPERLINK("https://klasma.github.io/Logging_0862/tillsynsmail/A 18621-2025 tillsynsbegäran mail.docx", "A 18621-2025")</f>
        <v/>
      </c>
      <c r="AE43">
        <f>HYPERLINK("https://klasma.github.io/Logging_0862/fåglar/A 18621-2025 prioriterade fågelarter.docx", "A 18621-2025")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46275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46275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46275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31261-2026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46275</v>
      </c>
      <c r="F47" t="inlineStr">
        <is>
          <t>KALMAR LÄN</t>
        </is>
      </c>
      <c r="G47" t="inlineStr">
        <is>
          <t>EMMABODA</t>
        </is>
      </c>
      <c r="I47" t="n">
        <v>5.7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Stubbspretmossa</t>
        </is>
      </c>
      <c r="W47">
        <f>HYPERLINK("https://klasma.github.io/Logging_0862/artfynd/A 31261-2026 artfynd.xlsx", "A 31261-2026")</f>
        <v/>
      </c>
      <c r="X47">
        <f>HYPERLINK("https://klasma.github.io/Logging_0862/kartor/A 31261-2026 karta.png", "A 31261-2026")</f>
        <v/>
      </c>
      <c r="Y47">
        <f>HYPERLINK("https://klasma.github.io/Logging_0862/kartor_geotiff/A 31261-2026 georefererad karta.tif", "A 31261-2026")</f>
        <v/>
      </c>
      <c r="AA47">
        <f>HYPERLINK("https://klasma.github.io/Logging_0862/klagomål/A 31261-2026 FSC-klagomål.docx", "A 31261-2026")</f>
        <v/>
      </c>
      <c r="AB47">
        <f>HYPERLINK("https://klasma.github.io/Logging_0862/klagomålsmail/A 31261-2026 FSC-klagomål mail.docx", "A 31261-2026")</f>
        <v/>
      </c>
      <c r="AC47">
        <f>HYPERLINK("https://klasma.github.io/Logging_0862/tillsyn/A 31261-2026 tillsynsbegäran.docx", "A 31261-2026")</f>
        <v/>
      </c>
      <c r="AD47">
        <f>HYPERLINK("https://klasma.github.io/Logging_0862/tillsynsmail/A 31261-2026 tillsynsbegäran mail.docx", "A 31261-2026")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46275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46275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46275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46275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46275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46275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46275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46275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46275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46275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46275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50348-2021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46275</v>
      </c>
      <c r="F59" t="inlineStr">
        <is>
          <t>KALMAR LÄN</t>
        </is>
      </c>
      <c r="G59" t="inlineStr">
        <is>
          <t>EMMABODA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46275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46275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46275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46275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46275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46275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46275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46275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46275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44490</v>
      </c>
      <c r="E69" s="1" t="n">
        <v>46275</v>
      </c>
      <c r="F69" t="inlineStr">
        <is>
          <t>KALMAR LÄN</t>
        </is>
      </c>
      <c r="G69" t="inlineStr">
        <is>
          <t>EMMABODA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46275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46275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46275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46275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46275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46275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46275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46275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46275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46275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46275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46275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46275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46275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46275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46275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46275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46275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46275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46275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46275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46275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46275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31033-2022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46275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46275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46275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44839</v>
      </c>
      <c r="E96" s="1" t="n">
        <v>46275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46275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46275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46275</v>
      </c>
      <c r="F99" t="inlineStr">
        <is>
          <t>KALMAR LÄN</t>
        </is>
      </c>
      <c r="G99" t="inlineStr">
        <is>
          <t>EMMABODA</t>
        </is>
      </c>
      <c r="H99" t="inlineStr">
        <is>
          <t>Kommuner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46275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46275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68368-2021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46275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46275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46275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46275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46275</v>
      </c>
      <c r="F106" t="inlineStr">
        <is>
          <t>KALMAR LÄN</t>
        </is>
      </c>
      <c r="G106" t="inlineStr">
        <is>
          <t>EMMABODA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46275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44622</v>
      </c>
      <c r="E108" s="1" t="n">
        <v>46275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46275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46275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46275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46275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46275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46275</v>
      </c>
      <c r="F114" t="inlineStr">
        <is>
          <t>KALMAR LÄN</t>
        </is>
      </c>
      <c r="G114" t="inlineStr">
        <is>
          <t>EMMABODA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46275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46275</v>
      </c>
      <c r="F116" t="inlineStr">
        <is>
          <t>KALMAR LÄN</t>
        </is>
      </c>
      <c r="G116" t="inlineStr">
        <is>
          <t>EMMABODA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46275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46275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46275</v>
      </c>
      <c r="F119" t="inlineStr">
        <is>
          <t>KALMAR LÄN</t>
        </is>
      </c>
      <c r="G119" t="inlineStr">
        <is>
          <t>EMMABODA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46275</v>
      </c>
      <c r="F120" t="inlineStr">
        <is>
          <t>KALMAR LÄN</t>
        </is>
      </c>
      <c r="G120" t="inlineStr">
        <is>
          <t>EMMABODA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46275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46275</v>
      </c>
      <c r="F122" t="inlineStr">
        <is>
          <t>KALMAR LÄN</t>
        </is>
      </c>
      <c r="G122" t="inlineStr">
        <is>
          <t>EMMABODA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46275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46275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46275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46275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46275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46275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46275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46275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45596</v>
      </c>
      <c r="E131" s="1" t="n">
        <v>46275</v>
      </c>
      <c r="F131" t="inlineStr">
        <is>
          <t>KALMAR LÄN</t>
        </is>
      </c>
      <c r="G131" t="inlineStr">
        <is>
          <t>EMMABODA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45102</v>
      </c>
      <c r="E132" s="1" t="n">
        <v>46275</v>
      </c>
      <c r="F132" t="inlineStr">
        <is>
          <t>KALMAR LÄN</t>
        </is>
      </c>
      <c r="G132" t="inlineStr">
        <is>
          <t>EMMABODA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45102</v>
      </c>
      <c r="E133" s="1" t="n">
        <v>46275</v>
      </c>
      <c r="F133" t="inlineStr">
        <is>
          <t>KALMAR LÄN</t>
        </is>
      </c>
      <c r="G133" t="inlineStr">
        <is>
          <t>EMMABODA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44729</v>
      </c>
      <c r="E134" s="1" t="n">
        <v>46275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46275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45376</v>
      </c>
      <c r="E136" s="1" t="n">
        <v>46275</v>
      </c>
      <c r="F136" t="inlineStr">
        <is>
          <t>KALMAR LÄN</t>
        </is>
      </c>
      <c r="G136" t="inlineStr">
        <is>
          <t>EMMABODA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68952-2021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46275</v>
      </c>
      <c r="F137" t="inlineStr">
        <is>
          <t>KALMAR LÄN</t>
        </is>
      </c>
      <c r="G137" t="inlineStr">
        <is>
          <t>EMMABODA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46275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45126</v>
      </c>
      <c r="E139" s="1" t="n">
        <v>46275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46275</v>
      </c>
      <c r="F140" t="inlineStr">
        <is>
          <t>KALMAR LÄN</t>
        </is>
      </c>
      <c r="G140" t="inlineStr">
        <is>
          <t>EMMABODA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45148</v>
      </c>
      <c r="E141" s="1" t="n">
        <v>46275</v>
      </c>
      <c r="F141" t="inlineStr">
        <is>
          <t>KALMAR LÄN</t>
        </is>
      </c>
      <c r="G141" t="inlineStr">
        <is>
          <t>EMMABODA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45048</v>
      </c>
      <c r="E142" s="1" t="n">
        <v>46275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46275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51135-2023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45219</v>
      </c>
      <c r="E144" s="1" t="n">
        <v>46275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46275</v>
      </c>
      <c r="F145" t="inlineStr">
        <is>
          <t>KALMAR LÄN</t>
        </is>
      </c>
      <c r="G145" t="inlineStr">
        <is>
          <t>EMMABODA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46275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44761</v>
      </c>
      <c r="E147" s="1" t="n">
        <v>46275</v>
      </c>
      <c r="F147" t="inlineStr">
        <is>
          <t>KALMAR LÄN</t>
        </is>
      </c>
      <c r="G147" t="inlineStr">
        <is>
          <t>EMMABODA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5846-2024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45335</v>
      </c>
      <c r="E148" s="1" t="n">
        <v>46275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46275</v>
      </c>
      <c r="F149" t="inlineStr">
        <is>
          <t>KALMAR LÄN</t>
        </is>
      </c>
      <c r="G149" t="inlineStr">
        <is>
          <t>EMMABODA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46275</v>
      </c>
      <c r="F150" t="inlineStr">
        <is>
          <t>KALMAR LÄN</t>
        </is>
      </c>
      <c r="G150" t="inlineStr">
        <is>
          <t>EMMABODA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50500-2022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44861</v>
      </c>
      <c r="E151" s="1" t="n">
        <v>46275</v>
      </c>
      <c r="F151" t="inlineStr">
        <is>
          <t>KALMAR LÄN</t>
        </is>
      </c>
      <c r="G151" t="inlineStr">
        <is>
          <t>EMMABODA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46275</v>
      </c>
      <c r="F152" t="inlineStr">
        <is>
          <t>KALMAR LÄN</t>
        </is>
      </c>
      <c r="G152" t="inlineStr">
        <is>
          <t>EMMABODA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44683</v>
      </c>
      <c r="E153" s="1" t="n">
        <v>46275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46275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45190</v>
      </c>
      <c r="E155" s="1" t="n">
        <v>46275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45445</v>
      </c>
      <c r="E156" s="1" t="n">
        <v>46275</v>
      </c>
      <c r="F156" t="inlineStr">
        <is>
          <t>KALMAR LÄN</t>
        </is>
      </c>
      <c r="G156" t="inlineStr">
        <is>
          <t>EMMABODA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46275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46275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46275</v>
      </c>
      <c r="F159" t="inlineStr">
        <is>
          <t>KALMAR LÄN</t>
        </is>
      </c>
      <c r="G159" t="inlineStr">
        <is>
          <t>EMMABODA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46275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46275</v>
      </c>
      <c r="F161" t="inlineStr">
        <is>
          <t>KALMAR LÄN</t>
        </is>
      </c>
      <c r="G161" t="inlineStr">
        <is>
          <t>EMMABODA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46275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46275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46275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46275</v>
      </c>
      <c r="F165" t="inlineStr">
        <is>
          <t>KALMAR LÄN</t>
        </is>
      </c>
      <c r="G165" t="inlineStr">
        <is>
          <t>EMMABODA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46275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45021</v>
      </c>
      <c r="E167" s="1" t="n">
        <v>46275</v>
      </c>
      <c r="F167" t="inlineStr">
        <is>
          <t>KALMAR LÄN</t>
        </is>
      </c>
      <c r="G167" t="inlineStr">
        <is>
          <t>EMMABODA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45067</v>
      </c>
      <c r="E168" s="1" t="n">
        <v>46275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46275</v>
      </c>
      <c r="F169" t="inlineStr">
        <is>
          <t>KALMAR LÄN</t>
        </is>
      </c>
      <c r="G169" t="inlineStr">
        <is>
          <t>EMMABODA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46275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46275</v>
      </c>
      <c r="F171" t="inlineStr">
        <is>
          <t>KALMAR LÄN</t>
        </is>
      </c>
      <c r="G171" t="inlineStr">
        <is>
          <t>EMMABODA</t>
        </is>
      </c>
      <c r="H171" t="inlineStr">
        <is>
          <t>Kommuner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45716</v>
      </c>
      <c r="E172" s="1" t="n">
        <v>46275</v>
      </c>
      <c r="F172" t="inlineStr">
        <is>
          <t>KALMAR LÄN</t>
        </is>
      </c>
      <c r="G172" t="inlineStr">
        <is>
          <t>EMMABODA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16236-2023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45028</v>
      </c>
      <c r="E173" s="1" t="n">
        <v>46275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46275</v>
      </c>
      <c r="F174" t="inlineStr">
        <is>
          <t>KALMAR LÄN</t>
        </is>
      </c>
      <c r="G174" t="inlineStr">
        <is>
          <t>EMMABODA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46275</v>
      </c>
      <c r="F175" t="inlineStr">
        <is>
          <t>KALMAR LÄN</t>
        </is>
      </c>
      <c r="G175" t="inlineStr">
        <is>
          <t>EMMABODA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45772</v>
      </c>
      <c r="E176" s="1" t="n">
        <v>46275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28323-2024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46275</v>
      </c>
      <c r="F177" t="inlineStr">
        <is>
          <t>KALMAR LÄN</t>
        </is>
      </c>
      <c r="G177" t="inlineStr">
        <is>
          <t>EMMABODA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45200</v>
      </c>
      <c r="E178" s="1" t="n">
        <v>46275</v>
      </c>
      <c r="F178" t="inlineStr">
        <is>
          <t>KALMAR LÄN</t>
        </is>
      </c>
      <c r="G178" t="inlineStr">
        <is>
          <t>EMMABODA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46275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45422</v>
      </c>
      <c r="E180" s="1" t="n">
        <v>46275</v>
      </c>
      <c r="F180" t="inlineStr">
        <is>
          <t>KALMAR LÄN</t>
        </is>
      </c>
      <c r="G180" t="inlineStr">
        <is>
          <t>EMMABODA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66333-2021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46275</v>
      </c>
      <c r="F181" t="inlineStr">
        <is>
          <t>KALMAR LÄN</t>
        </is>
      </c>
      <c r="G181" t="inlineStr">
        <is>
          <t>EMMABODA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46275</v>
      </c>
      <c r="F182" t="inlineStr">
        <is>
          <t>KALMAR LÄN</t>
        </is>
      </c>
      <c r="G182" t="inlineStr">
        <is>
          <t>EMMABODA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45514</v>
      </c>
      <c r="E183" s="1" t="n">
        <v>46275</v>
      </c>
      <c r="F183" t="inlineStr">
        <is>
          <t>KALMAR LÄN</t>
        </is>
      </c>
      <c r="G183" t="inlineStr">
        <is>
          <t>EMMABODA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46275</v>
      </c>
      <c r="F184" t="inlineStr">
        <is>
          <t>KALMAR LÄN</t>
        </is>
      </c>
      <c r="G184" t="inlineStr">
        <is>
          <t>EMMABODA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46275</v>
      </c>
      <c r="F185" t="inlineStr">
        <is>
          <t>KALMAR LÄN</t>
        </is>
      </c>
      <c r="G185" t="inlineStr">
        <is>
          <t>EMMABODA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46275</v>
      </c>
      <c r="F186" t="inlineStr">
        <is>
          <t>KALMAR LÄN</t>
        </is>
      </c>
      <c r="G186" t="inlineStr">
        <is>
          <t>EMMABODA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44951</v>
      </c>
      <c r="E187" s="1" t="n">
        <v>46275</v>
      </c>
      <c r="F187" t="inlineStr">
        <is>
          <t>KALMAR LÄN</t>
        </is>
      </c>
      <c r="G187" t="inlineStr">
        <is>
          <t>EMMABODA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46275</v>
      </c>
      <c r="F188" t="inlineStr">
        <is>
          <t>KALMAR LÄN</t>
        </is>
      </c>
      <c r="G188" t="inlineStr">
        <is>
          <t>EMMABODA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45182</v>
      </c>
      <c r="E189" s="1" t="n">
        <v>46275</v>
      </c>
      <c r="F189" t="inlineStr">
        <is>
          <t>KALMAR LÄN</t>
        </is>
      </c>
      <c r="G189" t="inlineStr">
        <is>
          <t>EMMABODA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45049</v>
      </c>
      <c r="E190" s="1" t="n">
        <v>46275</v>
      </c>
      <c r="F190" t="inlineStr">
        <is>
          <t>KALMAR LÄN</t>
        </is>
      </c>
      <c r="G190" t="inlineStr">
        <is>
          <t>EMMABODA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46275</v>
      </c>
      <c r="F191" t="inlineStr">
        <is>
          <t>KALMAR LÄN</t>
        </is>
      </c>
      <c r="G191" t="inlineStr">
        <is>
          <t>EMMABODA</t>
        </is>
      </c>
      <c r="H191" t="inlineStr">
        <is>
          <t>Kommuner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66662-2021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44519</v>
      </c>
      <c r="E192" s="1" t="n">
        <v>46275</v>
      </c>
      <c r="F192" t="inlineStr">
        <is>
          <t>KALMAR LÄN</t>
        </is>
      </c>
      <c r="G192" t="inlineStr">
        <is>
          <t>EMMABODA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45189</v>
      </c>
      <c r="E193" s="1" t="n">
        <v>46275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44690</v>
      </c>
      <c r="E194" s="1" t="n">
        <v>46275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68940-2021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46275</v>
      </c>
      <c r="F195" t="inlineStr">
        <is>
          <t>KALMAR LÄN</t>
        </is>
      </c>
      <c r="G195" t="inlineStr">
        <is>
          <t>EMMABODA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46275</v>
      </c>
      <c r="F196" t="inlineStr">
        <is>
          <t>KALMAR LÄN</t>
        </is>
      </c>
      <c r="G196" t="inlineStr">
        <is>
          <t>EMMABODA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44699</v>
      </c>
      <c r="E197" s="1" t="n">
        <v>46275</v>
      </c>
      <c r="F197" t="inlineStr">
        <is>
          <t>KALMAR LÄN</t>
        </is>
      </c>
      <c r="G197" t="inlineStr">
        <is>
          <t>EMMABODA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46275</v>
      </c>
      <c r="F198" t="inlineStr">
        <is>
          <t>KALMAR LÄN</t>
        </is>
      </c>
      <c r="G198" t="inlineStr">
        <is>
          <t>EMMABODA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44524</v>
      </c>
      <c r="E199" s="1" t="n">
        <v>46275</v>
      </c>
      <c r="F199" t="inlineStr">
        <is>
          <t>KALMAR LÄN</t>
        </is>
      </c>
      <c r="G199" t="inlineStr">
        <is>
          <t>EMMABODA</t>
        </is>
      </c>
      <c r="I199" t="n">
        <v>11.6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46275</v>
      </c>
      <c r="F200" t="inlineStr">
        <is>
          <t>KALMAR LÄN</t>
        </is>
      </c>
      <c r="G200" t="inlineStr">
        <is>
          <t>EMMABODA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45415</v>
      </c>
      <c r="E201" s="1" t="n">
        <v>46275</v>
      </c>
      <c r="F201" t="inlineStr">
        <is>
          <t>KALMAR LÄN</t>
        </is>
      </c>
      <c r="G201" t="inlineStr">
        <is>
          <t>EMMABODA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46275</v>
      </c>
      <c r="F202" t="inlineStr">
        <is>
          <t>KALMAR LÄN</t>
        </is>
      </c>
      <c r="G202" t="inlineStr">
        <is>
          <t>EMMABODA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46275</v>
      </c>
      <c r="F203" t="inlineStr">
        <is>
          <t>KALMAR LÄN</t>
        </is>
      </c>
      <c r="G203" t="inlineStr">
        <is>
          <t>EMMABODA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46275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45606</v>
      </c>
      <c r="E205" s="1" t="n">
        <v>46275</v>
      </c>
      <c r="F205" t="inlineStr">
        <is>
          <t>KALMAR LÄN</t>
        </is>
      </c>
      <c r="G205" t="inlineStr">
        <is>
          <t>EMMABODA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46275</v>
      </c>
      <c r="F206" t="inlineStr">
        <is>
          <t>KALMAR LÄN</t>
        </is>
      </c>
      <c r="G206" t="inlineStr">
        <is>
          <t>EMMABODA</t>
        </is>
      </c>
      <c r="H206" t="inlineStr">
        <is>
          <t>Kommuner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46275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46275</v>
      </c>
      <c r="F208" t="inlineStr">
        <is>
          <t>KALMAR LÄN</t>
        </is>
      </c>
      <c r="G208" t="inlineStr">
        <is>
          <t>EMMABODA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46275</v>
      </c>
      <c r="F209" t="inlineStr">
        <is>
          <t>KALMAR LÄN</t>
        </is>
      </c>
      <c r="G209" t="inlineStr">
        <is>
          <t>EMMABODA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46275</v>
      </c>
      <c r="F210" t="inlineStr">
        <is>
          <t>KALMAR LÄN</t>
        </is>
      </c>
      <c r="G210" t="inlineStr">
        <is>
          <t>EMMABODA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46275</v>
      </c>
      <c r="F211" t="inlineStr">
        <is>
          <t>KALMAR LÄN</t>
        </is>
      </c>
      <c r="G211" t="inlineStr">
        <is>
          <t>EMMABODA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44896</v>
      </c>
      <c r="E212" s="1" t="n">
        <v>46275</v>
      </c>
      <c r="F212" t="inlineStr">
        <is>
          <t>KALMAR LÄN</t>
        </is>
      </c>
      <c r="G212" t="inlineStr">
        <is>
          <t>EMMABODA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46275</v>
      </c>
      <c r="F213" t="inlineStr">
        <is>
          <t>KALMAR LÄN</t>
        </is>
      </c>
      <c r="G213" t="inlineStr">
        <is>
          <t>EMMABODA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45772</v>
      </c>
      <c r="E214" s="1" t="n">
        <v>46275</v>
      </c>
      <c r="F214" t="inlineStr">
        <is>
          <t>KALMAR LÄN</t>
        </is>
      </c>
      <c r="G214" t="inlineStr">
        <is>
          <t>EMMABODA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46275</v>
      </c>
      <c r="F215" t="inlineStr">
        <is>
          <t>KALMAR LÄN</t>
        </is>
      </c>
      <c r="G215" t="inlineStr">
        <is>
          <t>EMMABODA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46275</v>
      </c>
      <c r="F216" t="inlineStr">
        <is>
          <t>KALMAR LÄN</t>
        </is>
      </c>
      <c r="G216" t="inlineStr">
        <is>
          <t>EMMABODA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46275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46275</v>
      </c>
      <c r="F218" t="inlineStr">
        <is>
          <t>KALMAR LÄN</t>
        </is>
      </c>
      <c r="G218" t="inlineStr">
        <is>
          <t>EMMABODA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45434</v>
      </c>
      <c r="E219" s="1" t="n">
        <v>46275</v>
      </c>
      <c r="F219" t="inlineStr">
        <is>
          <t>KALMAR LÄN</t>
        </is>
      </c>
      <c r="G219" t="inlineStr">
        <is>
          <t>EMMABODA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46275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46275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45164</v>
      </c>
      <c r="E222" s="1" t="n">
        <v>46275</v>
      </c>
      <c r="F222" t="inlineStr">
        <is>
          <t>KALMAR LÄN</t>
        </is>
      </c>
      <c r="G222" t="inlineStr">
        <is>
          <t>EMMABODA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46275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46275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46275</v>
      </c>
      <c r="F225" t="inlineStr">
        <is>
          <t>KALMAR LÄN</t>
        </is>
      </c>
      <c r="G225" t="inlineStr">
        <is>
          <t>EMMABODA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45587</v>
      </c>
      <c r="E226" s="1" t="n">
        <v>46275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46275</v>
      </c>
      <c r="F227" t="inlineStr">
        <is>
          <t>KALMAR LÄN</t>
        </is>
      </c>
      <c r="G227" t="inlineStr">
        <is>
          <t>EMMABODA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44683</v>
      </c>
      <c r="E228" s="1" t="n">
        <v>46275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46275</v>
      </c>
      <c r="F229" t="inlineStr">
        <is>
          <t>KALMAR LÄN</t>
        </is>
      </c>
      <c r="G229" t="inlineStr">
        <is>
          <t>EMMABODA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45126</v>
      </c>
      <c r="E230" s="1" t="n">
        <v>46275</v>
      </c>
      <c r="F230" t="inlineStr">
        <is>
          <t>KALMAR LÄN</t>
        </is>
      </c>
      <c r="G230" t="inlineStr">
        <is>
          <t>EMMABODA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44593</v>
      </c>
      <c r="E231" s="1" t="n">
        <v>46275</v>
      </c>
      <c r="F231" t="inlineStr">
        <is>
          <t>KALMAR LÄN</t>
        </is>
      </c>
      <c r="G231" t="inlineStr">
        <is>
          <t>EMMABODA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44698</v>
      </c>
      <c r="E232" s="1" t="n">
        <v>46275</v>
      </c>
      <c r="F232" t="inlineStr">
        <is>
          <t>KALMAR LÄN</t>
        </is>
      </c>
      <c r="G232" t="inlineStr">
        <is>
          <t>EMMABODA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45349</v>
      </c>
      <c r="E233" s="1" t="n">
        <v>46275</v>
      </c>
      <c r="F233" t="inlineStr">
        <is>
          <t>KALMAR LÄN</t>
        </is>
      </c>
      <c r="G233" t="inlineStr">
        <is>
          <t>EMMABODA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12014-2023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44995</v>
      </c>
      <c r="E234" s="1" t="n">
        <v>46275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46275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46275</v>
      </c>
      <c r="F236" t="inlineStr">
        <is>
          <t>KALMAR LÄN</t>
        </is>
      </c>
      <c r="G236" t="inlineStr">
        <is>
          <t>EMMABODA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46275</v>
      </c>
      <c r="F237" t="inlineStr">
        <is>
          <t>KALMAR LÄN</t>
        </is>
      </c>
      <c r="G237" t="inlineStr">
        <is>
          <t>EMMABODA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44897</v>
      </c>
      <c r="E238" s="1" t="n">
        <v>46275</v>
      </c>
      <c r="F238" t="inlineStr">
        <is>
          <t>KALMAR LÄN</t>
        </is>
      </c>
      <c r="G238" t="inlineStr">
        <is>
          <t>EMMABODA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44608</v>
      </c>
      <c r="E239" s="1" t="n">
        <v>46275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46275</v>
      </c>
      <c r="F240" t="inlineStr">
        <is>
          <t>KALMAR LÄN</t>
        </is>
      </c>
      <c r="G240" t="inlineStr">
        <is>
          <t>EMMABODA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46275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46275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46275</v>
      </c>
      <c r="F243" t="inlineStr">
        <is>
          <t>KALMAR LÄN</t>
        </is>
      </c>
      <c r="G243" t="inlineStr">
        <is>
          <t>EMMABODA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46275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46275</v>
      </c>
      <c r="F245" t="inlineStr">
        <is>
          <t>KALMAR LÄN</t>
        </is>
      </c>
      <c r="G245" t="inlineStr">
        <is>
          <t>EMMABODA</t>
        </is>
      </c>
      <c r="H245" t="inlineStr">
        <is>
          <t>Övriga Aktiebolag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45400</v>
      </c>
      <c r="E246" s="1" t="n">
        <v>46275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46275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46275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46275</v>
      </c>
      <c r="F249" t="inlineStr">
        <is>
          <t>KALMAR LÄN</t>
        </is>
      </c>
      <c r="G249" t="inlineStr">
        <is>
          <t>EMMABODA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44759</v>
      </c>
      <c r="E250" s="1" t="n">
        <v>46275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46275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46275</v>
      </c>
      <c r="F252" t="inlineStr">
        <is>
          <t>KALMAR LÄN</t>
        </is>
      </c>
      <c r="G252" t="inlineStr">
        <is>
          <t>EMMABODA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46275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45317</v>
      </c>
      <c r="E254" s="1" t="n">
        <v>46275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46275</v>
      </c>
      <c r="F255" t="inlineStr">
        <is>
          <t>KALMAR LÄN</t>
        </is>
      </c>
      <c r="G255" t="inlineStr">
        <is>
          <t>EMMABODA</t>
        </is>
      </c>
      <c r="H255" t="inlineStr">
        <is>
          <t>Kommuner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46275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44955</v>
      </c>
      <c r="E257" s="1" t="n">
        <v>46275</v>
      </c>
      <c r="F257" t="inlineStr">
        <is>
          <t>KALMAR LÄN</t>
        </is>
      </c>
      <c r="G257" t="inlineStr">
        <is>
          <t>EMMABODA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46275</v>
      </c>
      <c r="F258" t="inlineStr">
        <is>
          <t>KALMAR LÄN</t>
        </is>
      </c>
      <c r="G258" t="inlineStr">
        <is>
          <t>EMMABODA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46275</v>
      </c>
      <c r="F259" t="inlineStr">
        <is>
          <t>KALMAR LÄN</t>
        </is>
      </c>
      <c r="G259" t="inlineStr">
        <is>
          <t>EMMABODA</t>
        </is>
      </c>
      <c r="H259" t="inlineStr">
        <is>
          <t>Övriga Aktiebolag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46275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46275</v>
      </c>
      <c r="F261" t="inlineStr">
        <is>
          <t>KALMAR LÄN</t>
        </is>
      </c>
      <c r="G261" t="inlineStr">
        <is>
          <t>EMMABODA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19881-2024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45433</v>
      </c>
      <c r="E262" s="1" t="n">
        <v>46275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9775-2022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44619</v>
      </c>
      <c r="E263" s="1" t="n">
        <v>46275</v>
      </c>
      <c r="F263" t="inlineStr">
        <is>
          <t>KALMAR LÄN</t>
        </is>
      </c>
      <c r="G263" t="inlineStr">
        <is>
          <t>EMMABODA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46275</v>
      </c>
      <c r="F264" t="inlineStr">
        <is>
          <t>KALMAR LÄN</t>
        </is>
      </c>
      <c r="G264" t="inlineStr">
        <is>
          <t>EMMABODA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46275</v>
      </c>
      <c r="F265" t="inlineStr">
        <is>
          <t>KALMAR LÄN</t>
        </is>
      </c>
      <c r="G265" t="inlineStr">
        <is>
          <t>EMMABODA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46275</v>
      </c>
      <c r="F266" t="inlineStr">
        <is>
          <t>KALMAR LÄN</t>
        </is>
      </c>
      <c r="G266" t="inlineStr">
        <is>
          <t>EMMABODA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45126</v>
      </c>
      <c r="E267" s="1" t="n">
        <v>46275</v>
      </c>
      <c r="F267" t="inlineStr">
        <is>
          <t>KALMAR LÄN</t>
        </is>
      </c>
      <c r="G267" t="inlineStr">
        <is>
          <t>EMMABODA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5345-2023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44959</v>
      </c>
      <c r="E268" s="1" t="n">
        <v>46275</v>
      </c>
      <c r="F268" t="inlineStr">
        <is>
          <t>KALMAR LÄN</t>
        </is>
      </c>
      <c r="G268" t="inlineStr">
        <is>
          <t>EMMABODA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55174-2023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46275</v>
      </c>
      <c r="F269" t="inlineStr">
        <is>
          <t>KALMAR LÄN</t>
        </is>
      </c>
      <c r="G269" t="inlineStr">
        <is>
          <t>EMMABODA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46275</v>
      </c>
      <c r="F270" t="inlineStr">
        <is>
          <t>KALMAR LÄN</t>
        </is>
      </c>
      <c r="G270" t="inlineStr">
        <is>
          <t>EMMABODA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46275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45327</v>
      </c>
      <c r="E272" s="1" t="n">
        <v>46275</v>
      </c>
      <c r="F272" t="inlineStr">
        <is>
          <t>KALMAR LÄN</t>
        </is>
      </c>
      <c r="G272" t="inlineStr">
        <is>
          <t>EMMABODA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69464-2021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46275</v>
      </c>
      <c r="F273" t="inlineStr">
        <is>
          <t>KALMAR LÄN</t>
        </is>
      </c>
      <c r="G273" t="inlineStr">
        <is>
          <t>EMMABODA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62733-2021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44504</v>
      </c>
      <c r="E274" s="1" t="n">
        <v>46275</v>
      </c>
      <c r="F274" t="inlineStr">
        <is>
          <t>KALMAR LÄN</t>
        </is>
      </c>
      <c r="G274" t="inlineStr">
        <is>
          <t>EMMABODA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46275</v>
      </c>
      <c r="F275" t="inlineStr">
        <is>
          <t>KALMAR LÄN</t>
        </is>
      </c>
      <c r="G275" t="inlineStr">
        <is>
          <t>EMMABODA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46275</v>
      </c>
      <c r="F276" t="inlineStr">
        <is>
          <t>KALMAR LÄN</t>
        </is>
      </c>
      <c r="G276" t="inlineStr">
        <is>
          <t>EMMABODA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46275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46275</v>
      </c>
      <c r="F278" t="inlineStr">
        <is>
          <t>KALMAR LÄN</t>
        </is>
      </c>
      <c r="G278" t="inlineStr">
        <is>
          <t>EMMABODA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46275</v>
      </c>
      <c r="F279" t="inlineStr">
        <is>
          <t>KALMAR LÄN</t>
        </is>
      </c>
      <c r="G279" t="inlineStr">
        <is>
          <t>EMMABODA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44728</v>
      </c>
      <c r="E280" s="1" t="n">
        <v>46275</v>
      </c>
      <c r="F280" t="inlineStr">
        <is>
          <t>KALMAR LÄN</t>
        </is>
      </c>
      <c r="G280" t="inlineStr">
        <is>
          <t>EMMABODA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45341</v>
      </c>
      <c r="E281" s="1" t="n">
        <v>46275</v>
      </c>
      <c r="F281" t="inlineStr">
        <is>
          <t>KALMAR LÄN</t>
        </is>
      </c>
      <c r="G281" t="inlineStr">
        <is>
          <t>EMMABODA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45392</v>
      </c>
      <c r="E282" s="1" t="n">
        <v>46275</v>
      </c>
      <c r="F282" t="inlineStr">
        <is>
          <t>KALMAR LÄN</t>
        </is>
      </c>
      <c r="G282" t="inlineStr">
        <is>
          <t>EMMABODA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44995</v>
      </c>
      <c r="E283" s="1" t="n">
        <v>46275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46275</v>
      </c>
      <c r="F284" t="inlineStr">
        <is>
          <t>KALMAR LÄN</t>
        </is>
      </c>
      <c r="G284" t="inlineStr">
        <is>
          <t>EMMABODA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44973</v>
      </c>
      <c r="E285" s="1" t="n">
        <v>46275</v>
      </c>
      <c r="F285" t="inlineStr">
        <is>
          <t>KALMAR LÄN</t>
        </is>
      </c>
      <c r="G285" t="inlineStr">
        <is>
          <t>EMMABODA</t>
        </is>
      </c>
      <c r="H285" t="inlineStr">
        <is>
          <t>Kommuner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45665</v>
      </c>
      <c r="E286" s="1" t="n">
        <v>46275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45126</v>
      </c>
      <c r="E287" s="1" t="n">
        <v>46275</v>
      </c>
      <c r="F287" t="inlineStr">
        <is>
          <t>KALMAR LÄN</t>
        </is>
      </c>
      <c r="G287" t="inlineStr">
        <is>
          <t>EMMABODA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45202</v>
      </c>
      <c r="E288" s="1" t="n">
        <v>46275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44594</v>
      </c>
      <c r="E289" s="1" t="n">
        <v>46275</v>
      </c>
      <c r="F289" t="inlineStr">
        <is>
          <t>KALMAR LÄN</t>
        </is>
      </c>
      <c r="G289" t="inlineStr">
        <is>
          <t>EMMABODA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46275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67543-2021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46275</v>
      </c>
      <c r="F291" t="inlineStr">
        <is>
          <t>KALMAR LÄN</t>
        </is>
      </c>
      <c r="G291" t="inlineStr">
        <is>
          <t>EMMABODA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48113-2021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44449</v>
      </c>
      <c r="E292" s="1" t="n">
        <v>46275</v>
      </c>
      <c r="F292" t="inlineStr">
        <is>
          <t>KALMAR LÄN</t>
        </is>
      </c>
      <c r="G292" t="inlineStr">
        <is>
          <t>EMMABODA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37060-2023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45155</v>
      </c>
      <c r="E293" s="1" t="n">
        <v>46275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44852</v>
      </c>
      <c r="E294" s="1" t="n">
        <v>46275</v>
      </c>
      <c r="F294" t="inlineStr">
        <is>
          <t>KALMAR LÄN</t>
        </is>
      </c>
      <c r="G294" t="inlineStr">
        <is>
          <t>EMMABODA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45121</v>
      </c>
      <c r="E295" s="1" t="n">
        <v>46275</v>
      </c>
      <c r="F295" t="inlineStr">
        <is>
          <t>KALMAR LÄN</t>
        </is>
      </c>
      <c r="G295" t="inlineStr">
        <is>
          <t>EMMABODA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46275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46275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46275</v>
      </c>
      <c r="F298" t="inlineStr">
        <is>
          <t>KALMAR LÄN</t>
        </is>
      </c>
      <c r="G298" t="inlineStr">
        <is>
          <t>EMMABODA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46275</v>
      </c>
      <c r="F299" t="inlineStr">
        <is>
          <t>KALMAR LÄN</t>
        </is>
      </c>
      <c r="G299" t="inlineStr">
        <is>
          <t>EMMABODA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46275</v>
      </c>
      <c r="F300" t="inlineStr">
        <is>
          <t>KALMAR LÄN</t>
        </is>
      </c>
      <c r="G300" t="inlineStr">
        <is>
          <t>EMMABODA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44690</v>
      </c>
      <c r="E301" s="1" t="n">
        <v>46275</v>
      </c>
      <c r="F301" t="inlineStr">
        <is>
          <t>KALMAR LÄN</t>
        </is>
      </c>
      <c r="G301" t="inlineStr">
        <is>
          <t>EMMABODA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46275</v>
      </c>
      <c r="F302" t="inlineStr">
        <is>
          <t>KALMAR LÄN</t>
        </is>
      </c>
      <c r="G302" t="inlineStr">
        <is>
          <t>EMMABODA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45021</v>
      </c>
      <c r="E303" s="1" t="n">
        <v>46275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46275</v>
      </c>
      <c r="F304" t="inlineStr">
        <is>
          <t>KALMAR LÄN</t>
        </is>
      </c>
      <c r="G304" t="inlineStr">
        <is>
          <t>EMMABODA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45323</v>
      </c>
      <c r="E305" s="1" t="n">
        <v>46275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44953</v>
      </c>
      <c r="E306" s="1" t="n">
        <v>46275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44572</v>
      </c>
      <c r="E307" s="1" t="n">
        <v>46275</v>
      </c>
      <c r="F307" t="inlineStr">
        <is>
          <t>KALMAR LÄN</t>
        </is>
      </c>
      <c r="G307" t="inlineStr">
        <is>
          <t>EMMABODA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45531</v>
      </c>
      <c r="E308" s="1" t="n">
        <v>46275</v>
      </c>
      <c r="F308" t="inlineStr">
        <is>
          <t>KALMAR LÄN</t>
        </is>
      </c>
      <c r="G308" t="inlineStr">
        <is>
          <t>EMMABODA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46275</v>
      </c>
      <c r="F309" t="inlineStr">
        <is>
          <t>KALMAR LÄN</t>
        </is>
      </c>
      <c r="G309" t="inlineStr">
        <is>
          <t>EMMABODA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46275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46275</v>
      </c>
      <c r="F311" t="inlineStr">
        <is>
          <t>KALMAR LÄN</t>
        </is>
      </c>
      <c r="G311" t="inlineStr">
        <is>
          <t>EMMABODA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44593</v>
      </c>
      <c r="E312" s="1" t="n">
        <v>46275</v>
      </c>
      <c r="F312" t="inlineStr">
        <is>
          <t>KALMAR LÄN</t>
        </is>
      </c>
      <c r="G312" t="inlineStr">
        <is>
          <t>EMMABODA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45048</v>
      </c>
      <c r="E313" s="1" t="n">
        <v>46275</v>
      </c>
      <c r="F313" t="inlineStr">
        <is>
          <t>KALMAR LÄN</t>
        </is>
      </c>
      <c r="G313" t="inlineStr">
        <is>
          <t>EMMABODA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46275</v>
      </c>
      <c r="F314" t="inlineStr">
        <is>
          <t>KALMAR LÄN</t>
        </is>
      </c>
      <c r="G314" t="inlineStr">
        <is>
          <t>EMMABODA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45126</v>
      </c>
      <c r="E315" s="1" t="n">
        <v>46275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44978</v>
      </c>
      <c r="E316" s="1" t="n">
        <v>46275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13276-2023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45003</v>
      </c>
      <c r="E317" s="1" t="n">
        <v>46275</v>
      </c>
      <c r="F317" t="inlineStr">
        <is>
          <t>KALMAR LÄN</t>
        </is>
      </c>
      <c r="G317" t="inlineStr">
        <is>
          <t>EMMABODA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46275</v>
      </c>
      <c r="F318" t="inlineStr">
        <is>
          <t>KALMAR LÄN</t>
        </is>
      </c>
      <c r="G318" t="inlineStr">
        <is>
          <t>EMMABODA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44984</v>
      </c>
      <c r="E319" s="1" t="n">
        <v>46275</v>
      </c>
      <c r="F319" t="inlineStr">
        <is>
          <t>KALMAR LÄN</t>
        </is>
      </c>
      <c r="G319" t="inlineStr">
        <is>
          <t>EMMABODA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46275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45182</v>
      </c>
      <c r="E321" s="1" t="n">
        <v>46275</v>
      </c>
      <c r="F321" t="inlineStr">
        <is>
          <t>KALMAR LÄN</t>
        </is>
      </c>
      <c r="G321" t="inlineStr">
        <is>
          <t>EMMABODA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46275</v>
      </c>
      <c r="F322" t="inlineStr">
        <is>
          <t>KALMAR LÄN</t>
        </is>
      </c>
      <c r="G322" t="inlineStr">
        <is>
          <t>EMMABODA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44748</v>
      </c>
      <c r="E323" s="1" t="n">
        <v>46275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66658-2021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44519</v>
      </c>
      <c r="E324" s="1" t="n">
        <v>46275</v>
      </c>
      <c r="F324" t="inlineStr">
        <is>
          <t>KALMAR LÄN</t>
        </is>
      </c>
      <c r="G324" t="inlineStr">
        <is>
          <t>EMMABODA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46275</v>
      </c>
      <c r="F325" t="inlineStr">
        <is>
          <t>KALMAR LÄN</t>
        </is>
      </c>
      <c r="G325" t="inlineStr">
        <is>
          <t>EMMABODA</t>
        </is>
      </c>
      <c r="H325" t="inlineStr">
        <is>
          <t>Övriga Aktiebolag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45394</v>
      </c>
      <c r="E326" s="1" t="n">
        <v>46275</v>
      </c>
      <c r="F326" t="inlineStr">
        <is>
          <t>KALMAR LÄN</t>
        </is>
      </c>
      <c r="G326" t="inlineStr">
        <is>
          <t>EMMABODA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45062</v>
      </c>
      <c r="E327" s="1" t="n">
        <v>46275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45475</v>
      </c>
      <c r="E328" s="1" t="n">
        <v>46275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46275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45561</v>
      </c>
      <c r="E330" s="1" t="n">
        <v>46275</v>
      </c>
      <c r="F330" t="inlineStr">
        <is>
          <t>KALMAR LÄN</t>
        </is>
      </c>
      <c r="G330" t="inlineStr">
        <is>
          <t>EMMABODA</t>
        </is>
      </c>
      <c r="H330" t="inlineStr">
        <is>
          <t>Övriga Aktiebolag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46275</v>
      </c>
      <c r="F331" t="inlineStr">
        <is>
          <t>KALMAR LÄN</t>
        </is>
      </c>
      <c r="G331" t="inlineStr">
        <is>
          <t>EMMABODA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45132</v>
      </c>
      <c r="E332" s="1" t="n">
        <v>46275</v>
      </c>
      <c r="F332" t="inlineStr">
        <is>
          <t>KALMAR LÄN</t>
        </is>
      </c>
      <c r="G332" t="inlineStr">
        <is>
          <t>EMMABODA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44777</v>
      </c>
      <c r="E333" s="1" t="n">
        <v>46275</v>
      </c>
      <c r="F333" t="inlineStr">
        <is>
          <t>KALMAR LÄN</t>
        </is>
      </c>
      <c r="G333" t="inlineStr">
        <is>
          <t>EMMABODA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44600</v>
      </c>
      <c r="E334" s="1" t="n">
        <v>46275</v>
      </c>
      <c r="F334" t="inlineStr">
        <is>
          <t>KALMAR LÄN</t>
        </is>
      </c>
      <c r="G334" t="inlineStr">
        <is>
          <t>EMMABODA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46275</v>
      </c>
      <c r="F335" t="inlineStr">
        <is>
          <t>KALMAR LÄN</t>
        </is>
      </c>
      <c r="G335" t="inlineStr">
        <is>
          <t>EMMABODA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44728</v>
      </c>
      <c r="E336" s="1" t="n">
        <v>46275</v>
      </c>
      <c r="F336" t="inlineStr">
        <is>
          <t>KALMAR LÄN</t>
        </is>
      </c>
      <c r="G336" t="inlineStr">
        <is>
          <t>EMMABODA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45362</v>
      </c>
      <c r="E337" s="1" t="n">
        <v>46275</v>
      </c>
      <c r="F337" t="inlineStr">
        <is>
          <t>KALMAR LÄN</t>
        </is>
      </c>
      <c r="G337" t="inlineStr">
        <is>
          <t>EMMABODA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46275</v>
      </c>
      <c r="F338" t="inlineStr">
        <is>
          <t>KALMAR LÄN</t>
        </is>
      </c>
      <c r="G338" t="inlineStr">
        <is>
          <t>EMMABODA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46275</v>
      </c>
      <c r="F339" t="inlineStr">
        <is>
          <t>KALMAR LÄN</t>
        </is>
      </c>
      <c r="G339" t="inlineStr">
        <is>
          <t>EMMABODA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46275</v>
      </c>
      <c r="F340" t="inlineStr">
        <is>
          <t>KALMAR LÄN</t>
        </is>
      </c>
      <c r="G340" t="inlineStr">
        <is>
          <t>EMMABODA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44979</v>
      </c>
      <c r="E341" s="1" t="n">
        <v>46275</v>
      </c>
      <c r="F341" t="inlineStr">
        <is>
          <t>KALMAR LÄN</t>
        </is>
      </c>
      <c r="G341" t="inlineStr">
        <is>
          <t>EMMABODA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45422</v>
      </c>
      <c r="E342" s="1" t="n">
        <v>46275</v>
      </c>
      <c r="F342" t="inlineStr">
        <is>
          <t>KALMAR LÄN</t>
        </is>
      </c>
      <c r="G342" t="inlineStr">
        <is>
          <t>EMMABODA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45559</v>
      </c>
      <c r="E343" s="1" t="n">
        <v>46275</v>
      </c>
      <c r="F343" t="inlineStr">
        <is>
          <t>KALMAR LÄN</t>
        </is>
      </c>
      <c r="G343" t="inlineStr">
        <is>
          <t>EMMABODA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44982</v>
      </c>
      <c r="E344" s="1" t="n">
        <v>46275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45084</v>
      </c>
      <c r="E345" s="1" t="n">
        <v>46275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46275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20648-2022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44700</v>
      </c>
      <c r="E347" s="1" t="n">
        <v>46275</v>
      </c>
      <c r="F347" t="inlineStr">
        <is>
          <t>KALMAR LÄN</t>
        </is>
      </c>
      <c r="G347" t="inlineStr">
        <is>
          <t>EMMABODA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53686-2023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46275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45551</v>
      </c>
      <c r="E349" s="1" t="n">
        <v>46275</v>
      </c>
      <c r="F349" t="inlineStr">
        <is>
          <t>KALMAR LÄN</t>
        </is>
      </c>
      <c r="G349" t="inlineStr">
        <is>
          <t>EMMABODA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46275</v>
      </c>
      <c r="F350" t="inlineStr">
        <is>
          <t>KALMAR LÄN</t>
        </is>
      </c>
      <c r="G350" t="inlineStr">
        <is>
          <t>EMMABODA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46275</v>
      </c>
      <c r="F351" t="inlineStr">
        <is>
          <t>KALMAR LÄN</t>
        </is>
      </c>
      <c r="G351" t="inlineStr">
        <is>
          <t>EMMABODA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46275</v>
      </c>
      <c r="F352" t="inlineStr">
        <is>
          <t>KALMAR LÄN</t>
        </is>
      </c>
      <c r="G352" t="inlineStr">
        <is>
          <t>EMMABODA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46275</v>
      </c>
      <c r="F353" t="inlineStr">
        <is>
          <t>KALMAR LÄN</t>
        </is>
      </c>
      <c r="G353" t="inlineStr">
        <is>
          <t>EMMABODA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46275</v>
      </c>
      <c r="F354" t="inlineStr">
        <is>
          <t>KALMAR LÄN</t>
        </is>
      </c>
      <c r="G354" t="inlineStr">
        <is>
          <t>EMMABODA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46275</v>
      </c>
      <c r="F355" t="inlineStr">
        <is>
          <t>KALMAR LÄN</t>
        </is>
      </c>
      <c r="G355" t="inlineStr">
        <is>
          <t>EMMABODA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45292-2023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45188</v>
      </c>
      <c r="E356" s="1" t="n">
        <v>46275</v>
      </c>
      <c r="F356" t="inlineStr">
        <is>
          <t>KALMAR LÄN</t>
        </is>
      </c>
      <c r="G356" t="inlineStr">
        <is>
          <t>EMMABODA</t>
        </is>
      </c>
      <c r="H356" t="inlineStr">
        <is>
          <t>Kyrkan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45293-2023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45188</v>
      </c>
      <c r="E357" s="1" t="n">
        <v>46275</v>
      </c>
      <c r="F357" t="inlineStr">
        <is>
          <t>KALMAR LÄN</t>
        </is>
      </c>
      <c r="G357" t="inlineStr">
        <is>
          <t>EMMABODA</t>
        </is>
      </c>
      <c r="H357" t="inlineStr">
        <is>
          <t>Kyrkan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45534</v>
      </c>
      <c r="E358" s="1" t="n">
        <v>46275</v>
      </c>
      <c r="F358" t="inlineStr">
        <is>
          <t>KALMAR LÄN</t>
        </is>
      </c>
      <c r="G358" t="inlineStr">
        <is>
          <t>EMMABODA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19854-2024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45433</v>
      </c>
      <c r="E359" s="1" t="n">
        <v>46275</v>
      </c>
      <c r="F359" t="inlineStr">
        <is>
          <t>KALMAR LÄN</t>
        </is>
      </c>
      <c r="G359" t="inlineStr">
        <is>
          <t>EMMABODA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45484</v>
      </c>
      <c r="E360" s="1" t="n">
        <v>46275</v>
      </c>
      <c r="F360" t="inlineStr">
        <is>
          <t>KALMAR LÄN</t>
        </is>
      </c>
      <c r="G360" t="inlineStr">
        <is>
          <t>EMMABODA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44965</v>
      </c>
      <c r="E361" s="1" t="n">
        <v>46275</v>
      </c>
      <c r="F361" t="inlineStr">
        <is>
          <t>KALMAR LÄN</t>
        </is>
      </c>
      <c r="G361" t="inlineStr">
        <is>
          <t>EMMABODA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45351</v>
      </c>
      <c r="E362" s="1" t="n">
        <v>46275</v>
      </c>
      <c r="F362" t="inlineStr">
        <is>
          <t>KALMAR LÄN</t>
        </is>
      </c>
      <c r="G362" t="inlineStr">
        <is>
          <t>EMMABODA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46275</v>
      </c>
      <c r="F363" t="inlineStr">
        <is>
          <t>KALMAR LÄN</t>
        </is>
      </c>
      <c r="G363" t="inlineStr">
        <is>
          <t>EMMABODA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47120-2022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44852</v>
      </c>
      <c r="E364" s="1" t="n">
        <v>46275</v>
      </c>
      <c r="F364" t="inlineStr">
        <is>
          <t>KALMAR LÄN</t>
        </is>
      </c>
      <c r="G364" t="inlineStr">
        <is>
          <t>EMMABODA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46275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45400</v>
      </c>
      <c r="E366" s="1" t="n">
        <v>46275</v>
      </c>
      <c r="F366" t="inlineStr">
        <is>
          <t>KALMAR LÄN</t>
        </is>
      </c>
      <c r="G366" t="inlineStr">
        <is>
          <t>EMMABODA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45146</v>
      </c>
      <c r="E367" s="1" t="n">
        <v>46275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46275</v>
      </c>
      <c r="F368" t="inlineStr">
        <is>
          <t>KALMAR LÄN</t>
        </is>
      </c>
      <c r="G368" t="inlineStr">
        <is>
          <t>EMMABODA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46275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46275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46275</v>
      </c>
      <c r="F371" t="inlineStr">
        <is>
          <t>KALMAR LÄN</t>
        </is>
      </c>
      <c r="G371" t="inlineStr">
        <is>
          <t>EMMABODA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29755-2023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45107</v>
      </c>
      <c r="E372" s="1" t="n">
        <v>46275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46275</v>
      </c>
      <c r="F373" t="inlineStr">
        <is>
          <t>KALMAR LÄN</t>
        </is>
      </c>
      <c r="G373" t="inlineStr">
        <is>
          <t>EMMABODA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44922</v>
      </c>
      <c r="E374" s="1" t="n">
        <v>46275</v>
      </c>
      <c r="F374" t="inlineStr">
        <is>
          <t>KALMAR LÄN</t>
        </is>
      </c>
      <c r="G374" t="inlineStr">
        <is>
          <t>EMMABODA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27676-2022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44743</v>
      </c>
      <c r="E375" s="1" t="n">
        <v>46275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46275</v>
      </c>
      <c r="F376" t="inlineStr">
        <is>
          <t>KALMAR LÄN</t>
        </is>
      </c>
      <c r="G376" t="inlineStr">
        <is>
          <t>EMMABODA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46275</v>
      </c>
      <c r="F377" t="inlineStr">
        <is>
          <t>KALMAR LÄN</t>
        </is>
      </c>
      <c r="G377" t="inlineStr">
        <is>
          <t>EMMABODA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52913-2024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46275</v>
      </c>
      <c r="F378" t="inlineStr">
        <is>
          <t>KALMAR LÄN</t>
        </is>
      </c>
      <c r="G378" t="inlineStr">
        <is>
          <t>EMMABODA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46429-2024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45582</v>
      </c>
      <c r="E379" s="1" t="n">
        <v>46275</v>
      </c>
      <c r="F379" t="inlineStr">
        <is>
          <t>KALMAR LÄN</t>
        </is>
      </c>
      <c r="G379" t="inlineStr">
        <is>
          <t>EMMABODA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42448-2024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45565</v>
      </c>
      <c r="E380" s="1" t="n">
        <v>46275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45445</v>
      </c>
      <c r="E381" s="1" t="n">
        <v>46275</v>
      </c>
      <c r="F381" t="inlineStr">
        <is>
          <t>KALMAR LÄN</t>
        </is>
      </c>
      <c r="G381" t="inlineStr">
        <is>
          <t>EMMABODA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46275</v>
      </c>
      <c r="F382" t="inlineStr">
        <is>
          <t>KALMAR LÄN</t>
        </is>
      </c>
      <c r="G382" t="inlineStr">
        <is>
          <t>EMMABODA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45548</v>
      </c>
      <c r="E383" s="1" t="n">
        <v>46275</v>
      </c>
      <c r="F383" t="inlineStr">
        <is>
          <t>KALMAR LÄN</t>
        </is>
      </c>
      <c r="G383" t="inlineStr">
        <is>
          <t>EMMABODA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59737-2021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44494</v>
      </c>
      <c r="E384" s="1" t="n">
        <v>46275</v>
      </c>
      <c r="F384" t="inlineStr">
        <is>
          <t>KALMAR LÄN</t>
        </is>
      </c>
      <c r="G384" t="inlineStr">
        <is>
          <t>EMMABODA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46275</v>
      </c>
      <c r="F385" t="inlineStr">
        <is>
          <t>KALMAR LÄN</t>
        </is>
      </c>
      <c r="G385" t="inlineStr">
        <is>
          <t>EMMABODA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45229</v>
      </c>
      <c r="E386" s="1" t="n">
        <v>46275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52462-2024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45609</v>
      </c>
      <c r="E387" s="1" t="n">
        <v>46275</v>
      </c>
      <c r="F387" t="inlineStr">
        <is>
          <t>KALMAR LÄN</t>
        </is>
      </c>
      <c r="G387" t="inlineStr">
        <is>
          <t>EMMABODA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45688</v>
      </c>
      <c r="E388" s="1" t="n">
        <v>46275</v>
      </c>
      <c r="F388" t="inlineStr">
        <is>
          <t>KALMAR LÄN</t>
        </is>
      </c>
      <c r="G388" t="inlineStr">
        <is>
          <t>EMMABODA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45559</v>
      </c>
      <c r="E389" s="1" t="n">
        <v>46275</v>
      </c>
      <c r="F389" t="inlineStr">
        <is>
          <t>KALMAR LÄN</t>
        </is>
      </c>
      <c r="G389" t="inlineStr">
        <is>
          <t>EMMABODA</t>
        </is>
      </c>
      <c r="H389" t="inlineStr">
        <is>
          <t>Övriga Aktiebolag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45515</v>
      </c>
      <c r="E390" s="1" t="n">
        <v>46275</v>
      </c>
      <c r="F390" t="inlineStr">
        <is>
          <t>KALMAR LÄN</t>
        </is>
      </c>
      <c r="G390" t="inlineStr">
        <is>
          <t>EMMABODA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29491-2024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46275</v>
      </c>
      <c r="F391" t="inlineStr">
        <is>
          <t>KALMAR LÄN</t>
        </is>
      </c>
      <c r="G391" t="inlineStr">
        <is>
          <t>EMMABODA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45386</v>
      </c>
      <c r="E392" s="1" t="n">
        <v>46275</v>
      </c>
      <c r="F392" t="inlineStr">
        <is>
          <t>KALMAR LÄN</t>
        </is>
      </c>
      <c r="G392" t="inlineStr">
        <is>
          <t>EMMABODA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20506-2025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45775</v>
      </c>
      <c r="E393" s="1" t="n">
        <v>46275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45743</v>
      </c>
      <c r="E394" s="1" t="n">
        <v>46275</v>
      </c>
      <c r="F394" t="inlineStr">
        <is>
          <t>KALMAR LÄN</t>
        </is>
      </c>
      <c r="G394" t="inlineStr">
        <is>
          <t>EMMABODA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49066-2021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44453</v>
      </c>
      <c r="E395" s="1" t="n">
        <v>46275</v>
      </c>
      <c r="F395" t="inlineStr">
        <is>
          <t>KALMAR LÄN</t>
        </is>
      </c>
      <c r="G395" t="inlineStr">
        <is>
          <t>EMMABODA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16703-2022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44673</v>
      </c>
      <c r="E396" s="1" t="n">
        <v>46275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46275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45481</v>
      </c>
      <c r="E398" s="1" t="n">
        <v>46275</v>
      </c>
      <c r="F398" t="inlineStr">
        <is>
          <t>KALMAR LÄN</t>
        </is>
      </c>
      <c r="G398" t="inlineStr">
        <is>
          <t>EMMABODA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46275</v>
      </c>
      <c r="F399" t="inlineStr">
        <is>
          <t>KALMAR LÄN</t>
        </is>
      </c>
      <c r="G399" t="inlineStr">
        <is>
          <t>EMMABODA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54482-2021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44473</v>
      </c>
      <c r="E400" s="1" t="n">
        <v>46275</v>
      </c>
      <c r="F400" t="inlineStr">
        <is>
          <t>KALMAR LÄN</t>
        </is>
      </c>
      <c r="G400" t="inlineStr">
        <is>
          <t>EMMABODA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45126</v>
      </c>
      <c r="E401" s="1" t="n">
        <v>46275</v>
      </c>
      <c r="F401" t="inlineStr">
        <is>
          <t>KALMAR LÄN</t>
        </is>
      </c>
      <c r="G401" t="inlineStr">
        <is>
          <t>EMMABODA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33065-2023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46275</v>
      </c>
      <c r="F402" t="inlineStr">
        <is>
          <t>KALMAR LÄN</t>
        </is>
      </c>
      <c r="G402" t="inlineStr">
        <is>
          <t>EMMABODA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45191</v>
      </c>
      <c r="E403" s="1" t="n">
        <v>46275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46275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45079</v>
      </c>
      <c r="E405" s="1" t="n">
        <v>46275</v>
      </c>
      <c r="F405" t="inlineStr">
        <is>
          <t>KALMAR LÄN</t>
        </is>
      </c>
      <c r="G405" t="inlineStr">
        <is>
          <t>EMMABODA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46275</v>
      </c>
      <c r="F406" t="inlineStr">
        <is>
          <t>KALMAR LÄN</t>
        </is>
      </c>
      <c r="G406" t="inlineStr">
        <is>
          <t>EMMABODA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46275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46275</v>
      </c>
      <c r="F408" t="inlineStr">
        <is>
          <t>KALMAR LÄN</t>
        </is>
      </c>
      <c r="G408" t="inlineStr">
        <is>
          <t>EMMABODA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46275</v>
      </c>
      <c r="F409" t="inlineStr">
        <is>
          <t>KALMAR LÄN</t>
        </is>
      </c>
      <c r="G409" t="inlineStr">
        <is>
          <t>EMMABODA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45455</v>
      </c>
      <c r="E410" s="1" t="n">
        <v>46275</v>
      </c>
      <c r="F410" t="inlineStr">
        <is>
          <t>KALMAR LÄN</t>
        </is>
      </c>
      <c r="G410" t="inlineStr">
        <is>
          <t>EMMABODA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46275</v>
      </c>
      <c r="F411" t="inlineStr">
        <is>
          <t>KALMAR LÄN</t>
        </is>
      </c>
      <c r="G411" t="inlineStr">
        <is>
          <t>EMMABODA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45804</v>
      </c>
      <c r="E412" s="1" t="n">
        <v>46275</v>
      </c>
      <c r="F412" t="inlineStr">
        <is>
          <t>KALMAR LÄN</t>
        </is>
      </c>
      <c r="G412" t="inlineStr">
        <is>
          <t>EMMABODA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46275</v>
      </c>
      <c r="F413" t="inlineStr">
        <is>
          <t>KALMAR LÄN</t>
        </is>
      </c>
      <c r="G413" t="inlineStr">
        <is>
          <t>EMMABODA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46275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45084</v>
      </c>
      <c r="E415" s="1" t="n">
        <v>46275</v>
      </c>
      <c r="F415" t="inlineStr">
        <is>
          <t>KALMAR LÄN</t>
        </is>
      </c>
      <c r="G415" t="inlineStr">
        <is>
          <t>EMMABODA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45164</v>
      </c>
      <c r="E416" s="1" t="n">
        <v>46275</v>
      </c>
      <c r="F416" t="inlineStr">
        <is>
          <t>KALMAR LÄN</t>
        </is>
      </c>
      <c r="G416" t="inlineStr">
        <is>
          <t>EMMABODA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44749</v>
      </c>
      <c r="E417" s="1" t="n">
        <v>46275</v>
      </c>
      <c r="F417" t="inlineStr">
        <is>
          <t>KALMAR LÄN</t>
        </is>
      </c>
      <c r="G417" t="inlineStr">
        <is>
          <t>EMMABODA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46275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45159</v>
      </c>
      <c r="E419" s="1" t="n">
        <v>46275</v>
      </c>
      <c r="F419" t="inlineStr">
        <is>
          <t>KALMAR LÄN</t>
        </is>
      </c>
      <c r="G419" t="inlineStr">
        <is>
          <t>EMMABODA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45573</v>
      </c>
      <c r="E420" s="1" t="n">
        <v>46275</v>
      </c>
      <c r="F420" t="inlineStr">
        <is>
          <t>KALMAR LÄN</t>
        </is>
      </c>
      <c r="G420" t="inlineStr">
        <is>
          <t>EMMABODA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44726</v>
      </c>
      <c r="E421" s="1" t="n">
        <v>46275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46275</v>
      </c>
      <c r="F422" t="inlineStr">
        <is>
          <t>KALMAR LÄN</t>
        </is>
      </c>
      <c r="G422" t="inlineStr">
        <is>
          <t>EMMABODA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25316-2025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45800</v>
      </c>
      <c r="E423" s="1" t="n">
        <v>46275</v>
      </c>
      <c r="F423" t="inlineStr">
        <is>
          <t>KALMAR LÄN</t>
        </is>
      </c>
      <c r="G423" t="inlineStr">
        <is>
          <t>EMMABODA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45327</v>
      </c>
      <c r="E424" s="1" t="n">
        <v>46275</v>
      </c>
      <c r="F424" t="inlineStr">
        <is>
          <t>KALMAR LÄN</t>
        </is>
      </c>
      <c r="G424" t="inlineStr">
        <is>
          <t>EMMABODA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45537</v>
      </c>
      <c r="E425" s="1" t="n">
        <v>46275</v>
      </c>
      <c r="F425" t="inlineStr">
        <is>
          <t>KALMAR LÄN</t>
        </is>
      </c>
      <c r="G425" t="inlineStr">
        <is>
          <t>EMMABODA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8397-2023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44977</v>
      </c>
      <c r="E426" s="1" t="n">
        <v>46275</v>
      </c>
      <c r="F426" t="inlineStr">
        <is>
          <t>KALMAR LÄN</t>
        </is>
      </c>
      <c r="G426" t="inlineStr">
        <is>
          <t>EMMABODA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32561-2022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44783</v>
      </c>
      <c r="E427" s="1" t="n">
        <v>46275</v>
      </c>
      <c r="F427" t="inlineStr">
        <is>
          <t>KALMAR LÄN</t>
        </is>
      </c>
      <c r="G427" t="inlineStr">
        <is>
          <t>EMMABODA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46275</v>
      </c>
      <c r="F428" t="inlineStr">
        <is>
          <t>KALMAR LÄN</t>
        </is>
      </c>
      <c r="G428" t="inlineStr">
        <is>
          <t>EMMABODA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45091</v>
      </c>
      <c r="E429" s="1" t="n">
        <v>46275</v>
      </c>
      <c r="F429" t="inlineStr">
        <is>
          <t>KALMAR LÄN</t>
        </is>
      </c>
      <c r="G429" t="inlineStr">
        <is>
          <t>EMMABODA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46275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44652</v>
      </c>
      <c r="E431" s="1" t="n">
        <v>46275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36043-2022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46275</v>
      </c>
      <c r="F432" t="inlineStr">
        <is>
          <t>KALMAR LÄN</t>
        </is>
      </c>
      <c r="G432" t="inlineStr">
        <is>
          <t>EMMABODA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53704-2023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45230</v>
      </c>
      <c r="E433" s="1" t="n">
        <v>46275</v>
      </c>
      <c r="F433" t="inlineStr">
        <is>
          <t>KALMAR LÄN</t>
        </is>
      </c>
      <c r="G433" t="inlineStr">
        <is>
          <t>EMMABODA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46275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45258</v>
      </c>
      <c r="E435" s="1" t="n">
        <v>46275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46275</v>
      </c>
      <c r="F436" t="inlineStr">
        <is>
          <t>KALMAR LÄN</t>
        </is>
      </c>
      <c r="G436" t="inlineStr">
        <is>
          <t>EMMABODA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45825</v>
      </c>
      <c r="E437" s="1" t="n">
        <v>46275</v>
      </c>
      <c r="F437" t="inlineStr">
        <is>
          <t>KALMAR LÄN</t>
        </is>
      </c>
      <c r="G437" t="inlineStr">
        <is>
          <t>EMMABODA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45826</v>
      </c>
      <c r="E438" s="1" t="n">
        <v>46275</v>
      </c>
      <c r="F438" t="inlineStr">
        <is>
          <t>KALMAR LÄN</t>
        </is>
      </c>
      <c r="G438" t="inlineStr">
        <is>
          <t>EMMABODA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46275</v>
      </c>
      <c r="F439" t="inlineStr">
        <is>
          <t>KALMAR LÄN</t>
        </is>
      </c>
      <c r="G439" t="inlineStr">
        <is>
          <t>EMMABODA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45826</v>
      </c>
      <c r="E440" s="1" t="n">
        <v>46275</v>
      </c>
      <c r="F440" t="inlineStr">
        <is>
          <t>KALMAR LÄN</t>
        </is>
      </c>
      <c r="G440" t="inlineStr">
        <is>
          <t>EMMABODA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45826</v>
      </c>
      <c r="E441" s="1" t="n">
        <v>46275</v>
      </c>
      <c r="F441" t="inlineStr">
        <is>
          <t>KALMAR LÄN</t>
        </is>
      </c>
      <c r="G441" t="inlineStr">
        <is>
          <t>EMMABODA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45826</v>
      </c>
      <c r="E442" s="1" t="n">
        <v>46275</v>
      </c>
      <c r="F442" t="inlineStr">
        <is>
          <t>KALMAR LÄN</t>
        </is>
      </c>
      <c r="G442" t="inlineStr">
        <is>
          <t>EMMABODA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46275</v>
      </c>
      <c r="F443" t="inlineStr">
        <is>
          <t>KALMAR LÄN</t>
        </is>
      </c>
      <c r="G443" t="inlineStr">
        <is>
          <t>EMMABODA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45741</v>
      </c>
      <c r="E444" s="1" t="n">
        <v>46275</v>
      </c>
      <c r="F444" t="inlineStr">
        <is>
          <t>KALMAR LÄN</t>
        </is>
      </c>
      <c r="G444" t="inlineStr">
        <is>
          <t>EMMABODA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45826</v>
      </c>
      <c r="E445" s="1" t="n">
        <v>46275</v>
      </c>
      <c r="F445" t="inlineStr">
        <is>
          <t>KALMAR LÄN</t>
        </is>
      </c>
      <c r="G445" t="inlineStr">
        <is>
          <t>EMMABODA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45832</v>
      </c>
      <c r="E446" s="1" t="n">
        <v>46275</v>
      </c>
      <c r="F446" t="inlineStr">
        <is>
          <t>KALMAR LÄN</t>
        </is>
      </c>
      <c r="G446" t="inlineStr">
        <is>
          <t>EMMABODA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27710-2024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46275</v>
      </c>
      <c r="F447" t="inlineStr">
        <is>
          <t>KALMAR LÄN</t>
        </is>
      </c>
      <c r="G447" t="inlineStr">
        <is>
          <t>EMMABODA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45716</v>
      </c>
      <c r="E448" s="1" t="n">
        <v>46275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45681</v>
      </c>
      <c r="E449" s="1" t="n">
        <v>46275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46275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45909</v>
      </c>
      <c r="E451" s="1" t="n">
        <v>46275</v>
      </c>
      <c r="F451" t="inlineStr">
        <is>
          <t>KALMAR LÄN</t>
        </is>
      </c>
      <c r="G451" t="inlineStr">
        <is>
          <t>EMMABODA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45887</v>
      </c>
      <c r="E452" s="1" t="n">
        <v>46275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46275</v>
      </c>
      <c r="F453" t="inlineStr">
        <is>
          <t>KALMAR LÄN</t>
        </is>
      </c>
      <c r="G453" t="inlineStr">
        <is>
          <t>EMMABODA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15913-2025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46275</v>
      </c>
      <c r="F454" t="inlineStr">
        <is>
          <t>KALMAR LÄN</t>
        </is>
      </c>
      <c r="G454" t="inlineStr">
        <is>
          <t>EMMABODA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32137-2025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46275</v>
      </c>
      <c r="F455" t="inlineStr">
        <is>
          <t>KALMAR LÄN</t>
        </is>
      </c>
      <c r="G455" t="inlineStr">
        <is>
          <t>EMMABODA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46275</v>
      </c>
      <c r="F456" t="inlineStr">
        <is>
          <t>KALMAR LÄN</t>
        </is>
      </c>
      <c r="G456" t="inlineStr">
        <is>
          <t>EMMABODA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26111-2025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45805</v>
      </c>
      <c r="E457" s="1" t="n">
        <v>46275</v>
      </c>
      <c r="F457" t="inlineStr">
        <is>
          <t>KALMAR LÄN</t>
        </is>
      </c>
      <c r="G457" t="inlineStr">
        <is>
          <t>EMMABODA</t>
        </is>
      </c>
      <c r="I457" t="n">
        <v>12.5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46275</v>
      </c>
      <c r="F458" t="inlineStr">
        <is>
          <t>KALMAR LÄN</t>
        </is>
      </c>
      <c r="G458" t="inlineStr">
        <is>
          <t>EMMABODA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46275</v>
      </c>
      <c r="F459" t="inlineStr">
        <is>
          <t>KALMAR LÄN</t>
        </is>
      </c>
      <c r="G459" t="inlineStr">
        <is>
          <t>EMMABODA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46275</v>
      </c>
      <c r="F460" t="inlineStr">
        <is>
          <t>KALMAR LÄN</t>
        </is>
      </c>
      <c r="G460" t="inlineStr">
        <is>
          <t>EMMABODA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46275</v>
      </c>
      <c r="F461" t="inlineStr">
        <is>
          <t>KALMAR LÄN</t>
        </is>
      </c>
      <c r="G461" t="inlineStr">
        <is>
          <t>EMMABODA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34055-2025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45845</v>
      </c>
      <c r="E462" s="1" t="n">
        <v>46275</v>
      </c>
      <c r="F462" t="inlineStr">
        <is>
          <t>KALMAR LÄN</t>
        </is>
      </c>
      <c r="G462" t="inlineStr">
        <is>
          <t>EMMABODA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45727</v>
      </c>
      <c r="E463" s="1" t="n">
        <v>46275</v>
      </c>
      <c r="F463" t="inlineStr">
        <is>
          <t>KALMAR LÄN</t>
        </is>
      </c>
      <c r="G463" t="inlineStr">
        <is>
          <t>EMMABODA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35522-2022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44799</v>
      </c>
      <c r="E464" s="1" t="n">
        <v>46275</v>
      </c>
      <c r="F464" t="inlineStr">
        <is>
          <t>KALMAR LÄN</t>
        </is>
      </c>
      <c r="G464" t="inlineStr">
        <is>
          <t>EMMABODA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20053-2025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45772</v>
      </c>
      <c r="E465" s="1" t="n">
        <v>46275</v>
      </c>
      <c r="F465" t="inlineStr">
        <is>
          <t>KALMAR LÄN</t>
        </is>
      </c>
      <c r="G465" t="inlineStr">
        <is>
          <t>EMMABODA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46275</v>
      </c>
      <c r="F466" t="inlineStr">
        <is>
          <t>KALMAR LÄN</t>
        </is>
      </c>
      <c r="G466" t="inlineStr">
        <is>
          <t>EMMABODA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46275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45716</v>
      </c>
      <c r="E468" s="1" t="n">
        <v>46275</v>
      </c>
      <c r="F468" t="inlineStr">
        <is>
          <t>KALMAR LÄN</t>
        </is>
      </c>
      <c r="G468" t="inlineStr">
        <is>
          <t>EMMABODA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45306-2025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45921</v>
      </c>
      <c r="E469" s="1" t="n">
        <v>46275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45851</v>
      </c>
      <c r="E470" s="1" t="n">
        <v>46275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45851</v>
      </c>
      <c r="E471" s="1" t="n">
        <v>46275</v>
      </c>
      <c r="F471" t="inlineStr">
        <is>
          <t>KALMAR LÄN</t>
        </is>
      </c>
      <c r="G471" t="inlineStr">
        <is>
          <t>EMMABODA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46275</v>
      </c>
      <c r="F472" t="inlineStr">
        <is>
          <t>KALMAR LÄN</t>
        </is>
      </c>
      <c r="G472" t="inlineStr">
        <is>
          <t>EMMABODA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46275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45727</v>
      </c>
      <c r="E474" s="1" t="n">
        <v>46275</v>
      </c>
      <c r="F474" t="inlineStr">
        <is>
          <t>KALMAR LÄN</t>
        </is>
      </c>
      <c r="G474" t="inlineStr">
        <is>
          <t>EMMABODA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45309</v>
      </c>
      <c r="E475" s="1" t="n">
        <v>46275</v>
      </c>
      <c r="F475" t="inlineStr">
        <is>
          <t>KALMAR LÄN</t>
        </is>
      </c>
      <c r="G475" t="inlineStr">
        <is>
          <t>EMMABODA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46275</v>
      </c>
      <c r="F476" t="inlineStr">
        <is>
          <t>KALMAR LÄN</t>
        </is>
      </c>
      <c r="G476" t="inlineStr">
        <is>
          <t>EMMABODA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35592-2025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45857</v>
      </c>
      <c r="E477" s="1" t="n">
        <v>46275</v>
      </c>
      <c r="F477" t="inlineStr">
        <is>
          <t>KALMAR LÄN</t>
        </is>
      </c>
      <c r="G477" t="inlineStr">
        <is>
          <t>EMMABODA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45750</v>
      </c>
      <c r="E478" s="1" t="n">
        <v>46275</v>
      </c>
      <c r="F478" t="inlineStr">
        <is>
          <t>KALMAR LÄN</t>
        </is>
      </c>
      <c r="G478" t="inlineStr">
        <is>
          <t>EMMABODA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45307</v>
      </c>
      <c r="E479" s="1" t="n">
        <v>46275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36012-2025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45863</v>
      </c>
      <c r="E480" s="1" t="n">
        <v>46275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46275</v>
      </c>
      <c r="F481" t="inlineStr">
        <is>
          <t>KALMAR LÄN</t>
        </is>
      </c>
      <c r="G481" t="inlineStr">
        <is>
          <t>EMMABODA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45716</v>
      </c>
      <c r="E482" s="1" t="n">
        <v>46275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46275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45310</v>
      </c>
      <c r="E484" s="1" t="n">
        <v>46275</v>
      </c>
      <c r="F484" t="inlineStr">
        <is>
          <t>KALMAR LÄN</t>
        </is>
      </c>
      <c r="G484" t="inlineStr">
        <is>
          <t>EMMABODA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46275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44851</v>
      </c>
      <c r="E486" s="1" t="n">
        <v>46275</v>
      </c>
      <c r="F486" t="inlineStr">
        <is>
          <t>KALMAR LÄN</t>
        </is>
      </c>
      <c r="G486" t="inlineStr">
        <is>
          <t>EMMABODA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45089</v>
      </c>
      <c r="E487" s="1" t="n">
        <v>46275</v>
      </c>
      <c r="F487" t="inlineStr">
        <is>
          <t>KALMAR LÄN</t>
        </is>
      </c>
      <c r="G487" t="inlineStr">
        <is>
          <t>EMMABODA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46275</v>
      </c>
      <c r="F488" t="inlineStr">
        <is>
          <t>KALMAR LÄN</t>
        </is>
      </c>
      <c r="G488" t="inlineStr">
        <is>
          <t>EMMABODA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46275</v>
      </c>
      <c r="F489" t="inlineStr">
        <is>
          <t>KALMAR LÄN</t>
        </is>
      </c>
      <c r="G489" t="inlineStr">
        <is>
          <t>EMMABODA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49285-2025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45938</v>
      </c>
      <c r="E490" s="1" t="n">
        <v>46275</v>
      </c>
      <c r="F490" t="inlineStr">
        <is>
          <t>KALMAR LÄN</t>
        </is>
      </c>
      <c r="G490" t="inlineStr">
        <is>
          <t>EMMABODA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46275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37812-2025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45881</v>
      </c>
      <c r="E492" s="1" t="n">
        <v>46275</v>
      </c>
      <c r="F492" t="inlineStr">
        <is>
          <t>KALMAR LÄN</t>
        </is>
      </c>
      <c r="G492" t="inlineStr">
        <is>
          <t>EMMABODA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56549-2022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44893</v>
      </c>
      <c r="E493" s="1" t="n">
        <v>46275</v>
      </c>
      <c r="F493" t="inlineStr">
        <is>
          <t>KALMAR LÄN</t>
        </is>
      </c>
      <c r="G493" t="inlineStr">
        <is>
          <t>EMMABODA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54085-2024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45615</v>
      </c>
      <c r="E494" s="1" t="n">
        <v>46275</v>
      </c>
      <c r="F494" t="inlineStr">
        <is>
          <t>KALMAR LÄN</t>
        </is>
      </c>
      <c r="G494" t="inlineStr">
        <is>
          <t>EMMABODA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45159</v>
      </c>
      <c r="E495" s="1" t="n">
        <v>46275</v>
      </c>
      <c r="F495" t="inlineStr">
        <is>
          <t>KALMAR LÄN</t>
        </is>
      </c>
      <c r="G495" t="inlineStr">
        <is>
          <t>EMMABODA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31070-2022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44769</v>
      </c>
      <c r="E496" s="1" t="n">
        <v>46275</v>
      </c>
      <c r="F496" t="inlineStr">
        <is>
          <t>KALMAR LÄN</t>
        </is>
      </c>
      <c r="G496" t="inlineStr">
        <is>
          <t>EMMABODA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46275</v>
      </c>
      <c r="F497" t="inlineStr">
        <is>
          <t>KALMAR LÄN</t>
        </is>
      </c>
      <c r="G497" t="inlineStr">
        <is>
          <t>EMMABODA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46275</v>
      </c>
      <c r="F498" t="inlineStr">
        <is>
          <t>KALMAR LÄN</t>
        </is>
      </c>
      <c r="G498" t="inlineStr">
        <is>
          <t>EMMABODA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46728-2022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44851</v>
      </c>
      <c r="E499" s="1" t="n">
        <v>46275</v>
      </c>
      <c r="F499" t="inlineStr">
        <is>
          <t>KALMAR LÄN</t>
        </is>
      </c>
      <c r="G499" t="inlineStr">
        <is>
          <t>EMMABODA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45196</v>
      </c>
      <c r="E500" s="1" t="n">
        <v>46275</v>
      </c>
      <c r="F500" t="inlineStr">
        <is>
          <t>KALMAR LÄN</t>
        </is>
      </c>
      <c r="G500" t="inlineStr">
        <is>
          <t>EMMABODA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45392</v>
      </c>
      <c r="E501" s="1" t="n">
        <v>46275</v>
      </c>
      <c r="F501" t="inlineStr">
        <is>
          <t>KALMAR LÄN</t>
        </is>
      </c>
      <c r="G501" t="inlineStr">
        <is>
          <t>EMMABODA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57717-2022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44897</v>
      </c>
      <c r="E502" s="1" t="n">
        <v>46275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45323</v>
      </c>
      <c r="E503" s="1" t="n">
        <v>46275</v>
      </c>
      <c r="F503" t="inlineStr">
        <is>
          <t>KALMAR LÄN</t>
        </is>
      </c>
      <c r="G503" t="inlineStr">
        <is>
          <t>EMMABODA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45953</v>
      </c>
      <c r="E504" s="1" t="n">
        <v>46275</v>
      </c>
      <c r="F504" t="inlineStr">
        <is>
          <t>KALMAR LÄN</t>
        </is>
      </c>
      <c r="G504" t="inlineStr">
        <is>
          <t>EMMABODA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58156-2021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44487</v>
      </c>
      <c r="E505" s="1" t="n">
        <v>46275</v>
      </c>
      <c r="F505" t="inlineStr">
        <is>
          <t>KALMAR LÄN</t>
        </is>
      </c>
      <c r="G505" t="inlineStr">
        <is>
          <t>EMMABODA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45323</v>
      </c>
      <c r="E506" s="1" t="n">
        <v>46275</v>
      </c>
      <c r="F506" t="inlineStr">
        <is>
          <t>KALMAR LÄN</t>
        </is>
      </c>
      <c r="G506" t="inlineStr">
        <is>
          <t>EMMABODA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41441-2025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45901</v>
      </c>
      <c r="E507" s="1" t="n">
        <v>46275</v>
      </c>
      <c r="F507" t="inlineStr">
        <is>
          <t>KALMAR LÄN</t>
        </is>
      </c>
      <c r="G507" t="inlineStr">
        <is>
          <t>EMMABODA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45637</v>
      </c>
      <c r="E508" s="1" t="n">
        <v>46275</v>
      </c>
      <c r="F508" t="inlineStr">
        <is>
          <t>KALMAR LÄN</t>
        </is>
      </c>
      <c r="G508" t="inlineStr">
        <is>
          <t>EMMABODA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25783-2024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45466</v>
      </c>
      <c r="E509" s="1" t="n">
        <v>46275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45327</v>
      </c>
      <c r="E510" s="1" t="n">
        <v>46275</v>
      </c>
      <c r="F510" t="inlineStr">
        <is>
          <t>KALMAR LÄN</t>
        </is>
      </c>
      <c r="G510" t="inlineStr">
        <is>
          <t>EMMABODA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53534-2025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45960</v>
      </c>
      <c r="E511" s="1" t="n">
        <v>46275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58592-2021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44488</v>
      </c>
      <c r="E512" s="1" t="n">
        <v>46275</v>
      </c>
      <c r="F512" t="inlineStr">
        <is>
          <t>KALMAR LÄN</t>
        </is>
      </c>
      <c r="G512" t="inlineStr">
        <is>
          <t>EMMABODA</t>
        </is>
      </c>
      <c r="H512" t="inlineStr">
        <is>
          <t>Kommuner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45296</v>
      </c>
      <c r="E513" s="1" t="n">
        <v>46275</v>
      </c>
      <c r="F513" t="inlineStr">
        <is>
          <t>KALMAR LÄN</t>
        </is>
      </c>
      <c r="G513" t="inlineStr">
        <is>
          <t>EMMABODA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54177-2025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45964</v>
      </c>
      <c r="E514" s="1" t="n">
        <v>46275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46275</v>
      </c>
      <c r="F515" t="inlineStr">
        <is>
          <t>KALMAR LÄN</t>
        </is>
      </c>
      <c r="G515" t="inlineStr">
        <is>
          <t>EMMABODA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68947-2021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44530</v>
      </c>
      <c r="E516" s="1" t="n">
        <v>46275</v>
      </c>
      <c r="F516" t="inlineStr">
        <is>
          <t>KALMAR LÄN</t>
        </is>
      </c>
      <c r="G516" t="inlineStr">
        <is>
          <t>EMMABODA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44586</v>
      </c>
      <c r="E517" s="1" t="n">
        <v>46275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4387-2022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44589</v>
      </c>
      <c r="E518" s="1" t="n">
        <v>46275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54983-2025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45967</v>
      </c>
      <c r="E519" s="1" t="n">
        <v>46275</v>
      </c>
      <c r="F519" t="inlineStr">
        <is>
          <t>KALMAR LÄN</t>
        </is>
      </c>
      <c r="G519" t="inlineStr">
        <is>
          <t>EMMABODA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54982-2025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45967</v>
      </c>
      <c r="E520" s="1" t="n">
        <v>46275</v>
      </c>
      <c r="F520" t="inlineStr">
        <is>
          <t>KALMAR LÄN</t>
        </is>
      </c>
      <c r="G520" t="inlineStr">
        <is>
          <t>EMMABODA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63180-2021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44507</v>
      </c>
      <c r="E521" s="1" t="n">
        <v>46275</v>
      </c>
      <c r="F521" t="inlineStr">
        <is>
          <t>KALMAR LÄN</t>
        </is>
      </c>
      <c r="G521" t="inlineStr">
        <is>
          <t>EMMABODA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46275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44938</v>
      </c>
      <c r="E523" s="1" t="n">
        <v>46275</v>
      </c>
      <c r="F523" t="inlineStr">
        <is>
          <t>KALMAR LÄN</t>
        </is>
      </c>
      <c r="G523" t="inlineStr">
        <is>
          <t>EMMABODA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44979</v>
      </c>
      <c r="E524" s="1" t="n">
        <v>46275</v>
      </c>
      <c r="F524" t="inlineStr">
        <is>
          <t>KALMAR LÄN</t>
        </is>
      </c>
      <c r="G524" t="inlineStr">
        <is>
          <t>EMMABODA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45606</v>
      </c>
      <c r="E525" s="1" t="n">
        <v>46275</v>
      </c>
      <c r="F525" t="inlineStr">
        <is>
          <t>KALMAR LÄN</t>
        </is>
      </c>
      <c r="G525" t="inlineStr">
        <is>
          <t>EMMABODA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45370</v>
      </c>
      <c r="E526" s="1" t="n">
        <v>46275</v>
      </c>
      <c r="F526" t="inlineStr">
        <is>
          <t>KALMAR LÄN</t>
        </is>
      </c>
      <c r="G526" t="inlineStr">
        <is>
          <t>EMMABODA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45091</v>
      </c>
      <c r="E527" s="1" t="n">
        <v>46275</v>
      </c>
      <c r="F527" t="inlineStr">
        <is>
          <t>KALMAR LÄN</t>
        </is>
      </c>
      <c r="G527" t="inlineStr">
        <is>
          <t>EMMABODA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45149</v>
      </c>
      <c r="E528" s="1" t="n">
        <v>46275</v>
      </c>
      <c r="F528" t="inlineStr">
        <is>
          <t>KALMAR LÄN</t>
        </is>
      </c>
      <c r="G528" t="inlineStr">
        <is>
          <t>EMMABODA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45060-2023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45191</v>
      </c>
      <c r="E529" s="1" t="n">
        <v>46275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46275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46275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44930</v>
      </c>
      <c r="E532" s="1" t="n">
        <v>46275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57200-2025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45979</v>
      </c>
      <c r="E533" s="1" t="n">
        <v>46275</v>
      </c>
      <c r="F533" t="inlineStr">
        <is>
          <t>KALMAR LÄN</t>
        </is>
      </c>
      <c r="G533" t="inlineStr">
        <is>
          <t>EMMABODA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46275</v>
      </c>
      <c r="F534" t="inlineStr">
        <is>
          <t>KALMAR LÄN</t>
        </is>
      </c>
      <c r="G534" t="inlineStr">
        <is>
          <t>EMMABODA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24779-2022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44728</v>
      </c>
      <c r="E535" s="1" t="n">
        <v>46275</v>
      </c>
      <c r="F535" t="inlineStr">
        <is>
          <t>KALMAR LÄN</t>
        </is>
      </c>
      <c r="G535" t="inlineStr">
        <is>
          <t>EMMABODA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46275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18478-2024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45425</v>
      </c>
      <c r="E537" s="1" t="n">
        <v>46275</v>
      </c>
      <c r="F537" t="inlineStr">
        <is>
          <t>KALMAR LÄN</t>
        </is>
      </c>
      <c r="G537" t="inlineStr">
        <is>
          <t>EMMABODA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17525-2023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45036</v>
      </c>
      <c r="E538" s="1" t="n">
        <v>46275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43256-2022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44834</v>
      </c>
      <c r="E539" s="1" t="n">
        <v>46275</v>
      </c>
      <c r="F539" t="inlineStr">
        <is>
          <t>KALMAR LÄN</t>
        </is>
      </c>
      <c r="G539" t="inlineStr">
        <is>
          <t>EMMABODA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19686-2023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46275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45051</v>
      </c>
      <c r="E541" s="1" t="n">
        <v>46275</v>
      </c>
      <c r="F541" t="inlineStr">
        <is>
          <t>KALMAR LÄN</t>
        </is>
      </c>
      <c r="G541" t="inlineStr">
        <is>
          <t>EMMABODA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45590</v>
      </c>
      <c r="E542" s="1" t="n">
        <v>46275</v>
      </c>
      <c r="F542" t="inlineStr">
        <is>
          <t>KALMAR LÄN</t>
        </is>
      </c>
      <c r="G542" t="inlineStr">
        <is>
          <t>EMMABODA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37296-2022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44808</v>
      </c>
      <c r="E543" s="1" t="n">
        <v>46275</v>
      </c>
      <c r="F543" t="inlineStr">
        <is>
          <t>KALMAR LÄN</t>
        </is>
      </c>
      <c r="G543" t="inlineStr">
        <is>
          <t>EMMABODA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44944</v>
      </c>
      <c r="E544" s="1" t="n">
        <v>46275</v>
      </c>
      <c r="F544" t="inlineStr">
        <is>
          <t>KALMAR LÄN</t>
        </is>
      </c>
      <c r="G544" t="inlineStr">
        <is>
          <t>EMMABODA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19210-2023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45048</v>
      </c>
      <c r="E545" s="1" t="n">
        <v>46275</v>
      </c>
      <c r="F545" t="inlineStr">
        <is>
          <t>KALMAR LÄN</t>
        </is>
      </c>
      <c r="G545" t="inlineStr">
        <is>
          <t>EMMABODA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58136-2021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44487</v>
      </c>
      <c r="E546" s="1" t="n">
        <v>46275</v>
      </c>
      <c r="F546" t="inlineStr">
        <is>
          <t>KALMAR LÄN</t>
        </is>
      </c>
      <c r="G546" t="inlineStr">
        <is>
          <t>EMMABODA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45514</v>
      </c>
      <c r="E547" s="1" t="n">
        <v>46275</v>
      </c>
      <c r="F547" t="inlineStr">
        <is>
          <t>KALMAR LÄN</t>
        </is>
      </c>
      <c r="G547" t="inlineStr">
        <is>
          <t>EMMABODA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45514</v>
      </c>
      <c r="E548" s="1" t="n">
        <v>46275</v>
      </c>
      <c r="F548" t="inlineStr">
        <is>
          <t>KALMAR LÄN</t>
        </is>
      </c>
      <c r="G548" t="inlineStr">
        <is>
          <t>EMMABODA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46275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45994</v>
      </c>
      <c r="E550" s="1" t="n">
        <v>46275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45076</v>
      </c>
      <c r="E551" s="1" t="n">
        <v>46275</v>
      </c>
      <c r="F551" t="inlineStr">
        <is>
          <t>KALMAR LÄN</t>
        </is>
      </c>
      <c r="G551" t="inlineStr">
        <is>
          <t>EMMABODA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14068-2024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46275</v>
      </c>
      <c r="F552" t="inlineStr">
        <is>
          <t>KALMAR LÄN</t>
        </is>
      </c>
      <c r="G552" t="inlineStr">
        <is>
          <t>EMMABODA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52206-2023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45217</v>
      </c>
      <c r="E553" s="1" t="n">
        <v>46275</v>
      </c>
      <c r="F553" t="inlineStr">
        <is>
          <t>KALMAR LÄN</t>
        </is>
      </c>
      <c r="G553" t="inlineStr">
        <is>
          <t>EMMABODA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45986</v>
      </c>
      <c r="E554" s="1" t="n">
        <v>46275</v>
      </c>
      <c r="F554" t="inlineStr">
        <is>
          <t>KALMAR LÄN</t>
        </is>
      </c>
      <c r="G554" t="inlineStr">
        <is>
          <t>EMMABODA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46275</v>
      </c>
      <c r="F555" t="inlineStr">
        <is>
          <t>KALMAR LÄN</t>
        </is>
      </c>
      <c r="G555" t="inlineStr">
        <is>
          <t>EMMABODA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50467-2021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44455</v>
      </c>
      <c r="E556" s="1" t="n">
        <v>46275</v>
      </c>
      <c r="F556" t="inlineStr">
        <is>
          <t>KALMAR LÄN</t>
        </is>
      </c>
      <c r="G556" t="inlineStr">
        <is>
          <t>EMMABODA</t>
        </is>
      </c>
      <c r="H556" t="inlineStr">
        <is>
          <t>Övriga Aktiebolag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46275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42279-2023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46275</v>
      </c>
      <c r="F558" t="inlineStr">
        <is>
          <t>KALMAR LÄN</t>
        </is>
      </c>
      <c r="G558" t="inlineStr">
        <is>
          <t>EMMABODA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45668</v>
      </c>
      <c r="E559" s="1" t="n">
        <v>46275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45349</v>
      </c>
      <c r="E560" s="1" t="n">
        <v>46275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45349</v>
      </c>
      <c r="E561" s="1" t="n">
        <v>46275</v>
      </c>
      <c r="F561" t="inlineStr">
        <is>
          <t>KALMAR LÄN</t>
        </is>
      </c>
      <c r="G561" t="inlineStr">
        <is>
          <t>EMMABODA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45641</v>
      </c>
      <c r="E562" s="1" t="n">
        <v>46275</v>
      </c>
      <c r="F562" t="inlineStr">
        <is>
          <t>KALMAR LÄN</t>
        </is>
      </c>
      <c r="G562" t="inlineStr">
        <is>
          <t>EMMABODA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44791</v>
      </c>
      <c r="E563" s="1" t="n">
        <v>46275</v>
      </c>
      <c r="F563" t="inlineStr">
        <is>
          <t>KALMAR LÄN</t>
        </is>
      </c>
      <c r="G563" t="inlineStr">
        <is>
          <t>EMMABODA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2354-2024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46275</v>
      </c>
      <c r="F564" t="inlineStr">
        <is>
          <t>KALMAR LÄN</t>
        </is>
      </c>
      <c r="G564" t="inlineStr">
        <is>
          <t>EMMABODA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61791-2022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44911</v>
      </c>
      <c r="E565" s="1" t="n">
        <v>46275</v>
      </c>
      <c r="F565" t="inlineStr">
        <is>
          <t>KALMAR LÄN</t>
        </is>
      </c>
      <c r="G565" t="inlineStr">
        <is>
          <t>EMMABODA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14415-2024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45394</v>
      </c>
      <c r="E566" s="1" t="n">
        <v>46275</v>
      </c>
      <c r="F566" t="inlineStr">
        <is>
          <t>KALMAR LÄN</t>
        </is>
      </c>
      <c r="G566" t="inlineStr">
        <is>
          <t>EMMABODA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59764-2022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46275</v>
      </c>
      <c r="F567" t="inlineStr">
        <is>
          <t>KALMAR LÄN</t>
        </is>
      </c>
      <c r="G567" t="inlineStr">
        <is>
          <t>EMMABODA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46024</v>
      </c>
      <c r="E568" s="1" t="n">
        <v>46275</v>
      </c>
      <c r="F568" t="inlineStr">
        <is>
          <t>KALMAR LÄN</t>
        </is>
      </c>
      <c r="G568" t="inlineStr">
        <is>
          <t>EMMABODA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46275</v>
      </c>
      <c r="F569" t="inlineStr">
        <is>
          <t>KALMAR LÄN</t>
        </is>
      </c>
      <c r="G569" t="inlineStr">
        <is>
          <t>EMMABODA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46275</v>
      </c>
      <c r="F570" t="inlineStr">
        <is>
          <t>KALMAR LÄN</t>
        </is>
      </c>
      <c r="G570" t="inlineStr">
        <is>
          <t>EMMABODA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46049</v>
      </c>
      <c r="E571" s="1" t="n">
        <v>46275</v>
      </c>
      <c r="F571" t="inlineStr">
        <is>
          <t>KALMAR LÄN</t>
        </is>
      </c>
      <c r="G571" t="inlineStr">
        <is>
          <t>EMMABODA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46055</v>
      </c>
      <c r="E572" s="1" t="n">
        <v>46275</v>
      </c>
      <c r="F572" t="inlineStr">
        <is>
          <t>KALMAR LÄN</t>
        </is>
      </c>
      <c r="G572" t="inlineStr">
        <is>
          <t>EMMABODA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46275</v>
      </c>
      <c r="F573" t="inlineStr">
        <is>
          <t>KALMAR LÄN</t>
        </is>
      </c>
      <c r="G573" t="inlineStr">
        <is>
          <t>EMMABODA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46275</v>
      </c>
      <c r="F574" t="inlineStr">
        <is>
          <t>KALMAR LÄN</t>
        </is>
      </c>
      <c r="G574" t="inlineStr">
        <is>
          <t>EMMABODA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46275</v>
      </c>
      <c r="F575" t="inlineStr">
        <is>
          <t>KALMAR LÄN</t>
        </is>
      </c>
      <c r="G575" t="inlineStr">
        <is>
          <t>EMMABODA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9263-2026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46275</v>
      </c>
      <c r="F576" t="inlineStr">
        <is>
          <t>KALMAR LÄN</t>
        </is>
      </c>
      <c r="G576" t="inlineStr">
        <is>
          <t>EMMABODA</t>
        </is>
      </c>
      <c r="H576" t="inlineStr">
        <is>
          <t>Kyrkan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46275</v>
      </c>
      <c r="F577" t="inlineStr">
        <is>
          <t>KALMAR LÄN</t>
        </is>
      </c>
      <c r="G577" t="inlineStr">
        <is>
          <t>EMMABODA</t>
        </is>
      </c>
      <c r="H577" t="inlineStr">
        <is>
          <t>Kyrkan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9688-2026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46275</v>
      </c>
      <c r="F578" t="inlineStr">
        <is>
          <t>KALMAR LÄN</t>
        </is>
      </c>
      <c r="G578" t="inlineStr">
        <is>
          <t>EMMABODA</t>
        </is>
      </c>
      <c r="H578" t="inlineStr">
        <is>
          <t>Kyrkan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9704-2026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46072</v>
      </c>
      <c r="E579" s="1" t="n">
        <v>46275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46275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9723-2026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46275</v>
      </c>
      <c r="F581" t="inlineStr">
        <is>
          <t>KALMAR LÄN</t>
        </is>
      </c>
      <c r="G581" t="inlineStr">
        <is>
          <t>EMMABODA</t>
        </is>
      </c>
      <c r="H581" t="inlineStr">
        <is>
          <t>Kyrkan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10673-2026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46078</v>
      </c>
      <c r="E582" s="1" t="n">
        <v>46275</v>
      </c>
      <c r="F582" t="inlineStr">
        <is>
          <t>KALMAR LÄN</t>
        </is>
      </c>
      <c r="G582" t="inlineStr">
        <is>
          <t>EMMABODA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46079</v>
      </c>
      <c r="E583" s="1" t="n">
        <v>46275</v>
      </c>
      <c r="F583" t="inlineStr">
        <is>
          <t>KALMAR LÄN</t>
        </is>
      </c>
      <c r="G583" t="inlineStr">
        <is>
          <t>EMMABODA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46275</v>
      </c>
      <c r="F584" t="inlineStr">
        <is>
          <t>KALMAR LÄN</t>
        </is>
      </c>
      <c r="G584" t="inlineStr">
        <is>
          <t>EMMABODA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46275</v>
      </c>
      <c r="F585" t="inlineStr">
        <is>
          <t>KALMAR LÄN</t>
        </is>
      </c>
      <c r="G585" t="inlineStr">
        <is>
          <t>EMMABODA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46275</v>
      </c>
      <c r="F586" t="inlineStr">
        <is>
          <t>KALMAR LÄN</t>
        </is>
      </c>
      <c r="G586" t="inlineStr">
        <is>
          <t>EMMABODA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46275</v>
      </c>
      <c r="F587" t="inlineStr">
        <is>
          <t>KALMAR LÄN</t>
        </is>
      </c>
      <c r="G587" t="inlineStr">
        <is>
          <t>EMMABODA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12428-2026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46090</v>
      </c>
      <c r="E588" s="1" t="n">
        <v>46275</v>
      </c>
      <c r="F588" t="inlineStr">
        <is>
          <t>KALMAR LÄN</t>
        </is>
      </c>
      <c r="G588" t="inlineStr">
        <is>
          <t>EMMABODA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15515-2026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46275</v>
      </c>
      <c r="F589" t="inlineStr">
        <is>
          <t>KALMAR LÄN</t>
        </is>
      </c>
      <c r="G589" t="inlineStr">
        <is>
          <t>EMMABODA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46275</v>
      </c>
      <c r="F590" t="inlineStr">
        <is>
          <t>KALMAR LÄN</t>
        </is>
      </c>
      <c r="G590" t="inlineStr">
        <is>
          <t>EMMABODA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46275</v>
      </c>
      <c r="F591" t="inlineStr">
        <is>
          <t>KALMAR LÄN</t>
        </is>
      </c>
      <c r="G591" t="inlineStr">
        <is>
          <t>EMMABODA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46120</v>
      </c>
      <c r="E592" s="1" t="n">
        <v>46275</v>
      </c>
      <c r="F592" t="inlineStr">
        <is>
          <t>KALMAR LÄN</t>
        </is>
      </c>
      <c r="G592" t="inlineStr">
        <is>
          <t>EMMABODA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17415-2026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46120</v>
      </c>
      <c r="E593" s="1" t="n">
        <v>46275</v>
      </c>
      <c r="F593" t="inlineStr">
        <is>
          <t>KALMAR LÄN</t>
        </is>
      </c>
      <c r="G593" t="inlineStr">
        <is>
          <t>EMMABODA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18437-2026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46127</v>
      </c>
      <c r="E594" s="1" t="n">
        <v>46275</v>
      </c>
      <c r="F594" t="inlineStr">
        <is>
          <t>KALMAR LÄN</t>
        </is>
      </c>
      <c r="G594" t="inlineStr">
        <is>
          <t>EMMABODA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18444-2026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46127</v>
      </c>
      <c r="E595" s="1" t="n">
        <v>46275</v>
      </c>
      <c r="F595" t="inlineStr">
        <is>
          <t>KALMAR LÄN</t>
        </is>
      </c>
      <c r="G595" t="inlineStr">
        <is>
          <t>EMMABODA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46127</v>
      </c>
      <c r="E596" s="1" t="n">
        <v>46275</v>
      </c>
      <c r="F596" t="inlineStr">
        <is>
          <t>KALMAR LÄN</t>
        </is>
      </c>
      <c r="G596" t="inlineStr">
        <is>
          <t>EMMABODA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46275</v>
      </c>
      <c r="F597" t="inlineStr">
        <is>
          <t>KALMAR LÄN</t>
        </is>
      </c>
      <c r="G597" t="inlineStr">
        <is>
          <t>EMMABODA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46275</v>
      </c>
      <c r="F598" t="inlineStr">
        <is>
          <t>KALMAR LÄN</t>
        </is>
      </c>
      <c r="G598" t="inlineStr">
        <is>
          <t>EMMABODA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58640-2024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46275</v>
      </c>
      <c r="F599" t="inlineStr">
        <is>
          <t>KALMAR LÄN</t>
        </is>
      </c>
      <c r="G599" t="inlineStr">
        <is>
          <t>EMMABODA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45401</v>
      </c>
      <c r="E600" s="1" t="n">
        <v>46275</v>
      </c>
      <c r="F600" t="inlineStr">
        <is>
          <t>KALMAR LÄN</t>
        </is>
      </c>
      <c r="G600" t="inlineStr">
        <is>
          <t>EMMABODA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39411-2024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46275</v>
      </c>
      <c r="F601" t="inlineStr">
        <is>
          <t>KALMAR LÄN</t>
        </is>
      </c>
      <c r="G601" t="inlineStr">
        <is>
          <t>EMMABODA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28682-2025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45819</v>
      </c>
      <c r="E602" s="1" t="n">
        <v>46275</v>
      </c>
      <c r="F602" t="inlineStr">
        <is>
          <t>KALMAR LÄN</t>
        </is>
      </c>
      <c r="G602" t="inlineStr">
        <is>
          <t>EMMABODA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28212-2025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45818</v>
      </c>
      <c r="E603" s="1" t="n">
        <v>46275</v>
      </c>
      <c r="F603" t="inlineStr">
        <is>
          <t>KALMAR LÄN</t>
        </is>
      </c>
      <c r="G603" t="inlineStr">
        <is>
          <t>EMMABODA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55815-2025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45972</v>
      </c>
      <c r="E604" s="1" t="n">
        <v>46275</v>
      </c>
      <c r="F604" t="inlineStr">
        <is>
          <t>KALMAR LÄN</t>
        </is>
      </c>
      <c r="G604" t="inlineStr">
        <is>
          <t>EMMABODA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54857-2025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46275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45901</v>
      </c>
      <c r="E606" s="1" t="n">
        <v>46275</v>
      </c>
      <c r="F606" t="inlineStr">
        <is>
          <t>KALMAR LÄN</t>
        </is>
      </c>
      <c r="G606" t="inlineStr">
        <is>
          <t>EMMABODA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46527-2025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45926</v>
      </c>
      <c r="E607" s="1" t="n">
        <v>46275</v>
      </c>
      <c r="F607" t="inlineStr">
        <is>
          <t>KALMAR LÄN</t>
        </is>
      </c>
      <c r="G607" t="inlineStr">
        <is>
          <t>EMMABODA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46275</v>
      </c>
      <c r="F608" t="inlineStr">
        <is>
          <t>KALMAR LÄN</t>
        </is>
      </c>
      <c r="G608" t="inlineStr">
        <is>
          <t>EMMABODA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62164-2025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46275</v>
      </c>
      <c r="F609" t="inlineStr">
        <is>
          <t>KALMAR LÄN</t>
        </is>
      </c>
      <c r="G609" t="inlineStr">
        <is>
          <t>EMMABODA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46275</v>
      </c>
      <c r="F610" t="inlineStr">
        <is>
          <t>KALMAR LÄN</t>
        </is>
      </c>
      <c r="G610" t="inlineStr">
        <is>
          <t>EMMABODA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11437-2023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44993</v>
      </c>
      <c r="E611" s="1" t="n">
        <v>46275</v>
      </c>
      <c r="F611" t="inlineStr">
        <is>
          <t>KALMAR LÄN</t>
        </is>
      </c>
      <c r="G611" t="inlineStr">
        <is>
          <t>EMMABODA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42424-2025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45905</v>
      </c>
      <c r="E612" s="1" t="n">
        <v>46275</v>
      </c>
      <c r="F612" t="inlineStr">
        <is>
          <t>KALMAR LÄN</t>
        </is>
      </c>
      <c r="G612" t="inlineStr">
        <is>
          <t>EMMABODA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46275</v>
      </c>
      <c r="F613" t="inlineStr">
        <is>
          <t>KALMAR LÄN</t>
        </is>
      </c>
      <c r="G613" t="inlineStr">
        <is>
          <t>EMMABODA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45524</v>
      </c>
      <c r="E614" s="1" t="n">
        <v>46275</v>
      </c>
      <c r="F614" t="inlineStr">
        <is>
          <t>KALMAR LÄN</t>
        </is>
      </c>
      <c r="G614" t="inlineStr">
        <is>
          <t>EMMABODA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54855-2025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45966</v>
      </c>
      <c r="E615" s="1" t="n">
        <v>46275</v>
      </c>
      <c r="F615" t="inlineStr">
        <is>
          <t>KALMAR LÄN</t>
        </is>
      </c>
      <c r="G615" t="inlineStr">
        <is>
          <t>EMMABODA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46275</v>
      </c>
      <c r="F616" t="inlineStr">
        <is>
          <t>KALMAR LÄN</t>
        </is>
      </c>
      <c r="G616" t="inlineStr">
        <is>
          <t>EMMABODA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45976</v>
      </c>
      <c r="E617" s="1" t="n">
        <v>46275</v>
      </c>
      <c r="F617" t="inlineStr">
        <is>
          <t>KALMAR LÄN</t>
        </is>
      </c>
      <c r="G617" t="inlineStr">
        <is>
          <t>EMMABODA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20362-2026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46275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44145-2025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45915</v>
      </c>
      <c r="E619" s="1" t="n">
        <v>46275</v>
      </c>
      <c r="F619" t="inlineStr">
        <is>
          <t>KALMAR LÄN</t>
        </is>
      </c>
      <c r="G619" t="inlineStr">
        <is>
          <t>EMMABODA</t>
        </is>
      </c>
      <c r="H619" t="inlineStr">
        <is>
          <t>Övriga Aktiebolag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46275</v>
      </c>
      <c r="F620" t="inlineStr">
        <is>
          <t>KALMAR LÄN</t>
        </is>
      </c>
      <c r="G620" t="inlineStr">
        <is>
          <t>EMMABODA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45909</v>
      </c>
      <c r="E621" s="1" t="n">
        <v>46275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46275</v>
      </c>
      <c r="F622" t="inlineStr">
        <is>
          <t>KALMAR LÄN</t>
        </is>
      </c>
      <c r="G622" t="inlineStr">
        <is>
          <t>EMMABODA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49274-2025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45938</v>
      </c>
      <c r="E623" s="1" t="n">
        <v>46275</v>
      </c>
      <c r="F623" t="inlineStr">
        <is>
          <t>KALMAR LÄN</t>
        </is>
      </c>
      <c r="G623" t="inlineStr">
        <is>
          <t>EMMABODA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46142</v>
      </c>
      <c r="E624" s="1" t="n">
        <v>46275</v>
      </c>
      <c r="F624" t="inlineStr">
        <is>
          <t>KALMAR LÄN</t>
        </is>
      </c>
      <c r="G624" t="inlineStr">
        <is>
          <t>EMMABODA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56691-2025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45976</v>
      </c>
      <c r="E625" s="1" t="n">
        <v>46275</v>
      </c>
      <c r="F625" t="inlineStr">
        <is>
          <t>KALMAR LÄN</t>
        </is>
      </c>
      <c r="G625" t="inlineStr">
        <is>
          <t>EMMABODA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22700-2025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45789</v>
      </c>
      <c r="E626" s="1" t="n">
        <v>46275</v>
      </c>
      <c r="F626" t="inlineStr">
        <is>
          <t>KALMAR LÄN</t>
        </is>
      </c>
      <c r="G626" t="inlineStr">
        <is>
          <t>EMMABODA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46083</v>
      </c>
      <c r="E627" s="1" t="n">
        <v>46275</v>
      </c>
      <c r="F627" t="inlineStr">
        <is>
          <t>KALMAR LÄN</t>
        </is>
      </c>
      <c r="G627" t="inlineStr">
        <is>
          <t>EMMABODA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46275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8058-2025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45707</v>
      </c>
      <c r="E629" s="1" t="n">
        <v>46275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22602-2026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46275</v>
      </c>
      <c r="F630" t="inlineStr">
        <is>
          <t>KALMAR LÄN</t>
        </is>
      </c>
      <c r="G630" t="inlineStr">
        <is>
          <t>EMMABODA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22837-2026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46160</v>
      </c>
      <c r="E631" s="1" t="n">
        <v>46275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22845-2026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46275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46275</v>
      </c>
      <c r="F633" t="inlineStr">
        <is>
          <t>KALMAR LÄN</t>
        </is>
      </c>
      <c r="G633" t="inlineStr">
        <is>
          <t>EMMABODA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46162</v>
      </c>
      <c r="E634" s="1" t="n">
        <v>46275</v>
      </c>
      <c r="F634" t="inlineStr">
        <is>
          <t>KALMAR LÄN</t>
        </is>
      </c>
      <c r="G634" t="inlineStr">
        <is>
          <t>EMMABODA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41734-2025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45902</v>
      </c>
      <c r="E635" s="1" t="n">
        <v>46275</v>
      </c>
      <c r="F635" t="inlineStr">
        <is>
          <t>KALMAR LÄN</t>
        </is>
      </c>
      <c r="G635" t="inlineStr">
        <is>
          <t>EMMABODA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23292-2026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46162</v>
      </c>
      <c r="E636" s="1" t="n">
        <v>46275</v>
      </c>
      <c r="F636" t="inlineStr">
        <is>
          <t>KALMAR LÄN</t>
        </is>
      </c>
      <c r="G636" t="inlineStr">
        <is>
          <t>EMMABODA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46275</v>
      </c>
      <c r="F637" t="inlineStr">
        <is>
          <t>KALMAR LÄN</t>
        </is>
      </c>
      <c r="G637" t="inlineStr">
        <is>
          <t>EMMABODA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46275</v>
      </c>
      <c r="F638" t="inlineStr">
        <is>
          <t>KALMAR LÄN</t>
        </is>
      </c>
      <c r="G638" t="inlineStr">
        <is>
          <t>EMMABODA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45923</v>
      </c>
      <c r="E639" s="1" t="n">
        <v>46275</v>
      </c>
      <c r="F639" t="inlineStr">
        <is>
          <t>KALMAR LÄN</t>
        </is>
      </c>
      <c r="G639" t="inlineStr">
        <is>
          <t>EMMABODA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46275</v>
      </c>
      <c r="F640" t="inlineStr">
        <is>
          <t>KALMAR LÄN</t>
        </is>
      </c>
      <c r="G640" t="inlineStr">
        <is>
          <t>EMMABODA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46275</v>
      </c>
      <c r="F641" t="inlineStr">
        <is>
          <t>KALMAR LÄN</t>
        </is>
      </c>
      <c r="G641" t="inlineStr">
        <is>
          <t>EMMABODA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26199-2026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46275</v>
      </c>
      <c r="F642" t="inlineStr">
        <is>
          <t>KALMAR LÄN</t>
        </is>
      </c>
      <c r="G642" t="inlineStr">
        <is>
          <t>EMMABODA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46275</v>
      </c>
      <c r="F643" t="inlineStr">
        <is>
          <t>KALMAR LÄN</t>
        </is>
      </c>
      <c r="G643" t="inlineStr">
        <is>
          <t>EMMABODA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46275</v>
      </c>
      <c r="F644" t="inlineStr">
        <is>
          <t>KALMAR LÄN</t>
        </is>
      </c>
      <c r="G644" t="inlineStr">
        <is>
          <t>EMMABODA</t>
        </is>
      </c>
      <c r="I644" t="n">
        <v>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46275</v>
      </c>
      <c r="F645" t="inlineStr">
        <is>
          <t>KALMAR LÄN</t>
        </is>
      </c>
      <c r="G645" t="inlineStr">
        <is>
          <t>EMMABODA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46275</v>
      </c>
      <c r="F646" t="inlineStr">
        <is>
          <t>KALMAR LÄN</t>
        </is>
      </c>
      <c r="G646" t="inlineStr">
        <is>
          <t>EMMABODA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46275</v>
      </c>
      <c r="F647" t="inlineStr">
        <is>
          <t>KALMAR LÄN</t>
        </is>
      </c>
      <c r="G647" t="inlineStr">
        <is>
          <t>EMMABODA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27188-2026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46275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46189</v>
      </c>
      <c r="E649" s="1" t="n">
        <v>46275</v>
      </c>
      <c r="F649" t="inlineStr">
        <is>
          <t>KALMAR LÄN</t>
        </is>
      </c>
      <c r="G649" t="inlineStr">
        <is>
          <t>EMMABODA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27133-2026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46275</v>
      </c>
      <c r="F650" t="inlineStr">
        <is>
          <t>KALMAR LÄN</t>
        </is>
      </c>
      <c r="G650" t="inlineStr">
        <is>
          <t>EMMABODA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46190</v>
      </c>
      <c r="E651" s="1" t="n">
        <v>46275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46275</v>
      </c>
      <c r="F652" t="inlineStr">
        <is>
          <t>KALMAR LÄN</t>
        </is>
      </c>
      <c r="G652" t="inlineStr">
        <is>
          <t>EMMABODA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46275</v>
      </c>
      <c r="F653" t="inlineStr">
        <is>
          <t>KALMAR LÄN</t>
        </is>
      </c>
      <c r="G653" t="inlineStr">
        <is>
          <t>EMMABODA</t>
        </is>
      </c>
      <c r="H653" t="inlineStr">
        <is>
          <t>Kyrkan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46275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28990-2026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46275</v>
      </c>
      <c r="F655" t="inlineStr">
        <is>
          <t>KALMAR LÄN</t>
        </is>
      </c>
      <c r="G655" t="inlineStr">
        <is>
          <t>EMMABODA</t>
        </is>
      </c>
      <c r="H655" t="inlineStr">
        <is>
          <t>Kyrkan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46197</v>
      </c>
      <c r="E656" s="1" t="n">
        <v>46275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46197</v>
      </c>
      <c r="E657" s="1" t="n">
        <v>46275</v>
      </c>
      <c r="F657" t="inlineStr">
        <is>
          <t>KALMAR LÄN</t>
        </is>
      </c>
      <c r="G657" t="inlineStr">
        <is>
          <t>EMMABODA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46275</v>
      </c>
      <c r="F658" t="inlineStr">
        <is>
          <t>KALMAR LÄN</t>
        </is>
      </c>
      <c r="G658" t="inlineStr">
        <is>
          <t>EMMABODA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46275</v>
      </c>
      <c r="F659" t="inlineStr">
        <is>
          <t>KALMAR LÄN</t>
        </is>
      </c>
      <c r="G659" t="inlineStr">
        <is>
          <t>EMMABODA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46275</v>
      </c>
      <c r="F660" t="inlineStr">
        <is>
          <t>KALMAR LÄN</t>
        </is>
      </c>
      <c r="G660" t="inlineStr">
        <is>
          <t>EMMABODA</t>
        </is>
      </c>
      <c r="H660" t="inlineStr">
        <is>
          <t>Sveaskog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46275</v>
      </c>
      <c r="F661" t="inlineStr">
        <is>
          <t>KALMAR LÄN</t>
        </is>
      </c>
      <c r="G661" t="inlineStr">
        <is>
          <t>EMMABODA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46275</v>
      </c>
      <c r="F662" t="inlineStr">
        <is>
          <t>KALMAR LÄN</t>
        </is>
      </c>
      <c r="G662" t="inlineStr">
        <is>
          <t>EMMABODA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29293-2026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46275</v>
      </c>
      <c r="F663" t="inlineStr">
        <is>
          <t>KALMAR LÄN</t>
        </is>
      </c>
      <c r="G663" t="inlineStr">
        <is>
          <t>EMMABODA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29943-2026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46205</v>
      </c>
      <c r="E664" s="1" t="n">
        <v>46275</v>
      </c>
      <c r="F664" t="inlineStr">
        <is>
          <t>KALMAR LÄN</t>
        </is>
      </c>
      <c r="G664" t="inlineStr">
        <is>
          <t>EMMABODA</t>
        </is>
      </c>
      <c r="H664" t="inlineStr">
        <is>
          <t>Sveaskog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18424-2026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46127</v>
      </c>
      <c r="E665" s="1" t="n">
        <v>46275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33759-2026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46251</v>
      </c>
      <c r="E666" s="1" t="n">
        <v>46275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46275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34191-2026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46253</v>
      </c>
      <c r="E668" s="1" t="n">
        <v>46275</v>
      </c>
      <c r="F668" t="inlineStr">
        <is>
          <t>KALMAR LÄN</t>
        </is>
      </c>
      <c r="G668" t="inlineStr">
        <is>
          <t>EMMABODA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46275</v>
      </c>
      <c r="F669" t="inlineStr">
        <is>
          <t>KALMAR LÄN</t>
        </is>
      </c>
      <c r="G669" t="inlineStr">
        <is>
          <t>EMMABODA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46212</v>
      </c>
      <c r="E670" s="1" t="n">
        <v>46275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46275</v>
      </c>
      <c r="F671" t="inlineStr">
        <is>
          <t>KALMAR LÄN</t>
        </is>
      </c>
      <c r="G671" t="inlineStr">
        <is>
          <t>EMMABODA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46213</v>
      </c>
      <c r="E672" s="1" t="n">
        <v>46275</v>
      </c>
      <c r="F672" t="inlineStr">
        <is>
          <t>KALMAR LÄN</t>
        </is>
      </c>
      <c r="G672" t="inlineStr">
        <is>
          <t>EMMABODA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31780-2026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46230</v>
      </c>
      <c r="E673" s="1" t="n">
        <v>46275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34896-2026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46275</v>
      </c>
      <c r="F674" t="inlineStr">
        <is>
          <t>KALMAR LÄN</t>
        </is>
      </c>
      <c r="G674" t="inlineStr">
        <is>
          <t>EMMABODA</t>
        </is>
      </c>
      <c r="H674" t="inlineStr">
        <is>
          <t>Kyrkan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46275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46259</v>
      </c>
      <c r="E676" s="1" t="n">
        <v>46275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46275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46275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46275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46275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46275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46275</v>
      </c>
      <c r="F682" t="inlineStr">
        <is>
          <t>KALMAR LÄN</t>
        </is>
      </c>
      <c r="G682" t="inlineStr">
        <is>
          <t>EMMABODA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19551-2026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46134</v>
      </c>
      <c r="E683" s="1" t="n">
        <v>46275</v>
      </c>
      <c r="F683" t="inlineStr">
        <is>
          <t>KALMAR LÄN</t>
        </is>
      </c>
      <c r="G683" t="inlineStr">
        <is>
          <t>EMMABODA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36314-2026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46268</v>
      </c>
      <c r="E684" s="1" t="n">
        <v>46275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46275</v>
      </c>
      <c r="F685" t="inlineStr">
        <is>
          <t>KALMAR LÄN</t>
        </is>
      </c>
      <c r="G685" t="inlineStr">
        <is>
          <t>EMMABODA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46271</v>
      </c>
      <c r="E686" s="1" t="n">
        <v>46275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27155-2026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46188</v>
      </c>
      <c r="E687" s="1" t="n">
        <v>46275</v>
      </c>
      <c r="F687" t="inlineStr">
        <is>
          <t>KALMAR LÄN</t>
        </is>
      </c>
      <c r="G687" t="inlineStr">
        <is>
          <t>EMMABODA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46273</v>
      </c>
      <c r="E688" s="1" t="n">
        <v>46275</v>
      </c>
      <c r="F688" t="inlineStr">
        <is>
          <t>KALMAR LÄN</t>
        </is>
      </c>
      <c r="G688" t="inlineStr">
        <is>
          <t>EMMABODA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33160-2026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46245</v>
      </c>
      <c r="E689" s="1" t="n">
        <v>46275</v>
      </c>
      <c r="F689" t="inlineStr">
        <is>
          <t>KALMAR LÄN</t>
        </is>
      </c>
      <c r="G689" t="inlineStr">
        <is>
          <t>EMMABODA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46275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46275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46275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46275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46275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46275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46275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46275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46275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46275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46275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46275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46275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46275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46275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46275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46275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46275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46275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46275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46275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46275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46275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46275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46275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46275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46275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46275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46275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46275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46275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46275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46275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46275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46275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46275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46275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46275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46275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46275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46275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46275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46275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46275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46275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46275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46275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46275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46275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46275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2026-09-10T02:13:33Z</dcterms:created>
  <dcterms:modified xmlns:dcterms="http://purl.org/dc/terms/" xmlns:xsi="http://www.w3.org/2001/XMLSchema-instance" xsi:type="dcterms:W3CDTF">2026-09-10T02:13:34Z</dcterms:modified>
</cp:coreProperties>
</file>