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45821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45821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45821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45821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45821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45821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45821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61674-2019</t>
        </is>
      </c>
      <c r="B9" s="1" t="n">
        <v>43784</v>
      </c>
      <c r="C9" s="1" t="n">
        <v>45821</v>
      </c>
      <c r="D9" t="inlineStr">
        <is>
          <t>KALMAR LÄN</t>
        </is>
      </c>
      <c r="E9" t="inlineStr">
        <is>
          <t>EMMABODA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HYPERLINK("https://klasma.github.io/Logging_0862/artfynd/A 61674-2019 artfynd.xlsx", "A 61674-2019")</f>
        <v/>
      </c>
      <c r="T9">
        <f>HYPERLINK("https://klasma.github.io/Logging_0862/kartor/A 61674-2019 karta.png", "A 61674-2019")</f>
        <v/>
      </c>
      <c r="V9">
        <f>HYPERLINK("https://klasma.github.io/Logging_0862/klagomål/A 61674-2019 FSC-klagomål.docx", "A 61674-2019")</f>
        <v/>
      </c>
      <c r="W9">
        <f>HYPERLINK("https://klasma.github.io/Logging_0862/klagomålsmail/A 61674-2019 FSC-klagomål mail.docx", "A 61674-2019")</f>
        <v/>
      </c>
      <c r="X9">
        <f>HYPERLINK("https://klasma.github.io/Logging_0862/tillsyn/A 61674-2019 tillsynsbegäran.docx", "A 61674-2019")</f>
        <v/>
      </c>
      <c r="Y9">
        <f>HYPERLINK("https://klasma.github.io/Logging_0862/tillsynsmail/A 61674-2019 tillsynsbegäran mail.docx", "A 61674-2019")</f>
        <v/>
      </c>
      <c r="Z9">
        <f>HYPERLINK("https://klasma.github.io/Logging_0862/fåglar/A 61674-2019 prioriterade fågelarter.docx", "A 61674-2019")</f>
        <v/>
      </c>
    </row>
    <row r="10" ht="15" customHeight="1">
      <c r="A10" t="inlineStr">
        <is>
          <t>A 37170-2020</t>
        </is>
      </c>
      <c r="B10" s="1" t="n">
        <v>44054</v>
      </c>
      <c r="C10" s="1" t="n">
        <v>45821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37170-2020 artfynd.xlsx", "A 37170-2020")</f>
        <v/>
      </c>
      <c r="T10">
        <f>HYPERLINK("https://klasma.github.io/Logging_0862/kartor/A 37170-2020 karta.png", "A 37170-2020")</f>
        <v/>
      </c>
      <c r="V10">
        <f>HYPERLINK("https://klasma.github.io/Logging_0862/klagomål/A 37170-2020 FSC-klagomål.docx", "A 37170-2020")</f>
        <v/>
      </c>
      <c r="W10">
        <f>HYPERLINK("https://klasma.github.io/Logging_0862/klagomålsmail/A 37170-2020 FSC-klagomål mail.docx", "A 37170-2020")</f>
        <v/>
      </c>
      <c r="X10">
        <f>HYPERLINK("https://klasma.github.io/Logging_0862/tillsyn/A 37170-2020 tillsynsbegäran.docx", "A 37170-2020")</f>
        <v/>
      </c>
      <c r="Y10">
        <f>HYPERLINK("https://klasma.github.io/Logging_0862/tillsynsmail/A 37170-2020 tillsynsbegäran mail.docx", "A 37170-2020")</f>
        <v/>
      </c>
    </row>
    <row r="11" ht="15" customHeight="1">
      <c r="A11" t="inlineStr">
        <is>
          <t>A 52954-2020</t>
        </is>
      </c>
      <c r="B11" s="1" t="n">
        <v>44120</v>
      </c>
      <c r="C11" s="1" t="n">
        <v>45821</v>
      </c>
      <c r="D11" t="inlineStr">
        <is>
          <t>KALMAR LÄN</t>
        </is>
      </c>
      <c r="E11" t="inlineStr">
        <is>
          <t>EMMABODA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52954-2020 artfynd.xlsx", "A 52954-2020")</f>
        <v/>
      </c>
      <c r="T11">
        <f>HYPERLINK("https://klasma.github.io/Logging_0862/kartor/A 52954-2020 karta.png", "A 52954-2020")</f>
        <v/>
      </c>
      <c r="U11">
        <f>HYPERLINK("https://klasma.github.io/Logging_0862/knärot/A 52954-2020 karta knärot.png", "A 52954-2020")</f>
        <v/>
      </c>
      <c r="V11">
        <f>HYPERLINK("https://klasma.github.io/Logging_0862/klagomål/A 52954-2020 FSC-klagomål.docx", "A 52954-2020")</f>
        <v/>
      </c>
      <c r="W11">
        <f>HYPERLINK("https://klasma.github.io/Logging_0862/klagomålsmail/A 52954-2020 FSC-klagomål mail.docx", "A 52954-2020")</f>
        <v/>
      </c>
      <c r="X11">
        <f>HYPERLINK("https://klasma.github.io/Logging_0862/tillsyn/A 52954-2020 tillsynsbegäran.docx", "A 52954-2020")</f>
        <v/>
      </c>
      <c r="Y11">
        <f>HYPERLINK("https://klasma.github.io/Logging_0862/tillsynsmail/A 52954-2020 tillsynsbegäran mail.docx", "A 52954-2020")</f>
        <v/>
      </c>
    </row>
    <row r="12" ht="15" customHeight="1">
      <c r="A12" t="inlineStr">
        <is>
          <t>A 7490-2021</t>
        </is>
      </c>
      <c r="B12" s="1" t="n">
        <v>44238</v>
      </c>
      <c r="C12" s="1" t="n">
        <v>45821</v>
      </c>
      <c r="D12" t="inlineStr">
        <is>
          <t>KALMAR LÄN</t>
        </is>
      </c>
      <c r="E12" t="inlineStr">
        <is>
          <t>EMMABODA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HYPERLINK("https://klasma.github.io/Logging_0862/artfynd/A 7490-2021 artfynd.xlsx", "A 7490-2021")</f>
        <v/>
      </c>
      <c r="T12">
        <f>HYPERLINK("https://klasma.github.io/Logging_0862/kartor/A 7490-2021 karta.png", "A 7490-2021")</f>
        <v/>
      </c>
      <c r="V12">
        <f>HYPERLINK("https://klasma.github.io/Logging_0862/klagomål/A 7490-2021 FSC-klagomål.docx", "A 7490-2021")</f>
        <v/>
      </c>
      <c r="W12">
        <f>HYPERLINK("https://klasma.github.io/Logging_0862/klagomålsmail/A 7490-2021 FSC-klagomål mail.docx", "A 7490-2021")</f>
        <v/>
      </c>
      <c r="X12">
        <f>HYPERLINK("https://klasma.github.io/Logging_0862/tillsyn/A 7490-2021 tillsynsbegäran.docx", "A 7490-2021")</f>
        <v/>
      </c>
      <c r="Y12">
        <f>HYPERLINK("https://klasma.github.io/Logging_0862/tillsynsmail/A 7490-2021 tillsynsbegäran mail.docx", "A 7490-2021")</f>
        <v/>
      </c>
    </row>
    <row r="13" ht="15" customHeight="1">
      <c r="A13" t="inlineStr">
        <is>
          <t>A 46550-2021</t>
        </is>
      </c>
      <c r="B13" s="1" t="n">
        <v>44445</v>
      </c>
      <c r="C13" s="1" t="n">
        <v>45821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HYPERLINK("https://klasma.github.io/Logging_0862/artfynd/A 46550-2021 artfynd.xlsx", "A 46550-2021")</f>
        <v/>
      </c>
      <c r="T13">
        <f>HYPERLINK("https://klasma.github.io/Logging_0862/kartor/A 46550-2021 karta.png", "A 46550-2021")</f>
        <v/>
      </c>
      <c r="V13">
        <f>HYPERLINK("https://klasma.github.io/Logging_0862/klagomål/A 46550-2021 FSC-klagomål.docx", "A 46550-2021")</f>
        <v/>
      </c>
      <c r="W13">
        <f>HYPERLINK("https://klasma.github.io/Logging_0862/klagomålsmail/A 46550-2021 FSC-klagomål mail.docx", "A 46550-2021")</f>
        <v/>
      </c>
      <c r="X13">
        <f>HYPERLINK("https://klasma.github.io/Logging_0862/tillsyn/A 46550-2021 tillsynsbegäran.docx", "A 46550-2021")</f>
        <v/>
      </c>
      <c r="Y13">
        <f>HYPERLINK("https://klasma.github.io/Logging_0862/tillsynsmail/A 46550-2021 tillsynsbegäran mail.docx", "A 46550-2021")</f>
        <v/>
      </c>
    </row>
    <row r="14" ht="15" customHeight="1">
      <c r="A14" t="inlineStr">
        <is>
          <t>A 58297-2021</t>
        </is>
      </c>
      <c r="B14" s="1" t="n">
        <v>44488</v>
      </c>
      <c r="C14" s="1" t="n">
        <v>45821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58297-2021 artfynd.xlsx", "A 58297-2021")</f>
        <v/>
      </c>
      <c r="T14">
        <f>HYPERLINK("https://klasma.github.io/Logging_0862/kartor/A 58297-2021 karta.png", "A 58297-2021")</f>
        <v/>
      </c>
      <c r="V14">
        <f>HYPERLINK("https://klasma.github.io/Logging_0862/klagomål/A 58297-2021 FSC-klagomål.docx", "A 58297-2021")</f>
        <v/>
      </c>
      <c r="W14">
        <f>HYPERLINK("https://klasma.github.io/Logging_0862/klagomålsmail/A 58297-2021 FSC-klagomål mail.docx", "A 58297-2021")</f>
        <v/>
      </c>
      <c r="X14">
        <f>HYPERLINK("https://klasma.github.io/Logging_0862/tillsyn/A 58297-2021 tillsynsbegäran.docx", "A 58297-2021")</f>
        <v/>
      </c>
      <c r="Y14">
        <f>HYPERLINK("https://klasma.github.io/Logging_0862/tillsynsmail/A 58297-2021 tillsynsbegäran mail.docx", "A 58297-2021")</f>
        <v/>
      </c>
    </row>
    <row r="15" ht="15" customHeight="1">
      <c r="A15" t="inlineStr">
        <is>
          <t>A 60257-2021</t>
        </is>
      </c>
      <c r="B15" s="1" t="n">
        <v>44495</v>
      </c>
      <c r="C15" s="1" t="n">
        <v>45821</v>
      </c>
      <c r="D15" t="inlineStr">
        <is>
          <t>KALMAR LÄN</t>
        </is>
      </c>
      <c r="E15" t="inlineStr">
        <is>
          <t>EMMABODA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60257-2021 artfynd.xlsx", "A 60257-2021")</f>
        <v/>
      </c>
      <c r="T15">
        <f>HYPERLINK("https://klasma.github.io/Logging_0862/kartor/A 60257-2021 karta.png", "A 60257-2021")</f>
        <v/>
      </c>
      <c r="U15">
        <f>HYPERLINK("https://klasma.github.io/Logging_0862/knärot/A 60257-2021 karta knärot.png", "A 60257-2021")</f>
        <v/>
      </c>
      <c r="V15">
        <f>HYPERLINK("https://klasma.github.io/Logging_0862/klagomål/A 60257-2021 FSC-klagomål.docx", "A 60257-2021")</f>
        <v/>
      </c>
      <c r="W15">
        <f>HYPERLINK("https://klasma.github.io/Logging_0862/klagomålsmail/A 60257-2021 FSC-klagomål mail.docx", "A 60257-2021")</f>
        <v/>
      </c>
      <c r="X15">
        <f>HYPERLINK("https://klasma.github.io/Logging_0862/tillsyn/A 60257-2021 tillsynsbegäran.docx", "A 60257-2021")</f>
        <v/>
      </c>
      <c r="Y15">
        <f>HYPERLINK("https://klasma.github.io/Logging_0862/tillsynsmail/A 60257-2021 tillsynsbegäran mail.docx", "A 60257-2021")</f>
        <v/>
      </c>
    </row>
    <row r="16" ht="15" customHeight="1">
      <c r="A16" t="inlineStr">
        <is>
          <t>A 770-2022</t>
        </is>
      </c>
      <c r="B16" s="1" t="n">
        <v>44570</v>
      </c>
      <c r="C16" s="1" t="n">
        <v>45821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30597-2022</t>
        </is>
      </c>
      <c r="B17" s="1" t="n">
        <v>44762</v>
      </c>
      <c r="C17" s="1" t="n">
        <v>45821</v>
      </c>
      <c r="D17" t="inlineStr">
        <is>
          <t>KALMAR LÄN</t>
        </is>
      </c>
      <c r="E17" t="inlineStr">
        <is>
          <t>EMMABODA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HYPERLINK("https://klasma.github.io/Logging_0862/artfynd/A 30597-2022 artfynd.xlsx", "A 30597-2022")</f>
        <v/>
      </c>
      <c r="T17">
        <f>HYPERLINK("https://klasma.github.io/Logging_0862/kartor/A 30597-2022 karta.png", "A 30597-2022")</f>
        <v/>
      </c>
      <c r="V17">
        <f>HYPERLINK("https://klasma.github.io/Logging_0862/klagomål/A 30597-2022 FSC-klagomål.docx", "A 30597-2022")</f>
        <v/>
      </c>
      <c r="W17">
        <f>HYPERLINK("https://klasma.github.io/Logging_0862/klagomålsmail/A 30597-2022 FSC-klagomål mail.docx", "A 30597-2022")</f>
        <v/>
      </c>
      <c r="X17">
        <f>HYPERLINK("https://klasma.github.io/Logging_0862/tillsyn/A 30597-2022 tillsynsbegäran.docx", "A 30597-2022")</f>
        <v/>
      </c>
      <c r="Y17">
        <f>HYPERLINK("https://klasma.github.io/Logging_0862/tillsynsmail/A 30597-2022 tillsynsbegäran mail.docx", "A 30597-2022")</f>
        <v/>
      </c>
    </row>
    <row r="18" ht="15" customHeight="1">
      <c r="A18" t="inlineStr">
        <is>
          <t>A 6612-2023</t>
        </is>
      </c>
      <c r="B18" s="1" t="n">
        <v>44966</v>
      </c>
      <c r="C18" s="1" t="n">
        <v>45821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9633-2023</t>
        </is>
      </c>
      <c r="B19" s="1" t="n">
        <v>44984</v>
      </c>
      <c r="C19" s="1" t="n">
        <v>45821</v>
      </c>
      <c r="D19" t="inlineStr">
        <is>
          <t>KALMAR LÄN</t>
        </is>
      </c>
      <c r="E19" t="inlineStr">
        <is>
          <t>EMMABODA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Småjungfrukam</t>
        </is>
      </c>
      <c r="S19">
        <f>HYPERLINK("https://klasma.github.io/Logging_0862/artfynd/A 9633-2023 artfynd.xlsx", "A 9633-2023")</f>
        <v/>
      </c>
      <c r="T19">
        <f>HYPERLINK("https://klasma.github.io/Logging_0862/kartor/A 9633-2023 karta.png", "A 9633-2023")</f>
        <v/>
      </c>
      <c r="V19">
        <f>HYPERLINK("https://klasma.github.io/Logging_0862/klagomål/A 9633-2023 FSC-klagomål.docx", "A 9633-2023")</f>
        <v/>
      </c>
      <c r="W19">
        <f>HYPERLINK("https://klasma.github.io/Logging_0862/klagomålsmail/A 9633-2023 FSC-klagomål mail.docx", "A 9633-2023")</f>
        <v/>
      </c>
      <c r="X19">
        <f>HYPERLINK("https://klasma.github.io/Logging_0862/tillsyn/A 9633-2023 tillsynsbegäran.docx", "A 9633-2023")</f>
        <v/>
      </c>
      <c r="Y19">
        <f>HYPERLINK("https://klasma.github.io/Logging_0862/tillsynsmail/A 9633-2023 tillsynsbegäran mail.docx", "A 9633-2023")</f>
        <v/>
      </c>
    </row>
    <row r="20" ht="15" customHeight="1">
      <c r="A20" t="inlineStr">
        <is>
          <t>A 21846-2023</t>
        </is>
      </c>
      <c r="B20" s="1" t="n">
        <v>45068</v>
      </c>
      <c r="C20" s="1" t="n">
        <v>45821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21846-2023 artfynd.xlsx", "A 21846-2023")</f>
        <v/>
      </c>
      <c r="T20">
        <f>HYPERLINK("https://klasma.github.io/Logging_0862/kartor/A 21846-2023 karta.png", "A 21846-2023")</f>
        <v/>
      </c>
      <c r="V20">
        <f>HYPERLINK("https://klasma.github.io/Logging_0862/klagomål/A 21846-2023 FSC-klagomål.docx", "A 21846-2023")</f>
        <v/>
      </c>
      <c r="W20">
        <f>HYPERLINK("https://klasma.github.io/Logging_0862/klagomålsmail/A 21846-2023 FSC-klagomål mail.docx", "A 21846-2023")</f>
        <v/>
      </c>
      <c r="X20">
        <f>HYPERLINK("https://klasma.github.io/Logging_0862/tillsyn/A 21846-2023 tillsynsbegäran.docx", "A 21846-2023")</f>
        <v/>
      </c>
      <c r="Y20">
        <f>HYPERLINK("https://klasma.github.io/Logging_0862/tillsynsmail/A 21846-2023 tillsynsbegäran mail.docx", "A 21846-2023")</f>
        <v/>
      </c>
    </row>
    <row r="21" ht="15" customHeight="1">
      <c r="A21" t="inlineStr">
        <is>
          <t>A 38119-2023</t>
        </is>
      </c>
      <c r="B21" s="1" t="n">
        <v>45161</v>
      </c>
      <c r="C21" s="1" t="n">
        <v>45821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38119-2023 artfynd.xlsx", "A 38119-2023")</f>
        <v/>
      </c>
      <c r="T21">
        <f>HYPERLINK("https://klasma.github.io/Logging_0862/kartor/A 38119-2023 karta.png", "A 38119-2023")</f>
        <v/>
      </c>
      <c r="V21">
        <f>HYPERLINK("https://klasma.github.io/Logging_0862/klagomål/A 38119-2023 FSC-klagomål.docx", "A 38119-2023")</f>
        <v/>
      </c>
      <c r="W21">
        <f>HYPERLINK("https://klasma.github.io/Logging_0862/klagomålsmail/A 38119-2023 FSC-klagomål mail.docx", "A 38119-2023")</f>
        <v/>
      </c>
      <c r="X21">
        <f>HYPERLINK("https://klasma.github.io/Logging_0862/tillsyn/A 38119-2023 tillsynsbegäran.docx", "A 38119-2023")</f>
        <v/>
      </c>
      <c r="Y21">
        <f>HYPERLINK("https://klasma.github.io/Logging_0862/tillsynsmail/A 38119-2023 tillsynsbegäran mail.docx", "A 38119-2023")</f>
        <v/>
      </c>
    </row>
    <row r="22" ht="15" customHeight="1">
      <c r="A22" t="inlineStr">
        <is>
          <t>A 38813-2023</t>
        </is>
      </c>
      <c r="B22" s="1" t="n">
        <v>45163</v>
      </c>
      <c r="C22" s="1" t="n">
        <v>45821</v>
      </c>
      <c r="D22" t="inlineStr">
        <is>
          <t>KALMAR LÄN</t>
        </is>
      </c>
      <c r="E22" t="inlineStr">
        <is>
          <t>EMMABODA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HYPERLINK("https://klasma.github.io/Logging_0862/artfynd/A 38813-2023 artfynd.xlsx", "A 38813-2023")</f>
        <v/>
      </c>
      <c r="T22">
        <f>HYPERLINK("https://klasma.github.io/Logging_0862/kartor/A 38813-2023 karta.png", "A 38813-2023")</f>
        <v/>
      </c>
      <c r="V22">
        <f>HYPERLINK("https://klasma.github.io/Logging_0862/klagomål/A 38813-2023 FSC-klagomål.docx", "A 38813-2023")</f>
        <v/>
      </c>
      <c r="W22">
        <f>HYPERLINK("https://klasma.github.io/Logging_0862/klagomålsmail/A 38813-2023 FSC-klagomål mail.docx", "A 38813-2023")</f>
        <v/>
      </c>
      <c r="X22">
        <f>HYPERLINK("https://klasma.github.io/Logging_0862/tillsyn/A 38813-2023 tillsynsbegäran.docx", "A 38813-2023")</f>
        <v/>
      </c>
      <c r="Y22">
        <f>HYPERLINK("https://klasma.github.io/Logging_0862/tillsynsmail/A 38813-2023 tillsynsbegäran mail.docx", "A 38813-2023")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45821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45821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45821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45821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45821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45821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45821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45821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45821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45821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45821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45821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45821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45821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45821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45821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45821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45821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45821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45821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45821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45821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45821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45821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45821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45821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45821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45821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45821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45821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45821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45821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45821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45821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45821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45821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45821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45821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45821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45821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45821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45821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45821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45821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45821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45821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45821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45821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45821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45821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45821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45821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45821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45821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45821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45821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45821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45821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45821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45821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45821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45821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45821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45821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45821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45821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45821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45821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45821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45821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45821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45821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45821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45821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45821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45821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45821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45821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45821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45821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45821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45821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45821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45821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45821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45821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45821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45821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45821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45821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45821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45821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45821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45821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45821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45821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45821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45821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45821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45821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45821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45821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45821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45821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45821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45821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45821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45821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45821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45821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45821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45821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45821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45821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45821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45821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45821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45821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45821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45821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45821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45821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45821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45821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45821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45821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45821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45821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45821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45821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45821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45821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45821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45821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45821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45821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45821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45821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45821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45821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45821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45821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45821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45821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45821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45821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45821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45821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45821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45821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45821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45821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45821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45821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45821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45821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45821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45821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45821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45821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45821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45821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45821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45821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45821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45821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45821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45821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45821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45821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45821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45821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45821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45821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45821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45821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45821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45821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45821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45821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45821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45821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45821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45821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45821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45821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45821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45821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45821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45821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45821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45821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45821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45821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45821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45821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45821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45821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45821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45821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45821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45821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45821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45821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45821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45821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45821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45821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45821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45821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45821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45821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45821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45821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45821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45821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45821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45821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45821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45821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45821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45821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45821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45821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45821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45821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45821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45821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45821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45821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45821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45821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45821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45821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45821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45821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45821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45821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45821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45821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45821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45821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45821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45821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45821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45821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45821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45821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45821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45821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45821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45821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45821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45821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45821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45821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45821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45821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45821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45821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45821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45821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45821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45821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45821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45821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45821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45821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45821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45821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45821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45821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45821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45821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45821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45821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45821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45821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45821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45821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45821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45821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45821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45821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45821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45821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45821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45821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45821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45821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45821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45821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45821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45821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45821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45821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45821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45821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45821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45821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45821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45821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45821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45821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45821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45821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45821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45821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45821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45821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45821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45821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45821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45821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45821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45821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45821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45821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45821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45821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45821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45821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45821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45821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45821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45821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45821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45821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45821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45821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45821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45821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45821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45821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45821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45821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45821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45821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45821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45821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45821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45821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45821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45821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45821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45821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45821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45821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45821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45821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45821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45821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45821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45821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45821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45821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45821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45821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45821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45821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45821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45821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45821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45821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45821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45821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45821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45821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45821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45821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45821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45821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45821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45821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45821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45821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45821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45821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45821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45821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45821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45821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45821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45821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45821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45821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45821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45821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45821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45821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45821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45821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45821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45821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45821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45821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45821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45821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45821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45821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45821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45821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45821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45821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45821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45821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45821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45821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45821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45821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45821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45821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45821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45821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45821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45821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45821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45821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45821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45821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45821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45821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45821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45821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45821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45821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45821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45821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45821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45821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45821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45821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45821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45821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45821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45821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45821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45821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45821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45821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45821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45821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45821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45821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45821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45821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45821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45821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45821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45821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45821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45821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45821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45821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45821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45821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45821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45821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45821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45821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45821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45821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45821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45821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45821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45821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45821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45821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45821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45821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45821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45821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45821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45821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45821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45821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45821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45821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45821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45821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45821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45821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45821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45821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45821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45821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45821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45821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45821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45821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45821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45821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45821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45821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45821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45821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45821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45821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45821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45821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45821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45821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45821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45821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45821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45821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45821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45821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45821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45821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45821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45821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45821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45821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45821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45821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45821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45821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45821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45821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45821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45821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45821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45821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45821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45821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45821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45821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45821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45821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45821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45821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45821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45821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45821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45821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45821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45821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45821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45821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45821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45821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45821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45821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45821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45821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45821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45821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45821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45821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45821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45821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45821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45821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45821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45821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45821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45821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45821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45821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45821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45821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45821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45821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45821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45821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45821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45821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45821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45821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45821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45821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45821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45821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45821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45821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45821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45821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45821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45821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45821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45821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45821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45821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45821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45821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45821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45821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45821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45821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45821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45821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45821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45821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45821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45821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45821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45821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45821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45821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45821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45821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45821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45821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45821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45821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45821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45821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45821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45821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45821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45821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45821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45821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45821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45821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45821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45821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45821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45821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45821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45821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45821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45821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45821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45821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45821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45821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45821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45821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45821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45821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45821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45821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45821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45821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45821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45821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45821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45821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45821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45821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45821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45821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45821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45821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45821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45821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45821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45821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45821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45821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45821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45821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45821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45821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45821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45821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45821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45821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45821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45821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45821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45821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45821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45821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45821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45821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45821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45821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45821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45821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45821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45821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45821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45821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45821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45821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45821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45821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45821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45821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45821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45821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45821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45821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45821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45821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45821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45821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45821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45821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45821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45821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45821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45821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45821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45821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45821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45821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45821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45821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45821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45821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45821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45821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45821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45821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45821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45821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45821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45821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45821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45821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45821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45821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45821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45821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45821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45821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45821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45821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45821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45821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45821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45821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45821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45821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45821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45821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45821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45821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45821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45821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45821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45821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45821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45821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45821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45821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45821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45821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45821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45821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45821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45821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45821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45821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45821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45821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45821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45821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45821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45821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45821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45821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45821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45821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45821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45821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45821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45821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45821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45821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45821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45821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45821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45821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45821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45821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45821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45821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45821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45821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45821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45821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45821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45821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45821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45821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45821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45821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45821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45821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45821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45821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45821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45821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45821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45821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45821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45821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45821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45821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45821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45821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45821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45821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45821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45821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45821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45821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45821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45821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45821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45821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45821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45821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45821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45821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45821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45821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45821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45821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45821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45821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45821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45821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45821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45821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45821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45821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45821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45821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45821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45821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45821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45821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45821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45821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45821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45821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45821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45821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45821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45821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45821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45821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45821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45821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45821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45821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45821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45821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45821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45821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45821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45821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45821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45821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45821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45821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45821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45821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45821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45821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45821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45821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45821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45821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45821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45821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45821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45821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45821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45821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45821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45821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45821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45821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45821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45821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45821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45821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45821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45821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45821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45821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45821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45821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45821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45821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45821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45821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45821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45821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45821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45821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45821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45821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45821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45821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45821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45821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45821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45821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45821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45821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45821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45821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45821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45821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45821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45821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45821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45821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45821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45821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45821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45821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45821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45821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45821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45821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45821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45821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45821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45821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45821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45821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45821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45821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45821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45821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45821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45821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45821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45821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45821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45821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45821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45821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45821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45821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45821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45821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45821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45821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45821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45821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45821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45821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45821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45821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45821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45821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45821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45821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45821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45821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45821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45821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45821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45821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45821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45821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45821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45821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45821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45821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45821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45821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45821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45821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45821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45821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45821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45821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45821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45821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45821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45821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45821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45821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45821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45821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45821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45821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45821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45821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45821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45821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45821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45821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45821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45821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45821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45821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45821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45821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45821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45821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45821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45821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45821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45821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45821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45821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45821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45821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45821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45821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45821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45821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45821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45821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45821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45821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45821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45821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45821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45821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45821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45821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45821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45821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45821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45821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45821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45821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45821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45821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45821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45821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45821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45821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45821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45821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45821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45821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45821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45821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45821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45821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45821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45821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45821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45821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45821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45821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45821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45821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45821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45821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45821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45821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45821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45821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45821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45821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45821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45821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45821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45821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45821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45821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45821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45821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45821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45821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45821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45821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45821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45821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45821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45821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45821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45821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45821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45821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45821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45821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45821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45821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45821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45821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45821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45821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45821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45821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45821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45821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45821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45821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45821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45821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45821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45821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45821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45821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45821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45821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45821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45821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45821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45821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45821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45821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45821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45821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45821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45821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45821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45821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45821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45821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45821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45821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45821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45821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45821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45821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45821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45821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45821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45821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45821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45821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45821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45821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45821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45821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45821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45821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45821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45821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45821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45821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45821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45821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45821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45821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45821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45821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45821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45821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45821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45821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45821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45821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45821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45821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45821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45821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45821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45821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45821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45821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45821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45821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45821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45821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45821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45821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45821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45821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45821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45821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45821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45821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45821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45821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45821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45821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45821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45821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45821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45821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45821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45821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45821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45821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45821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45821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45821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45821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45821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45821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45821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45821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45821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45821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45821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45821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45821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45821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45821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45821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45821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45821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45821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45821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45821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45821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45821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45821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45821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45821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45821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45821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45821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45821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45821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45821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45821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45821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45821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45821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45821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45821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45821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45821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45821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45821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45821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45821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45821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45821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45821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45821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45821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45821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45821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45821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45821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45821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45821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45821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45821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45821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45821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45821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45821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45821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45821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45821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45821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45821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45821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45821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45821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45821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45821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45821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45821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45821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45821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45821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45821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45821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45821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45821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45821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45821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45821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45821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45821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45821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45821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45821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45821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45821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45821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45821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45821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45821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45821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45821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45821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45821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45821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45821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45821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45821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45821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9867-2025</t>
        </is>
      </c>
      <c r="B1298" s="1" t="n">
        <v>45716</v>
      </c>
      <c r="C1298" s="1" t="n">
        <v>45821</v>
      </c>
      <c r="D1298" t="inlineStr">
        <is>
          <t>KALMAR LÄN</t>
        </is>
      </c>
      <c r="E1298" t="inlineStr">
        <is>
          <t>EMMABODA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45821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45821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45821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45821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45821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45821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45821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45821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45821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45821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45821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45821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45821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45821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45821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11504-2025</t>
        </is>
      </c>
      <c r="B1314" s="1" t="n">
        <v>45726</v>
      </c>
      <c r="C1314" s="1" t="n">
        <v>45821</v>
      </c>
      <c r="D1314" t="inlineStr">
        <is>
          <t>KALMAR LÄN</t>
        </is>
      </c>
      <c r="E1314" t="inlineStr">
        <is>
          <t>EMMABODA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11503-2025</t>
        </is>
      </c>
      <c r="B1315" s="1" t="n">
        <v>45726</v>
      </c>
      <c r="C1315" s="1" t="n">
        <v>45821</v>
      </c>
      <c r="D1315" t="inlineStr">
        <is>
          <t>KALMAR LÄN</t>
        </is>
      </c>
      <c r="E1315" t="inlineStr">
        <is>
          <t>EMMABODA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45821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45821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45821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45821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45821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45821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45821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45821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45821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45821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45821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45821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45821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45821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45821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14791-2025</t>
        </is>
      </c>
      <c r="B1331" s="1" t="n">
        <v>45742</v>
      </c>
      <c r="C1331" s="1" t="n">
        <v>45821</v>
      </c>
      <c r="D1331" t="inlineStr">
        <is>
          <t>KALMAR LÄN</t>
        </is>
      </c>
      <c r="E1331" t="inlineStr">
        <is>
          <t>EMMABODA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14792-2025</t>
        </is>
      </c>
      <c r="B1332" s="1" t="n">
        <v>45742</v>
      </c>
      <c r="C1332" s="1" t="n">
        <v>45821</v>
      </c>
      <c r="D1332" t="inlineStr">
        <is>
          <t>KALMAR LÄN</t>
        </is>
      </c>
      <c r="E1332" t="inlineStr">
        <is>
          <t>EMMABODA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14880-2025</t>
        </is>
      </c>
      <c r="B1333" s="1" t="n">
        <v>45743</v>
      </c>
      <c r="C1333" s="1" t="n">
        <v>45821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14970-2025</t>
        </is>
      </c>
      <c r="B1334" s="1" t="n">
        <v>45743</v>
      </c>
      <c r="C1334" s="1" t="n">
        <v>45821</v>
      </c>
      <c r="D1334" t="inlineStr">
        <is>
          <t>KALMAR LÄN</t>
        </is>
      </c>
      <c r="E1334" t="inlineStr">
        <is>
          <t>EMMABODA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14962-2025</t>
        </is>
      </c>
      <c r="B1335" s="1" t="n">
        <v>45743</v>
      </c>
      <c r="C1335" s="1" t="n">
        <v>45821</v>
      </c>
      <c r="D1335" t="inlineStr">
        <is>
          <t>KALMAR LÄN</t>
        </is>
      </c>
      <c r="E1335" t="inlineStr">
        <is>
          <t>EMMABODA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15913-2025</t>
        </is>
      </c>
      <c r="B1336" s="1" t="n">
        <v>45749</v>
      </c>
      <c r="C1336" s="1" t="n">
        <v>45821</v>
      </c>
      <c r="D1336" t="inlineStr">
        <is>
          <t>KALMAR LÄN</t>
        </is>
      </c>
      <c r="E1336" t="inlineStr">
        <is>
          <t>EMMABODA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15898-2025</t>
        </is>
      </c>
      <c r="B1337" s="1" t="n">
        <v>45749</v>
      </c>
      <c r="C1337" s="1" t="n">
        <v>45821</v>
      </c>
      <c r="D1337" t="inlineStr">
        <is>
          <t>KALMAR LÄN</t>
        </is>
      </c>
      <c r="E1337" t="inlineStr">
        <is>
          <t>EMMABODA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16273-2025</t>
        </is>
      </c>
      <c r="B1338" s="1" t="n">
        <v>45751</v>
      </c>
      <c r="C1338" s="1" t="n">
        <v>45821</v>
      </c>
      <c r="D1338" t="inlineStr">
        <is>
          <t>KALMAR LÄN</t>
        </is>
      </c>
      <c r="E1338" t="inlineStr">
        <is>
          <t>EMMABODA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16432-2025</t>
        </is>
      </c>
      <c r="B1339" s="1" t="n">
        <v>45751</v>
      </c>
      <c r="C1339" s="1" t="n">
        <v>45821</v>
      </c>
      <c r="D1339" t="inlineStr">
        <is>
          <t>KALMAR LÄN</t>
        </is>
      </c>
      <c r="E1339" t="inlineStr">
        <is>
          <t>EMMABODA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16427-2025</t>
        </is>
      </c>
      <c r="B1340" s="1" t="n">
        <v>45751</v>
      </c>
      <c r="C1340" s="1" t="n">
        <v>45821</v>
      </c>
      <c r="D1340" t="inlineStr">
        <is>
          <t>KALMAR LÄN</t>
        </is>
      </c>
      <c r="E1340" t="inlineStr">
        <is>
          <t>EMMABODA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16361-2025</t>
        </is>
      </c>
      <c r="B1341" s="1" t="n">
        <v>45751</v>
      </c>
      <c r="C1341" s="1" t="n">
        <v>45821</v>
      </c>
      <c r="D1341" t="inlineStr">
        <is>
          <t>KALMAR LÄN</t>
        </is>
      </c>
      <c r="E1341" t="inlineStr">
        <is>
          <t>EMMABODA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17001-2025</t>
        </is>
      </c>
      <c r="B1342" s="1" t="n">
        <v>45755</v>
      </c>
      <c r="C1342" s="1" t="n">
        <v>45821</v>
      </c>
      <c r="D1342" t="inlineStr">
        <is>
          <t>KALMAR LÄN</t>
        </is>
      </c>
      <c r="E1342" t="inlineStr">
        <is>
          <t>EMMABODA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17568-2025</t>
        </is>
      </c>
      <c r="B1343" s="1" t="n">
        <v>45757</v>
      </c>
      <c r="C1343" s="1" t="n">
        <v>45821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17564-2025</t>
        </is>
      </c>
      <c r="B1344" s="1" t="n">
        <v>45757</v>
      </c>
      <c r="C1344" s="1" t="n">
        <v>45821</v>
      </c>
      <c r="D1344" t="inlineStr">
        <is>
          <t>KALMAR LÄN</t>
        </is>
      </c>
      <c r="E1344" t="inlineStr">
        <is>
          <t>EMMABODA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18392-2025</t>
        </is>
      </c>
      <c r="B1345" s="1" t="n">
        <v>45762</v>
      </c>
      <c r="C1345" s="1" t="n">
        <v>45821</v>
      </c>
      <c r="D1345" t="inlineStr">
        <is>
          <t>KALMAR LÄN</t>
        </is>
      </c>
      <c r="E1345" t="inlineStr">
        <is>
          <t>EMMABODA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18621-2025</t>
        </is>
      </c>
      <c r="B1346" s="1" t="n">
        <v>45763</v>
      </c>
      <c r="C1346" s="1" t="n">
        <v>45821</v>
      </c>
      <c r="D1346" t="inlineStr">
        <is>
          <t>KALMAR LÄN</t>
        </is>
      </c>
      <c r="E1346" t="inlineStr">
        <is>
          <t>EMMABODA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19151-2025</t>
        </is>
      </c>
      <c r="B1347" s="1" t="n">
        <v>45769</v>
      </c>
      <c r="C1347" s="1" t="n">
        <v>45821</v>
      </c>
      <c r="D1347" t="inlineStr">
        <is>
          <t>KALMAR LÄN</t>
        </is>
      </c>
      <c r="E1347" t="inlineStr">
        <is>
          <t>EMMABODA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19147-2025</t>
        </is>
      </c>
      <c r="B1348" s="1" t="n">
        <v>45769</v>
      </c>
      <c r="C1348" s="1" t="n">
        <v>45821</v>
      </c>
      <c r="D1348" t="inlineStr">
        <is>
          <t>KALMAR LÄN</t>
        </is>
      </c>
      <c r="E1348" t="inlineStr">
        <is>
          <t>EMMABODA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19350-2025</t>
        </is>
      </c>
      <c r="B1349" s="1" t="n">
        <v>45769</v>
      </c>
      <c r="C1349" s="1" t="n">
        <v>45821</v>
      </c>
      <c r="D1349" t="inlineStr">
        <is>
          <t>KALMAR LÄN</t>
        </is>
      </c>
      <c r="E1349" t="inlineStr">
        <is>
          <t>EMMABODA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19704-2025</t>
        </is>
      </c>
      <c r="B1350" s="1" t="n">
        <v>45771</v>
      </c>
      <c r="C1350" s="1" t="n">
        <v>45821</v>
      </c>
      <c r="D1350" t="inlineStr">
        <is>
          <t>KALMAR LÄN</t>
        </is>
      </c>
      <c r="E1350" t="inlineStr">
        <is>
          <t>EMMABODA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20053-2025</t>
        </is>
      </c>
      <c r="B1351" s="1" t="n">
        <v>45772</v>
      </c>
      <c r="C1351" s="1" t="n">
        <v>45821</v>
      </c>
      <c r="D1351" t="inlineStr">
        <is>
          <t>KALMAR LÄN</t>
        </is>
      </c>
      <c r="E1351" t="inlineStr">
        <is>
          <t>EMMABODA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20051-2025</t>
        </is>
      </c>
      <c r="B1352" s="1" t="n">
        <v>45772</v>
      </c>
      <c r="C1352" s="1" t="n">
        <v>45821</v>
      </c>
      <c r="D1352" t="inlineStr">
        <is>
          <t>KALMAR LÄN</t>
        </is>
      </c>
      <c r="E1352" t="inlineStr">
        <is>
          <t>EMMABODA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20049-2025</t>
        </is>
      </c>
      <c r="B1353" s="1" t="n">
        <v>45772</v>
      </c>
      <c r="C1353" s="1" t="n">
        <v>45821</v>
      </c>
      <c r="D1353" t="inlineStr">
        <is>
          <t>KALMAR LÄN</t>
        </is>
      </c>
      <c r="E1353" t="inlineStr">
        <is>
          <t>EMMABODA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20052-2025</t>
        </is>
      </c>
      <c r="B1354" s="1" t="n">
        <v>45772</v>
      </c>
      <c r="C1354" s="1" t="n">
        <v>45821</v>
      </c>
      <c r="D1354" t="inlineStr">
        <is>
          <t>KALMAR LÄN</t>
        </is>
      </c>
      <c r="E1354" t="inlineStr">
        <is>
          <t>EMMABODA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20511-2025</t>
        </is>
      </c>
      <c r="B1355" s="1" t="n">
        <v>45775</v>
      </c>
      <c r="C1355" s="1" t="n">
        <v>45821</v>
      </c>
      <c r="D1355" t="inlineStr">
        <is>
          <t>KALMAR LÄN</t>
        </is>
      </c>
      <c r="E1355" t="inlineStr">
        <is>
          <t>EMMABODA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20506-2025</t>
        </is>
      </c>
      <c r="B1356" s="1" t="n">
        <v>45775</v>
      </c>
      <c r="C1356" s="1" t="n">
        <v>45821</v>
      </c>
      <c r="D1356" t="inlineStr">
        <is>
          <t>KALMAR LÄN</t>
        </is>
      </c>
      <c r="E1356" t="inlineStr">
        <is>
          <t>EMMABODA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20887-2025</t>
        </is>
      </c>
      <c r="B1357" s="1" t="n">
        <v>45777</v>
      </c>
      <c r="C1357" s="1" t="n">
        <v>45821</v>
      </c>
      <c r="D1357" t="inlineStr">
        <is>
          <t>KALMAR LÄN</t>
        </is>
      </c>
      <c r="E1357" t="inlineStr">
        <is>
          <t>EMMABODA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20889-2025</t>
        </is>
      </c>
      <c r="B1358" s="1" t="n">
        <v>45777</v>
      </c>
      <c r="C1358" s="1" t="n">
        <v>45821</v>
      </c>
      <c r="D1358" t="inlineStr">
        <is>
          <t>KALMAR LÄN</t>
        </is>
      </c>
      <c r="E1358" t="inlineStr">
        <is>
          <t>EMMABODA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21026-2025</t>
        </is>
      </c>
      <c r="B1359" s="1" t="n">
        <v>45777</v>
      </c>
      <c r="C1359" s="1" t="n">
        <v>45821</v>
      </c>
      <c r="D1359" t="inlineStr">
        <is>
          <t>KALMAR LÄN</t>
        </is>
      </c>
      <c r="E1359" t="inlineStr">
        <is>
          <t>EMMABODA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21064-2025</t>
        </is>
      </c>
      <c r="B1360" s="1" t="n">
        <v>45777</v>
      </c>
      <c r="C1360" s="1" t="n">
        <v>45821</v>
      </c>
      <c r="D1360" t="inlineStr">
        <is>
          <t>KALMAR LÄN</t>
        </is>
      </c>
      <c r="E1360" t="inlineStr">
        <is>
          <t>EMMABODA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21191-2025</t>
        </is>
      </c>
      <c r="B1361" s="1" t="n">
        <v>45779</v>
      </c>
      <c r="C1361" s="1" t="n">
        <v>45821</v>
      </c>
      <c r="D1361" t="inlineStr">
        <is>
          <t>KALMAR LÄN</t>
        </is>
      </c>
      <c r="E1361" t="inlineStr">
        <is>
          <t>EMMABODA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21189-2025</t>
        </is>
      </c>
      <c r="B1362" s="1" t="n">
        <v>45779</v>
      </c>
      <c r="C1362" s="1" t="n">
        <v>45821</v>
      </c>
      <c r="D1362" t="inlineStr">
        <is>
          <t>KALMAR LÄN</t>
        </is>
      </c>
      <c r="E1362" t="inlineStr">
        <is>
          <t>EMMABODA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21379-2025</t>
        </is>
      </c>
      <c r="B1363" s="1" t="n">
        <v>45782</v>
      </c>
      <c r="C1363" s="1" t="n">
        <v>45821</v>
      </c>
      <c r="D1363" t="inlineStr">
        <is>
          <t>KALMAR LÄN</t>
        </is>
      </c>
      <c r="E1363" t="inlineStr">
        <is>
          <t>EMMABODA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21803-2025</t>
        </is>
      </c>
      <c r="B1364" s="1" t="n">
        <v>45783</v>
      </c>
      <c r="C1364" s="1" t="n">
        <v>45821</v>
      </c>
      <c r="D1364" t="inlineStr">
        <is>
          <t>KALMAR LÄN</t>
        </is>
      </c>
      <c r="E1364" t="inlineStr">
        <is>
          <t>EMMABODA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21802-2025</t>
        </is>
      </c>
      <c r="B1365" s="1" t="n">
        <v>45783</v>
      </c>
      <c r="C1365" s="1" t="n">
        <v>45821</v>
      </c>
      <c r="D1365" t="inlineStr">
        <is>
          <t>KALMAR LÄN</t>
        </is>
      </c>
      <c r="E1365" t="inlineStr">
        <is>
          <t>EMMABODA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21804-2025</t>
        </is>
      </c>
      <c r="B1366" s="1" t="n">
        <v>45783</v>
      </c>
      <c r="C1366" s="1" t="n">
        <v>45821</v>
      </c>
      <c r="D1366" t="inlineStr">
        <is>
          <t>KALMAR LÄN</t>
        </is>
      </c>
      <c r="E1366" t="inlineStr">
        <is>
          <t>EMMABODA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22700-2025</t>
        </is>
      </c>
      <c r="B1367" s="1" t="n">
        <v>45789</v>
      </c>
      <c r="C1367" s="1" t="n">
        <v>45821</v>
      </c>
      <c r="D1367" t="inlineStr">
        <is>
          <t>KALMAR LÄN</t>
        </is>
      </c>
      <c r="E1367" t="inlineStr">
        <is>
          <t>EMMABODA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22899-2025</t>
        </is>
      </c>
      <c r="B1368" s="1" t="n">
        <v>45790</v>
      </c>
      <c r="C1368" s="1" t="n">
        <v>45821</v>
      </c>
      <c r="D1368" t="inlineStr">
        <is>
          <t>KALMAR LÄN</t>
        </is>
      </c>
      <c r="E1368" t="inlineStr">
        <is>
          <t>EMMABODA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23931-2025</t>
        </is>
      </c>
      <c r="B1369" s="1" t="n">
        <v>45795</v>
      </c>
      <c r="C1369" s="1" t="n">
        <v>45821</v>
      </c>
      <c r="D1369" t="inlineStr">
        <is>
          <t>KALMAR LÄN</t>
        </is>
      </c>
      <c r="E1369" t="inlineStr">
        <is>
          <t>EMMABODA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24282-2025</t>
        </is>
      </c>
      <c r="B1370" s="1" t="n">
        <v>45797</v>
      </c>
      <c r="C1370" s="1" t="n">
        <v>45821</v>
      </c>
      <c r="D1370" t="inlineStr">
        <is>
          <t>KALMAR LÄN</t>
        </is>
      </c>
      <c r="E1370" t="inlineStr">
        <is>
          <t>EMMABODA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24273-2025</t>
        </is>
      </c>
      <c r="B1371" s="1" t="n">
        <v>45797</v>
      </c>
      <c r="C1371" s="1" t="n">
        <v>45821</v>
      </c>
      <c r="D1371" t="inlineStr">
        <is>
          <t>KALMAR LÄN</t>
        </is>
      </c>
      <c r="E1371" t="inlineStr">
        <is>
          <t>EMMABODA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24933-2025</t>
        </is>
      </c>
      <c r="B1372" s="1" t="n">
        <v>45799</v>
      </c>
      <c r="C1372" s="1" t="n">
        <v>45821</v>
      </c>
      <c r="D1372" t="inlineStr">
        <is>
          <t>KALMAR LÄN</t>
        </is>
      </c>
      <c r="E1372" t="inlineStr">
        <is>
          <t>EMMABODA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25321-2025</t>
        </is>
      </c>
      <c r="B1373" s="1" t="n">
        <v>45800</v>
      </c>
      <c r="C1373" s="1" t="n">
        <v>45821</v>
      </c>
      <c r="D1373" t="inlineStr">
        <is>
          <t>KALMAR LÄN</t>
        </is>
      </c>
      <c r="E1373" t="inlineStr">
        <is>
          <t>EMMABODA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25316-2025</t>
        </is>
      </c>
      <c r="B1374" s="1" t="n">
        <v>45800</v>
      </c>
      <c r="C1374" s="1" t="n">
        <v>45821</v>
      </c>
      <c r="D1374" t="inlineStr">
        <is>
          <t>KALMAR LÄN</t>
        </is>
      </c>
      <c r="E1374" t="inlineStr">
        <is>
          <t>EMMABODA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25612-2025</t>
        </is>
      </c>
      <c r="B1375" s="1" t="n">
        <v>45803</v>
      </c>
      <c r="C1375" s="1" t="n">
        <v>45821</v>
      </c>
      <c r="D1375" t="inlineStr">
        <is>
          <t>KALMAR LÄN</t>
        </is>
      </c>
      <c r="E1375" t="inlineStr">
        <is>
          <t>EMMABODA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25914-2025</t>
        </is>
      </c>
      <c r="B1376" s="1" t="n">
        <v>45804</v>
      </c>
      <c r="C1376" s="1" t="n">
        <v>45821</v>
      </c>
      <c r="D1376" t="inlineStr">
        <is>
          <t>KALMAR LÄN</t>
        </is>
      </c>
      <c r="E1376" t="inlineStr">
        <is>
          <t>EMMABODA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25776-2025</t>
        </is>
      </c>
      <c r="B1377" s="1" t="n">
        <v>45804</v>
      </c>
      <c r="C1377" s="1" t="n">
        <v>45821</v>
      </c>
      <c r="D1377" t="inlineStr">
        <is>
          <t>KALMAR LÄN</t>
        </is>
      </c>
      <c r="E1377" t="inlineStr">
        <is>
          <t>EMMABODA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27533-2025</t>
        </is>
      </c>
      <c r="B1378" s="1" t="n">
        <v>45813</v>
      </c>
      <c r="C1378" s="1" t="n">
        <v>45821</v>
      </c>
      <c r="D1378" t="inlineStr">
        <is>
          <t>KALMAR LÄN</t>
        </is>
      </c>
      <c r="E1378" t="inlineStr">
        <is>
          <t>EMMABODA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>
      <c r="A1379" t="inlineStr">
        <is>
          <t>A 28682-2025</t>
        </is>
      </c>
      <c r="B1379" s="1" t="n">
        <v>45819</v>
      </c>
      <c r="C1379" s="1" t="n">
        <v>45821</v>
      </c>
      <c r="D1379" t="inlineStr">
        <is>
          <t>KALMAR LÄN</t>
        </is>
      </c>
      <c r="E1379" t="inlineStr">
        <is>
          <t>EMMABODA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2025-06-13T18:37:53Z</dcterms:created>
  <dcterms:modified xmlns:dcterms="http://purl.org/dc/terms/" xmlns:xsi="http://www.w3.org/2001/XMLSchema-instance" xsi:type="dcterms:W3CDTF">2025-06-13T18:37:55Z</dcterms:modified>
</cp:coreProperties>
</file>