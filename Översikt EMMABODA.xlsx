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46277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46277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46277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46277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46277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46277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46277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46277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46277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46277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46277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46277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46277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46277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46277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38119-2023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46277</v>
      </c>
      <c r="F22" t="inlineStr">
        <is>
          <t>KALMAR LÄN</t>
        </is>
      </c>
      <c r="G22" t="inlineStr">
        <is>
          <t>EMMABODA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Åkerkål</t>
        </is>
      </c>
      <c r="W22">
        <f>HYPERLINK("https://klasma.github.io/Logging_0862/artfynd/A 38119-2023 artfynd.xlsx", "A 38119-2023")</f>
        <v/>
      </c>
      <c r="X22">
        <f>HYPERLINK("https://klasma.github.io/Logging_0862/kartor/A 38119-2023 karta.png", "A 38119-2023")</f>
        <v/>
      </c>
      <c r="Y22">
        <f>HYPERLINK("https://klasma.github.io/Logging_0862/kartor_geotiff/A 38119-2023 georefererad karta.tif", "A 38119-2023")</f>
        <v/>
      </c>
      <c r="AA22">
        <f>HYPERLINK("https://klasma.github.io/Logging_0862/klagomål/A 38119-2023 FSC-klagomål.docx", "A 38119-2023")</f>
        <v/>
      </c>
      <c r="AB22">
        <f>HYPERLINK("https://klasma.github.io/Logging_0862/klagomålsmail/A 38119-2023 FSC-klagomål mail.docx", "A 38119-2023")</f>
        <v/>
      </c>
      <c r="AC22">
        <f>HYPERLINK("https://klasma.github.io/Logging_0862/tillsyn/A 38119-2023 tillsynsbegäran.docx", "A 38119-2023")</f>
        <v/>
      </c>
      <c r="AD22">
        <f>HYPERLINK("https://klasma.github.io/Logging_0862/tillsynsmail/A 38119-2023 tillsynsbegäran mail.docx", "A 38119-2023")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46277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46277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46277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46277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46277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46277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46277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46277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46277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18621-2025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46277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Pärluggla</t>
        </is>
      </c>
      <c r="W32">
        <f>HYPERLINK("https://klasma.github.io/Logging_0862/artfynd/A 18621-2025 artfynd.xlsx", "A 18621-2025")</f>
        <v/>
      </c>
      <c r="X32">
        <f>HYPERLINK("https://klasma.github.io/Logging_0862/kartor/A 18621-2025 karta.png", "A 18621-2025")</f>
        <v/>
      </c>
      <c r="Y32">
        <f>HYPERLINK("https://klasma.github.io/Logging_0862/kartor_geotiff/A 18621-2025 georefererad karta.tif", "A 18621-2025")</f>
        <v/>
      </c>
      <c r="AA32">
        <f>HYPERLINK("https://klasma.github.io/Logging_0862/klagomål/A 18621-2025 FSC-klagomål.docx", "A 18621-2025")</f>
        <v/>
      </c>
      <c r="AB32">
        <f>HYPERLINK("https://klasma.github.io/Logging_0862/klagomålsmail/A 18621-2025 FSC-klagomål mail.docx", "A 18621-2025")</f>
        <v/>
      </c>
      <c r="AC32">
        <f>HYPERLINK("https://klasma.github.io/Logging_0862/tillsyn/A 18621-2025 tillsynsbegäran.docx", "A 18621-2025")</f>
        <v/>
      </c>
      <c r="AD32">
        <f>HYPERLINK("https://klasma.github.io/Logging_0862/tillsynsmail/A 18621-2025 tillsynsbegäran mail.docx", "A 18621-2025")</f>
        <v/>
      </c>
      <c r="AE32">
        <f>HYPERLINK("https://klasma.github.io/Logging_0862/fåglar/A 18621-2025 prioriterade fågelarter.docx", "A 18621-2025")</f>
        <v/>
      </c>
    </row>
    <row r="33" ht="15" customHeight="1">
      <c r="A33" t="inlineStr">
        <is>
          <t>A 29859-2023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46277</v>
      </c>
      <c r="F33" t="inlineStr">
        <is>
          <t>KALMAR LÄN</t>
        </is>
      </c>
      <c r="G33" t="inlineStr">
        <is>
          <t>EMMABODA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HYPERLINK("https://klasma.github.io/Logging_0862/artfynd/A 29859-2023 artfynd.xlsx", "A 29859-2023")</f>
        <v/>
      </c>
      <c r="X33">
        <f>HYPERLINK("https://klasma.github.io/Logging_0862/kartor/A 29859-2023 karta.png", "A 29859-2023")</f>
        <v/>
      </c>
      <c r="Y33">
        <f>HYPERLINK("https://klasma.github.io/Logging_0862/kartor_geotiff/A 29859-2023 georefererad karta.tif", "A 29859-2023")</f>
        <v/>
      </c>
      <c r="AA33">
        <f>HYPERLINK("https://klasma.github.io/Logging_0862/klagomål/A 29859-2023 FSC-klagomål.docx", "A 29859-2023")</f>
        <v/>
      </c>
      <c r="AB33">
        <f>HYPERLINK("https://klasma.github.io/Logging_0862/klagomålsmail/A 29859-2023 FSC-klagomål mail.docx", "A 29859-2023")</f>
        <v/>
      </c>
      <c r="AC33">
        <f>HYPERLINK("https://klasma.github.io/Logging_0862/tillsyn/A 29859-2023 tillsynsbegäran.docx", "A 29859-2023")</f>
        <v/>
      </c>
      <c r="AD33">
        <f>HYPERLINK("https://klasma.github.io/Logging_0862/tillsynsmail/A 29859-2023 tillsynsbegäran mail.docx", "A 29859-2023")</f>
        <v/>
      </c>
      <c r="AE33">
        <f>HYPERLINK("https://klasma.github.io/Logging_0862/fåglar/A 29859-2023 prioriterade fågelarter.docx", "A 29859-2023")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46277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46277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770-2022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44570</v>
      </c>
      <c r="E36" s="1" t="n">
        <v>46277</v>
      </c>
      <c r="F36" t="inlineStr">
        <is>
          <t>KALMAR LÄN</t>
        </is>
      </c>
      <c r="G36" t="inlineStr">
        <is>
          <t>EMMABODA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Grönpyrola</t>
        </is>
      </c>
      <c r="W36">
        <f>HYPERLINK("https://klasma.github.io/Logging_0862/artfynd/A 770-2022 artfynd.xlsx", "A 770-2022")</f>
        <v/>
      </c>
      <c r="X36">
        <f>HYPERLINK("https://klasma.github.io/Logging_0862/kartor/A 770-2022 karta.png", "A 770-2022")</f>
        <v/>
      </c>
      <c r="Y36">
        <f>HYPERLINK("https://klasma.github.io/Logging_0862/kartor_geotiff/A 770-2022 georefererad karta.tif", "A 770-2022")</f>
        <v/>
      </c>
      <c r="AA36">
        <f>HYPERLINK("https://klasma.github.io/Logging_0862/klagomål/A 770-2022 FSC-klagomål.docx", "A 770-2022")</f>
        <v/>
      </c>
      <c r="AB36">
        <f>HYPERLINK("https://klasma.github.io/Logging_0862/klagomålsmail/A 770-2022 FSC-klagomål mail.docx", "A 770-2022")</f>
        <v/>
      </c>
      <c r="AC36">
        <f>HYPERLINK("https://klasma.github.io/Logging_0862/tillsyn/A 770-2022 tillsynsbegäran.docx", "A 770-2022")</f>
        <v/>
      </c>
      <c r="AD36">
        <f>HYPERLINK("https://klasma.github.io/Logging_0862/tillsynsmail/A 770-2022 tillsynsbegäran mail.docx", "A 770-2022")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46277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46277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34220-2026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46277</v>
      </c>
      <c r="F39" t="inlineStr">
        <is>
          <t>KALMAR LÄN</t>
        </is>
      </c>
      <c r="G39" t="inlineStr">
        <is>
          <t>EMMABODA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34220-2026 artfynd.xlsx", "A 34220-2026")</f>
        <v/>
      </c>
      <c r="X39">
        <f>HYPERLINK("https://klasma.github.io/Logging_0862/kartor/A 34220-2026 karta.png", "A 34220-2026")</f>
        <v/>
      </c>
      <c r="Y39">
        <f>HYPERLINK("https://klasma.github.io/Logging_0862/kartor_geotiff/A 34220-2026 georefererad karta.tif", "A 34220-2026")</f>
        <v/>
      </c>
      <c r="AA39">
        <f>HYPERLINK("https://klasma.github.io/Logging_0862/klagomål/A 34220-2026 FSC-klagomål.docx", "A 34220-2026")</f>
        <v/>
      </c>
      <c r="AB39">
        <f>HYPERLINK("https://klasma.github.io/Logging_0862/klagomålsmail/A 34220-2026 FSC-klagomål mail.docx", "A 34220-2026")</f>
        <v/>
      </c>
      <c r="AC39">
        <f>HYPERLINK("https://klasma.github.io/Logging_0862/tillsyn/A 34220-2026 tillsynsbegäran.docx", "A 34220-2026")</f>
        <v/>
      </c>
      <c r="AD39">
        <f>HYPERLINK("https://klasma.github.io/Logging_0862/tillsynsmail/A 34220-2026 tillsynsbegäran mail.docx", "A 34220-2026")</f>
        <v/>
      </c>
    </row>
    <row r="40" ht="15" customHeight="1">
      <c r="A40" t="inlineStr">
        <is>
          <t>A 6612-2023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46277</v>
      </c>
      <c r="F40" t="inlineStr">
        <is>
          <t>KALMAR LÄN</t>
        </is>
      </c>
      <c r="G40" t="inlineStr">
        <is>
          <t>EMMABODA</t>
        </is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HYPERLINK("https://klasma.github.io/Logging_0862/artfynd/A 6612-2023 artfynd.xlsx", "A 6612-2023")</f>
        <v/>
      </c>
      <c r="X40">
        <f>HYPERLINK("https://klasma.github.io/Logging_0862/kartor/A 6612-2023 karta.png", "A 6612-2023")</f>
        <v/>
      </c>
      <c r="Y40">
        <f>HYPERLINK("https://klasma.github.io/Logging_0862/kartor_geotiff/A 6612-2023 georefererad karta.tif", "A 6612-2023")</f>
        <v/>
      </c>
      <c r="AA40">
        <f>HYPERLINK("https://klasma.github.io/Logging_0862/klagomål/A 6612-2023 FSC-klagomål.docx", "A 6612-2023")</f>
        <v/>
      </c>
      <c r="AB40">
        <f>HYPERLINK("https://klasma.github.io/Logging_0862/klagomålsmail/A 6612-2023 FSC-klagomål mail.docx", "A 6612-2023")</f>
        <v/>
      </c>
      <c r="AC40">
        <f>HYPERLINK("https://klasma.github.io/Logging_0862/tillsyn/A 6612-2023 tillsynsbegäran.docx", "A 6612-2023")</f>
        <v/>
      </c>
      <c r="AD40">
        <f>HYPERLINK("https://klasma.github.io/Logging_0862/tillsynsmail/A 6612-2023 tillsynsbegäran mail.docx", "A 6612-2023")</f>
        <v/>
      </c>
    </row>
    <row r="41" ht="15" customHeight="1">
      <c r="A41" t="inlineStr">
        <is>
          <t>A 30949-2026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46277</v>
      </c>
      <c r="F41" t="inlineStr">
        <is>
          <t>KALMAR LÄN</t>
        </is>
      </c>
      <c r="G41" t="inlineStr">
        <is>
          <t>EMMABODA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dunört</t>
        </is>
      </c>
      <c r="W41">
        <f>HYPERLINK("https://klasma.github.io/Logging_0862/artfynd/A 30949-2026 artfynd.xlsx", "A 30949-2026")</f>
        <v/>
      </c>
      <c r="X41">
        <f>HYPERLINK("https://klasma.github.io/Logging_0862/kartor/A 30949-2026 karta.png", "A 30949-2026")</f>
        <v/>
      </c>
      <c r="Y41">
        <f>HYPERLINK("https://klasma.github.io/Logging_0862/kartor_geotiff/A 30949-2026 georefererad karta.tif", "A 30949-2026")</f>
        <v/>
      </c>
      <c r="AA41">
        <f>HYPERLINK("https://klasma.github.io/Logging_0862/klagomål/A 30949-2026 FSC-klagomål.docx", "A 30949-2026")</f>
        <v/>
      </c>
      <c r="AB41">
        <f>HYPERLINK("https://klasma.github.io/Logging_0862/klagomålsmail/A 30949-2026 FSC-klagomål mail.docx", "A 30949-2026")</f>
        <v/>
      </c>
      <c r="AC41">
        <f>HYPERLINK("https://klasma.github.io/Logging_0862/tillsyn/A 30949-2026 tillsynsbegäran.docx", "A 30949-2026")</f>
        <v/>
      </c>
      <c r="AD41">
        <f>HYPERLINK("https://klasma.github.io/Logging_0862/tillsynsmail/A 30949-2026 tillsynsbegäran mail.docx", "A 30949-2026")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46277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31261-2026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46277</v>
      </c>
      <c r="F43" t="inlineStr">
        <is>
          <t>KALMAR LÄN</t>
        </is>
      </c>
      <c r="G43" t="inlineStr">
        <is>
          <t>EMMABODA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Stubbspretmossa</t>
        </is>
      </c>
      <c r="W43">
        <f>HYPERLINK("https://klasma.github.io/Logging_0862/artfynd/A 31261-2026 artfynd.xlsx", "A 31261-2026")</f>
        <v/>
      </c>
      <c r="X43">
        <f>HYPERLINK("https://klasma.github.io/Logging_0862/kartor/A 31261-2026 karta.png", "A 31261-2026")</f>
        <v/>
      </c>
      <c r="Y43">
        <f>HYPERLINK("https://klasma.github.io/Logging_0862/kartor_geotiff/A 31261-2026 georefererad karta.tif", "A 31261-2026")</f>
        <v/>
      </c>
      <c r="AA43">
        <f>HYPERLINK("https://klasma.github.io/Logging_0862/klagomål/A 31261-2026 FSC-klagomål.docx", "A 31261-2026")</f>
        <v/>
      </c>
      <c r="AB43">
        <f>HYPERLINK("https://klasma.github.io/Logging_0862/klagomålsmail/A 31261-2026 FSC-klagomål mail.docx", "A 31261-2026")</f>
        <v/>
      </c>
      <c r="AC43">
        <f>HYPERLINK("https://klasma.github.io/Logging_0862/tillsyn/A 31261-2026 tillsynsbegäran.docx", "A 31261-2026")</f>
        <v/>
      </c>
      <c r="AD43">
        <f>HYPERLINK("https://klasma.github.io/Logging_0862/tillsynsmail/A 31261-2026 tillsynsbegäran mail.docx", "A 31261-2026")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46277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46277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46277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46277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46277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46277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46277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46277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46277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46277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46277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46277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46277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46277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46277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46277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46277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46277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46277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46277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46277</v>
      </c>
      <c r="F64" t="inlineStr">
        <is>
          <t>KALMAR LÄN</t>
        </is>
      </c>
      <c r="G64" t="inlineStr">
        <is>
          <t>EMMABODA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46277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46277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46277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46277</v>
      </c>
      <c r="F68" t="inlineStr">
        <is>
          <t>KALMAR LÄN</t>
        </is>
      </c>
      <c r="G68" t="inlineStr">
        <is>
          <t>EMMABODA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44490</v>
      </c>
      <c r="E69" s="1" t="n">
        <v>46277</v>
      </c>
      <c r="F69" t="inlineStr">
        <is>
          <t>KALMAR LÄN</t>
        </is>
      </c>
      <c r="G69" t="inlineStr">
        <is>
          <t>EMMABODA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46277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46277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46277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46277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46277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46277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46277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46277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46277</v>
      </c>
      <c r="F78" t="inlineStr">
        <is>
          <t>KALMAR LÄN</t>
        </is>
      </c>
      <c r="G78" t="inlineStr">
        <is>
          <t>EMMABODA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46277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46277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46277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46277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46277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46277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46277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46277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46277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46277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46277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46277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46277</v>
      </c>
      <c r="F91" t="inlineStr">
        <is>
          <t>KALMAR LÄN</t>
        </is>
      </c>
      <c r="G91" t="inlineStr">
        <is>
          <t>EMMABODA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46277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68368-2021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46277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46277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46277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46277</v>
      </c>
      <c r="F96" t="inlineStr">
        <is>
          <t>KALMAR LÄN</t>
        </is>
      </c>
      <c r="G96" t="inlineStr">
        <is>
          <t>EMMABODA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46277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46277</v>
      </c>
      <c r="F98" t="inlineStr">
        <is>
          <t>KALMAR LÄN</t>
        </is>
      </c>
      <c r="G98" t="inlineStr">
        <is>
          <t>EMMABODA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46277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46277</v>
      </c>
      <c r="F100" t="inlineStr">
        <is>
          <t>KALMAR LÄN</t>
        </is>
      </c>
      <c r="G100" t="inlineStr">
        <is>
          <t>EMMABODA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46277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46277</v>
      </c>
      <c r="F102" t="inlineStr">
        <is>
          <t>KALMAR LÄN</t>
        </is>
      </c>
      <c r="G102" t="inlineStr">
        <is>
          <t>EMMABODA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46277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46277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46277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46277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46277</v>
      </c>
      <c r="F107" t="inlineStr">
        <is>
          <t>KALMAR LÄN</t>
        </is>
      </c>
      <c r="G107" t="inlineStr">
        <is>
          <t>EMMABODA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46277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46277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46277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46277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46277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46277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46277</v>
      </c>
      <c r="F114" t="inlineStr">
        <is>
          <t>KALMAR LÄN</t>
        </is>
      </c>
      <c r="G114" t="inlineStr">
        <is>
          <t>EMMABODA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46277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69857-2021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44532</v>
      </c>
      <c r="E116" s="1" t="n">
        <v>46277</v>
      </c>
      <c r="F116" t="inlineStr">
        <is>
          <t>KALMAR LÄN</t>
        </is>
      </c>
      <c r="G116" t="inlineStr">
        <is>
          <t>EMMABODA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46277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46277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46277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46277</v>
      </c>
      <c r="F120" t="inlineStr">
        <is>
          <t>KALMAR LÄN</t>
        </is>
      </c>
      <c r="G120" t="inlineStr">
        <is>
          <t>EMMABODA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46277</v>
      </c>
      <c r="F121" t="inlineStr">
        <is>
          <t>KALMAR LÄN</t>
        </is>
      </c>
      <c r="G121" t="inlineStr">
        <is>
          <t>EMMABODA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46277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46277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46277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46277</v>
      </c>
      <c r="F125" t="inlineStr">
        <is>
          <t>KALMAR LÄN</t>
        </is>
      </c>
      <c r="G125" t="inlineStr">
        <is>
          <t>EMMABODA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44589</v>
      </c>
      <c r="E126" s="1" t="n">
        <v>46277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46277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46277</v>
      </c>
      <c r="F128" t="inlineStr">
        <is>
          <t>KALMAR LÄN</t>
        </is>
      </c>
      <c r="G128" t="inlineStr">
        <is>
          <t>EMMABODA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46277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46277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46277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46277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44530</v>
      </c>
      <c r="E133" s="1" t="n">
        <v>46277</v>
      </c>
      <c r="F133" t="inlineStr">
        <is>
          <t>KALMAR LÄN</t>
        </is>
      </c>
      <c r="G133" t="inlineStr">
        <is>
          <t>EMMABODA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46277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45335</v>
      </c>
      <c r="E135" s="1" t="n">
        <v>46277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45048</v>
      </c>
      <c r="E136" s="1" t="n">
        <v>46277</v>
      </c>
      <c r="F136" t="inlineStr">
        <is>
          <t>KALMAR LÄN</t>
        </is>
      </c>
      <c r="G136" t="inlineStr">
        <is>
          <t>EMMABODA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46277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46277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45219</v>
      </c>
      <c r="E139" s="1" t="n">
        <v>46277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46277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44739</v>
      </c>
      <c r="E141" s="1" t="n">
        <v>46277</v>
      </c>
      <c r="F141" t="inlineStr">
        <is>
          <t>KALMAR LÄN</t>
        </is>
      </c>
      <c r="G141" t="inlineStr">
        <is>
          <t>EMMABODA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46277</v>
      </c>
      <c r="F142" t="inlineStr">
        <is>
          <t>KALMAR LÄN</t>
        </is>
      </c>
      <c r="G142" t="inlineStr">
        <is>
          <t>EMMABODA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46277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46277</v>
      </c>
      <c r="F144" t="inlineStr">
        <is>
          <t>KALMAR LÄN</t>
        </is>
      </c>
      <c r="G144" t="inlineStr">
        <is>
          <t>EMMABODA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46277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46277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45422</v>
      </c>
      <c r="E147" s="1" t="n">
        <v>46277</v>
      </c>
      <c r="F147" t="inlineStr">
        <is>
          <t>KALMAR LÄN</t>
        </is>
      </c>
      <c r="G147" t="inlineStr">
        <is>
          <t>EMMABODA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46277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46277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46277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46277</v>
      </c>
      <c r="F151" t="inlineStr">
        <is>
          <t>KALMAR LÄN</t>
        </is>
      </c>
      <c r="G151" t="inlineStr">
        <is>
          <t>EMMABODA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46277</v>
      </c>
      <c r="F152" t="inlineStr">
        <is>
          <t>KALMAR LÄN</t>
        </is>
      </c>
      <c r="G152" t="inlineStr">
        <is>
          <t>EMMABODA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46277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46277</v>
      </c>
      <c r="F154" t="inlineStr">
        <is>
          <t>KALMAR LÄN</t>
        </is>
      </c>
      <c r="G154" t="inlineStr">
        <is>
          <t>EMMABODA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45376</v>
      </c>
      <c r="E155" s="1" t="n">
        <v>46277</v>
      </c>
      <c r="F155" t="inlineStr">
        <is>
          <t>KALMAR LÄN</t>
        </is>
      </c>
      <c r="G155" t="inlineStr">
        <is>
          <t>EMMABODA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50500-2022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44861</v>
      </c>
      <c r="E156" s="1" t="n">
        <v>46277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46277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46277</v>
      </c>
      <c r="F158" t="inlineStr">
        <is>
          <t>KALMAR LÄN</t>
        </is>
      </c>
      <c r="G158" t="inlineStr">
        <is>
          <t>EMMABODA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45474</v>
      </c>
      <c r="E159" s="1" t="n">
        <v>46277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46277</v>
      </c>
      <c r="F160" t="inlineStr">
        <is>
          <t>KALMAR LÄN</t>
        </is>
      </c>
      <c r="G160" t="inlineStr">
        <is>
          <t>EMMABODA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45477</v>
      </c>
      <c r="E161" s="1" t="n">
        <v>46277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45514</v>
      </c>
      <c r="E162" s="1" t="n">
        <v>46277</v>
      </c>
      <c r="F162" t="inlineStr">
        <is>
          <t>KALMAR LÄN</t>
        </is>
      </c>
      <c r="G162" t="inlineStr">
        <is>
          <t>EMMABODA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46277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46277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68940-2021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46277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66662-2021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46277</v>
      </c>
      <c r="F166" t="inlineStr">
        <is>
          <t>KALMAR LÄN</t>
        </is>
      </c>
      <c r="G166" t="inlineStr">
        <is>
          <t>EMMABODA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46277</v>
      </c>
      <c r="F167" t="inlineStr">
        <is>
          <t>KALMAR LÄN</t>
        </is>
      </c>
      <c r="G167" t="inlineStr">
        <is>
          <t>EMMABODA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46277</v>
      </c>
      <c r="F168" t="inlineStr">
        <is>
          <t>KALMAR LÄN</t>
        </is>
      </c>
      <c r="G168" t="inlineStr">
        <is>
          <t>EMMABODA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46277</v>
      </c>
      <c r="F169" t="inlineStr">
        <is>
          <t>KALMAR LÄN</t>
        </is>
      </c>
      <c r="G169" t="inlineStr">
        <is>
          <t>EMMABODA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73058-2021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44550</v>
      </c>
      <c r="E170" s="1" t="n">
        <v>46277</v>
      </c>
      <c r="F170" t="inlineStr">
        <is>
          <t>KALMAR LÄN</t>
        </is>
      </c>
      <c r="G170" t="inlineStr">
        <is>
          <t>EMMABODA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46277</v>
      </c>
      <c r="F171" t="inlineStr">
        <is>
          <t>KALMAR LÄN</t>
        </is>
      </c>
      <c r="G171" t="inlineStr">
        <is>
          <t>EMMABODA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46277</v>
      </c>
      <c r="F172" t="inlineStr">
        <is>
          <t>KALMAR LÄN</t>
        </is>
      </c>
      <c r="G172" t="inlineStr">
        <is>
          <t>EMMABODA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46277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46277</v>
      </c>
      <c r="F174" t="inlineStr">
        <is>
          <t>KALMAR LÄN</t>
        </is>
      </c>
      <c r="G174" t="inlineStr">
        <is>
          <t>EMMABODA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46277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46277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46277</v>
      </c>
      <c r="F177" t="inlineStr">
        <is>
          <t>KALMAR LÄN</t>
        </is>
      </c>
      <c r="G177" t="inlineStr">
        <is>
          <t>EMMABODA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44683</v>
      </c>
      <c r="E178" s="1" t="n">
        <v>46277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46277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46277</v>
      </c>
      <c r="F180" t="inlineStr">
        <is>
          <t>KALMAR LÄN</t>
        </is>
      </c>
      <c r="G180" t="inlineStr">
        <is>
          <t>EMMABODA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46277</v>
      </c>
      <c r="F181" t="inlineStr">
        <is>
          <t>KALMAR LÄN</t>
        </is>
      </c>
      <c r="G181" t="inlineStr">
        <is>
          <t>EMMABODA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12014-2023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44995</v>
      </c>
      <c r="E182" s="1" t="n">
        <v>46277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46277</v>
      </c>
      <c r="F183" t="inlineStr">
        <is>
          <t>KALMAR LÄN</t>
        </is>
      </c>
      <c r="G183" t="inlineStr">
        <is>
          <t>EMMABODA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46277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46277</v>
      </c>
      <c r="F185" t="inlineStr">
        <is>
          <t>KALMAR LÄN</t>
        </is>
      </c>
      <c r="G185" t="inlineStr">
        <is>
          <t>EMMABODA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46277</v>
      </c>
      <c r="F186" t="inlineStr">
        <is>
          <t>KALMAR LÄN</t>
        </is>
      </c>
      <c r="G186" t="inlineStr">
        <is>
          <t>EMMABODA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46277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46277</v>
      </c>
      <c r="F188" t="inlineStr">
        <is>
          <t>KALMAR LÄN</t>
        </is>
      </c>
      <c r="G188" t="inlineStr">
        <is>
          <t>EMMABODA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46277</v>
      </c>
      <c r="F189" t="inlineStr">
        <is>
          <t>KALMAR LÄN</t>
        </is>
      </c>
      <c r="G189" t="inlineStr">
        <is>
          <t>EMMABODA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45022</v>
      </c>
      <c r="E190" s="1" t="n">
        <v>46277</v>
      </c>
      <c r="F190" t="inlineStr">
        <is>
          <t>KALMAR LÄN</t>
        </is>
      </c>
      <c r="G190" t="inlineStr">
        <is>
          <t>EMMABODA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44839</v>
      </c>
      <c r="E191" s="1" t="n">
        <v>46277</v>
      </c>
      <c r="F191" t="inlineStr">
        <is>
          <t>KALMAR LÄN</t>
        </is>
      </c>
      <c r="G191" t="inlineStr">
        <is>
          <t>EMMABODA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44955</v>
      </c>
      <c r="E192" s="1" t="n">
        <v>46277</v>
      </c>
      <c r="F192" t="inlineStr">
        <is>
          <t>KALMAR LÄN</t>
        </is>
      </c>
      <c r="G192" t="inlineStr">
        <is>
          <t>EMMABODA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46277</v>
      </c>
      <c r="F193" t="inlineStr">
        <is>
          <t>KALMAR LÄN</t>
        </is>
      </c>
      <c r="G193" t="inlineStr">
        <is>
          <t>EMMABODA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46277</v>
      </c>
      <c r="F194" t="inlineStr">
        <is>
          <t>KALMAR LÄN</t>
        </is>
      </c>
      <c r="G194" t="inlineStr">
        <is>
          <t>EMMABODA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46277</v>
      </c>
      <c r="F195" t="inlineStr">
        <is>
          <t>KALMAR LÄN</t>
        </is>
      </c>
      <c r="G195" t="inlineStr">
        <is>
          <t>EMMABODA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46277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46277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46277</v>
      </c>
      <c r="F198" t="inlineStr">
        <is>
          <t>KALMAR LÄN</t>
        </is>
      </c>
      <c r="G198" t="inlineStr">
        <is>
          <t>EMMABODA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46277</v>
      </c>
      <c r="F199" t="inlineStr">
        <is>
          <t>KALMAR LÄN</t>
        </is>
      </c>
      <c r="G199" t="inlineStr">
        <is>
          <t>EMMABODA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46277</v>
      </c>
      <c r="F200" t="inlineStr">
        <is>
          <t>KALMAR LÄN</t>
        </is>
      </c>
      <c r="G200" t="inlineStr">
        <is>
          <t>EMMABODA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46277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46277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46277</v>
      </c>
      <c r="F203" t="inlineStr">
        <is>
          <t>KALMAR LÄN</t>
        </is>
      </c>
      <c r="G203" t="inlineStr">
        <is>
          <t>EMMABODA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45040</v>
      </c>
      <c r="E204" s="1" t="n">
        <v>46277</v>
      </c>
      <c r="F204" t="inlineStr">
        <is>
          <t>KALMAR LÄN</t>
        </is>
      </c>
      <c r="G204" t="inlineStr">
        <is>
          <t>EMMABODA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46277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46277</v>
      </c>
      <c r="F206" t="inlineStr">
        <is>
          <t>KALMAR LÄN</t>
        </is>
      </c>
      <c r="G206" t="inlineStr">
        <is>
          <t>EMMABODA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46277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46277</v>
      </c>
      <c r="F208" t="inlineStr">
        <is>
          <t>KALMAR LÄN</t>
        </is>
      </c>
      <c r="G208" t="inlineStr">
        <is>
          <t>EMMABODA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44995</v>
      </c>
      <c r="E209" s="1" t="n">
        <v>46277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46277</v>
      </c>
      <c r="F210" t="inlineStr">
        <is>
          <t>KALMAR LÄN</t>
        </is>
      </c>
      <c r="G210" t="inlineStr">
        <is>
          <t>EMMABODA</t>
        </is>
      </c>
      <c r="H210" t="inlineStr">
        <is>
          <t>Kommuner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46277</v>
      </c>
      <c r="F211" t="inlineStr">
        <is>
          <t>KALMAR LÄN</t>
        </is>
      </c>
      <c r="G211" t="inlineStr">
        <is>
          <t>EMMABODA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46277</v>
      </c>
      <c r="F212" t="inlineStr">
        <is>
          <t>KALMAR LÄN</t>
        </is>
      </c>
      <c r="G212" t="inlineStr">
        <is>
          <t>EMMABODA</t>
        </is>
      </c>
      <c r="H212" t="inlineStr">
        <is>
          <t>Kyrkan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46277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67543-2021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46277</v>
      </c>
      <c r="F214" t="inlineStr">
        <is>
          <t>KALMAR LÄN</t>
        </is>
      </c>
      <c r="G214" t="inlineStr">
        <is>
          <t>EMMABODA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46277</v>
      </c>
      <c r="F215" t="inlineStr">
        <is>
          <t>KALMAR LÄN</t>
        </is>
      </c>
      <c r="G215" t="inlineStr">
        <is>
          <t>EMMABODA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46277</v>
      </c>
      <c r="F216" t="inlineStr">
        <is>
          <t>KALMAR LÄN</t>
        </is>
      </c>
      <c r="G216" t="inlineStr">
        <is>
          <t>EMMABODA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46277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46277</v>
      </c>
      <c r="F218" t="inlineStr">
        <is>
          <t>KALMAR LÄN</t>
        </is>
      </c>
      <c r="G218" t="inlineStr">
        <is>
          <t>EMMABODA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46277</v>
      </c>
      <c r="F219" t="inlineStr">
        <is>
          <t>KALMAR LÄN</t>
        </is>
      </c>
      <c r="G219" t="inlineStr">
        <is>
          <t>EMMABODA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46277</v>
      </c>
      <c r="F220" t="inlineStr">
        <is>
          <t>KALMAR LÄN</t>
        </is>
      </c>
      <c r="G220" t="inlineStr">
        <is>
          <t>EMMABODA</t>
        </is>
      </c>
      <c r="H220" t="inlineStr">
        <is>
          <t>Kyrkan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46277</v>
      </c>
      <c r="F221" t="inlineStr">
        <is>
          <t>KALMAR LÄN</t>
        </is>
      </c>
      <c r="G221" t="inlineStr">
        <is>
          <t>EMMABODA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44690</v>
      </c>
      <c r="E222" s="1" t="n">
        <v>46277</v>
      </c>
      <c r="F222" t="inlineStr">
        <is>
          <t>KALMAR LÄN</t>
        </is>
      </c>
      <c r="G222" t="inlineStr">
        <is>
          <t>EMMABODA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46277</v>
      </c>
      <c r="F223" t="inlineStr">
        <is>
          <t>KALMAR LÄN</t>
        </is>
      </c>
      <c r="G223" t="inlineStr">
        <is>
          <t>EMMABODA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45021</v>
      </c>
      <c r="E224" s="1" t="n">
        <v>46277</v>
      </c>
      <c r="F224" t="inlineStr">
        <is>
          <t>KALMAR LÄN</t>
        </is>
      </c>
      <c r="G224" t="inlineStr">
        <is>
          <t>EMMABODA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46277</v>
      </c>
      <c r="F225" t="inlineStr">
        <is>
          <t>KALMAR LÄN</t>
        </is>
      </c>
      <c r="G225" t="inlineStr">
        <is>
          <t>EMMABODA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46277</v>
      </c>
      <c r="F226" t="inlineStr">
        <is>
          <t>KALMAR LÄN</t>
        </is>
      </c>
      <c r="G226" t="inlineStr">
        <is>
          <t>EMMABODA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45700</v>
      </c>
      <c r="E227" s="1" t="n">
        <v>46277</v>
      </c>
      <c r="F227" t="inlineStr">
        <is>
          <t>KALMAR LÄN</t>
        </is>
      </c>
      <c r="G227" t="inlineStr">
        <is>
          <t>EMMABODA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46277</v>
      </c>
      <c r="F228" t="inlineStr">
        <is>
          <t>KALMAR LÄN</t>
        </is>
      </c>
      <c r="G228" t="inlineStr">
        <is>
          <t>EMMABODA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46277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46277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46277</v>
      </c>
      <c r="F231" t="inlineStr">
        <is>
          <t>KALMAR LÄN</t>
        </is>
      </c>
      <c r="G231" t="inlineStr">
        <is>
          <t>EMMABODA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46277</v>
      </c>
      <c r="F232" t="inlineStr">
        <is>
          <t>KALMAR LÄN</t>
        </is>
      </c>
      <c r="G232" t="inlineStr">
        <is>
          <t>EMMABODA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34055-2025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45845</v>
      </c>
      <c r="E233" s="1" t="n">
        <v>46277</v>
      </c>
      <c r="F233" t="inlineStr">
        <is>
          <t>KALMAR LÄN</t>
        </is>
      </c>
      <c r="G233" t="inlineStr">
        <is>
          <t>EMMABODA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46277</v>
      </c>
      <c r="F234" t="inlineStr">
        <is>
          <t>KALMAR LÄN</t>
        </is>
      </c>
      <c r="G234" t="inlineStr">
        <is>
          <t>EMMABODA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28600-2022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44748</v>
      </c>
      <c r="E235" s="1" t="n">
        <v>46277</v>
      </c>
      <c r="F235" t="inlineStr">
        <is>
          <t>KALMAR LÄN</t>
        </is>
      </c>
      <c r="G235" t="inlineStr">
        <is>
          <t>EMMABODA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45062</v>
      </c>
      <c r="E236" s="1" t="n">
        <v>46277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46277</v>
      </c>
      <c r="F237" t="inlineStr">
        <is>
          <t>KALMAR LÄN</t>
        </is>
      </c>
      <c r="G237" t="inlineStr">
        <is>
          <t>EMMABODA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45772</v>
      </c>
      <c r="E238" s="1" t="n">
        <v>46277</v>
      </c>
      <c r="F238" t="inlineStr">
        <is>
          <t>KALMAR LÄN</t>
        </is>
      </c>
      <c r="G238" t="inlineStr">
        <is>
          <t>EMMABODA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46277</v>
      </c>
      <c r="F239" t="inlineStr">
        <is>
          <t>KALMAR LÄN</t>
        </is>
      </c>
      <c r="G239" t="inlineStr">
        <is>
          <t>EMMABODA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45191</v>
      </c>
      <c r="E240" s="1" t="n">
        <v>46277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46277</v>
      </c>
      <c r="F241" t="inlineStr">
        <is>
          <t>KALMAR LÄN</t>
        </is>
      </c>
      <c r="G241" t="inlineStr">
        <is>
          <t>EMMABODA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46277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45095</v>
      </c>
      <c r="E243" s="1" t="n">
        <v>46277</v>
      </c>
      <c r="F243" t="inlineStr">
        <is>
          <t>KALMAR LÄN</t>
        </is>
      </c>
      <c r="G243" t="inlineStr">
        <is>
          <t>EMMABODA</t>
        </is>
      </c>
      <c r="I243" t="n">
        <v>11.3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45851</v>
      </c>
      <c r="E244" s="1" t="n">
        <v>46277</v>
      </c>
      <c r="F244" t="inlineStr">
        <is>
          <t>KALMAR LÄN</t>
        </is>
      </c>
      <c r="G244" t="inlineStr">
        <is>
          <t>EMMABODA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45851</v>
      </c>
      <c r="E245" s="1" t="n">
        <v>46277</v>
      </c>
      <c r="F245" t="inlineStr">
        <is>
          <t>KALMAR LÄN</t>
        </is>
      </c>
      <c r="G245" t="inlineStr">
        <is>
          <t>EMMABODA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46277</v>
      </c>
      <c r="F246" t="inlineStr">
        <is>
          <t>KALMAR LÄN</t>
        </is>
      </c>
      <c r="G246" t="inlineStr">
        <is>
          <t>EMMABODA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46277</v>
      </c>
      <c r="F247" t="inlineStr">
        <is>
          <t>KALMAR LÄN</t>
        </is>
      </c>
      <c r="G247" t="inlineStr">
        <is>
          <t>EMMABODA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46277</v>
      </c>
      <c r="F248" t="inlineStr">
        <is>
          <t>KALMAR LÄN</t>
        </is>
      </c>
      <c r="G248" t="inlineStr">
        <is>
          <t>EMMABODA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46277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46277</v>
      </c>
      <c r="F250" t="inlineStr">
        <is>
          <t>KALMAR LÄN</t>
        </is>
      </c>
      <c r="G250" t="inlineStr">
        <is>
          <t>EMMABODA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46277</v>
      </c>
      <c r="F251" t="inlineStr">
        <is>
          <t>KALMAR LÄN</t>
        </is>
      </c>
      <c r="G251" t="inlineStr">
        <is>
          <t>EMMABODA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46277</v>
      </c>
      <c r="F252" t="inlineStr">
        <is>
          <t>KALMAR LÄN</t>
        </is>
      </c>
      <c r="G252" t="inlineStr">
        <is>
          <t>EMMABODA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46277</v>
      </c>
      <c r="F253" t="inlineStr">
        <is>
          <t>KALMAR LÄN</t>
        </is>
      </c>
      <c r="G253" t="inlineStr">
        <is>
          <t>EMMABODA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45422</v>
      </c>
      <c r="E254" s="1" t="n">
        <v>46277</v>
      </c>
      <c r="F254" t="inlineStr">
        <is>
          <t>KALMAR LÄN</t>
        </is>
      </c>
      <c r="G254" t="inlineStr">
        <is>
          <t>EMMABODA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46277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46277</v>
      </c>
      <c r="F256" t="inlineStr">
        <is>
          <t>KALMAR LÄN</t>
        </is>
      </c>
      <c r="G256" t="inlineStr">
        <is>
          <t>EMMABODA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46277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35592-2025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45857</v>
      </c>
      <c r="E258" s="1" t="n">
        <v>46277</v>
      </c>
      <c r="F258" t="inlineStr">
        <is>
          <t>KALMAR LÄN</t>
        </is>
      </c>
      <c r="G258" t="inlineStr">
        <is>
          <t>EMMABODA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46277</v>
      </c>
      <c r="F259" t="inlineStr">
        <is>
          <t>KALMAR LÄN</t>
        </is>
      </c>
      <c r="G259" t="inlineStr">
        <is>
          <t>EMMABODA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46277</v>
      </c>
      <c r="F260" t="inlineStr">
        <is>
          <t>KALMAR LÄN</t>
        </is>
      </c>
      <c r="G260" t="inlineStr">
        <is>
          <t>EMMABODA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45355</v>
      </c>
      <c r="E261" s="1" t="n">
        <v>46277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46277</v>
      </c>
      <c r="F262" t="inlineStr">
        <is>
          <t>KALMAR LÄN</t>
        </is>
      </c>
      <c r="G262" t="inlineStr">
        <is>
          <t>EMMABODA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44700</v>
      </c>
      <c r="E263" s="1" t="n">
        <v>46277</v>
      </c>
      <c r="F263" t="inlineStr">
        <is>
          <t>KALMAR LÄN</t>
        </is>
      </c>
      <c r="G263" t="inlineStr">
        <is>
          <t>EMMABODA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45863</v>
      </c>
      <c r="E264" s="1" t="n">
        <v>46277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45790</v>
      </c>
      <c r="E265" s="1" t="n">
        <v>46277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46277</v>
      </c>
      <c r="F266" t="inlineStr">
        <is>
          <t>KALMAR LÄN</t>
        </is>
      </c>
      <c r="G266" t="inlineStr">
        <is>
          <t>EMMABODA</t>
        </is>
      </c>
      <c r="H266" t="inlineStr">
        <is>
          <t>Kyrkan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45230</v>
      </c>
      <c r="E267" s="1" t="n">
        <v>46277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46277</v>
      </c>
      <c r="F268" t="inlineStr">
        <is>
          <t>KALMAR LÄN</t>
        </is>
      </c>
      <c r="G268" t="inlineStr">
        <is>
          <t>EMMABODA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46277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46277</v>
      </c>
      <c r="F270" t="inlineStr">
        <is>
          <t>KALMAR LÄN</t>
        </is>
      </c>
      <c r="G270" t="inlineStr">
        <is>
          <t>EMMABODA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46277</v>
      </c>
      <c r="F271" t="inlineStr">
        <is>
          <t>KALMAR LÄN</t>
        </is>
      </c>
      <c r="G271" t="inlineStr">
        <is>
          <t>EMMABODA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46277</v>
      </c>
      <c r="F272" t="inlineStr">
        <is>
          <t>KALMAR LÄN</t>
        </is>
      </c>
      <c r="G272" t="inlineStr">
        <is>
          <t>EMMABODA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44852</v>
      </c>
      <c r="E273" s="1" t="n">
        <v>46277</v>
      </c>
      <c r="F273" t="inlineStr">
        <is>
          <t>KALMAR LÄN</t>
        </is>
      </c>
      <c r="G273" t="inlineStr">
        <is>
          <t>EMMABODA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45258</v>
      </c>
      <c r="E274" s="1" t="n">
        <v>46277</v>
      </c>
      <c r="F274" t="inlineStr">
        <is>
          <t>KALMAR LÄN</t>
        </is>
      </c>
      <c r="G274" t="inlineStr">
        <is>
          <t>EMMABODA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46277</v>
      </c>
      <c r="F275" t="inlineStr">
        <is>
          <t>KALMAR LÄN</t>
        </is>
      </c>
      <c r="G275" t="inlineStr">
        <is>
          <t>EMMABODA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46277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45009</v>
      </c>
      <c r="E277" s="1" t="n">
        <v>46277</v>
      </c>
      <c r="F277" t="inlineStr">
        <is>
          <t>KALMAR LÄN</t>
        </is>
      </c>
      <c r="G277" t="inlineStr">
        <is>
          <t>EMMABODA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46277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45921</v>
      </c>
      <c r="E279" s="1" t="n">
        <v>46277</v>
      </c>
      <c r="F279" t="inlineStr">
        <is>
          <t>KALMAR LÄN</t>
        </is>
      </c>
      <c r="G279" t="inlineStr">
        <is>
          <t>EMMABODA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44922</v>
      </c>
      <c r="E280" s="1" t="n">
        <v>46277</v>
      </c>
      <c r="F280" t="inlineStr">
        <is>
          <t>KALMAR LÄN</t>
        </is>
      </c>
      <c r="G280" t="inlineStr">
        <is>
          <t>EMMABODA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27676-2022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44743</v>
      </c>
      <c r="E281" s="1" t="n">
        <v>46277</v>
      </c>
      <c r="F281" t="inlineStr">
        <is>
          <t>KALMAR LÄN</t>
        </is>
      </c>
      <c r="G281" t="inlineStr">
        <is>
          <t>EMMABODA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45881</v>
      </c>
      <c r="E282" s="1" t="n">
        <v>46277</v>
      </c>
      <c r="F282" t="inlineStr">
        <is>
          <t>KALMAR LÄN</t>
        </is>
      </c>
      <c r="G282" t="inlineStr">
        <is>
          <t>EMMABODA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46277</v>
      </c>
      <c r="F283" t="inlineStr">
        <is>
          <t>KALMAR LÄN</t>
        </is>
      </c>
      <c r="G283" t="inlineStr">
        <is>
          <t>EMMABODA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46277</v>
      </c>
      <c r="F284" t="inlineStr">
        <is>
          <t>KALMAR LÄN</t>
        </is>
      </c>
      <c r="G284" t="inlineStr">
        <is>
          <t>EMMABODA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54085-2024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46277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45229</v>
      </c>
      <c r="E286" s="1" t="n">
        <v>46277</v>
      </c>
      <c r="F286" t="inlineStr">
        <is>
          <t>KALMAR LÄN</t>
        </is>
      </c>
      <c r="G286" t="inlineStr">
        <is>
          <t>EMMABODA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45515</v>
      </c>
      <c r="E287" s="1" t="n">
        <v>46277</v>
      </c>
      <c r="F287" t="inlineStr">
        <is>
          <t>KALMAR LÄN</t>
        </is>
      </c>
      <c r="G287" t="inlineStr">
        <is>
          <t>EMMABODA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46277</v>
      </c>
      <c r="F288" t="inlineStr">
        <is>
          <t>KALMAR LÄN</t>
        </is>
      </c>
      <c r="G288" t="inlineStr">
        <is>
          <t>EMMABODA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46277</v>
      </c>
      <c r="F289" t="inlineStr">
        <is>
          <t>KALMAR LÄN</t>
        </is>
      </c>
      <c r="G289" t="inlineStr">
        <is>
          <t>EMMABODA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46277</v>
      </c>
      <c r="F290" t="inlineStr">
        <is>
          <t>KALMAR LÄN</t>
        </is>
      </c>
      <c r="G290" t="inlineStr">
        <is>
          <t>EMMABODA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54482-2021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44473</v>
      </c>
      <c r="E291" s="1" t="n">
        <v>46277</v>
      </c>
      <c r="F291" t="inlineStr">
        <is>
          <t>KALMAR LÄN</t>
        </is>
      </c>
      <c r="G291" t="inlineStr">
        <is>
          <t>EMMABODA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46277</v>
      </c>
      <c r="F292" t="inlineStr">
        <is>
          <t>KALMAR LÄN</t>
        </is>
      </c>
      <c r="G292" t="inlineStr">
        <is>
          <t>EMMABODA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46277</v>
      </c>
      <c r="F293" t="inlineStr">
        <is>
          <t>KALMAR LÄN</t>
        </is>
      </c>
      <c r="G293" t="inlineStr">
        <is>
          <t>EMMABODA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46085</v>
      </c>
      <c r="E294" s="1" t="n">
        <v>46277</v>
      </c>
      <c r="F294" t="inlineStr">
        <is>
          <t>KALMAR LÄN</t>
        </is>
      </c>
      <c r="G294" t="inlineStr">
        <is>
          <t>EMMABODA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46277</v>
      </c>
      <c r="F295" t="inlineStr">
        <is>
          <t>KALMAR LÄN</t>
        </is>
      </c>
      <c r="G295" t="inlineStr">
        <is>
          <t>EMMABODA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46277</v>
      </c>
      <c r="F296" t="inlineStr">
        <is>
          <t>KALMAR LÄN</t>
        </is>
      </c>
      <c r="G296" t="inlineStr">
        <is>
          <t>EMMABODA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46277</v>
      </c>
      <c r="F297" t="inlineStr">
        <is>
          <t>KALMAR LÄN</t>
        </is>
      </c>
      <c r="G297" t="inlineStr">
        <is>
          <t>EMMABODA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46277</v>
      </c>
      <c r="F298" t="inlineStr">
        <is>
          <t>KALMAR LÄN</t>
        </is>
      </c>
      <c r="G298" t="inlineStr">
        <is>
          <t>EMMABODA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46277</v>
      </c>
      <c r="F299" t="inlineStr">
        <is>
          <t>KALMAR LÄN</t>
        </is>
      </c>
      <c r="G299" t="inlineStr">
        <is>
          <t>EMMABODA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45614</v>
      </c>
      <c r="E300" s="1" t="n">
        <v>46277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46277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46085</v>
      </c>
      <c r="E302" s="1" t="n">
        <v>46277</v>
      </c>
      <c r="F302" t="inlineStr">
        <is>
          <t>KALMAR LÄN</t>
        </is>
      </c>
      <c r="G302" t="inlineStr">
        <is>
          <t>EMMABODA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46277</v>
      </c>
      <c r="F303" t="inlineStr">
        <is>
          <t>KALMAR LÄN</t>
        </is>
      </c>
      <c r="G303" t="inlineStr">
        <is>
          <t>EMMABODA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49726-2024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46277</v>
      </c>
      <c r="F304" t="inlineStr">
        <is>
          <t>KALMAR LÄN</t>
        </is>
      </c>
      <c r="G304" t="inlineStr">
        <is>
          <t>EMMABODA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45102</v>
      </c>
      <c r="E305" s="1" t="n">
        <v>46277</v>
      </c>
      <c r="F305" t="inlineStr">
        <is>
          <t>KALMAR LÄN</t>
        </is>
      </c>
      <c r="G305" t="inlineStr">
        <is>
          <t>EMMABODA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46277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46277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46277</v>
      </c>
      <c r="F308" t="inlineStr">
        <is>
          <t>KALMAR LÄN</t>
        </is>
      </c>
      <c r="G308" t="inlineStr">
        <is>
          <t>EMMABODA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32242-2022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44781</v>
      </c>
      <c r="E309" s="1" t="n">
        <v>46277</v>
      </c>
      <c r="F309" t="inlineStr">
        <is>
          <t>KALMAR LÄN</t>
        </is>
      </c>
      <c r="G309" t="inlineStr">
        <is>
          <t>EMMABODA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46277</v>
      </c>
      <c r="F310" t="inlineStr">
        <is>
          <t>KALMAR LÄN</t>
        </is>
      </c>
      <c r="G310" t="inlineStr">
        <is>
          <t>EMMABODA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46277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30460-2022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46277</v>
      </c>
      <c r="F312" t="inlineStr">
        <is>
          <t>KALMAR LÄN</t>
        </is>
      </c>
      <c r="G312" t="inlineStr">
        <is>
          <t>EMMABODA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46277</v>
      </c>
      <c r="F313" t="inlineStr">
        <is>
          <t>KALMAR LÄN</t>
        </is>
      </c>
      <c r="G313" t="inlineStr">
        <is>
          <t>EMMABODA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46277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44683</v>
      </c>
      <c r="E315" s="1" t="n">
        <v>46277</v>
      </c>
      <c r="F315" t="inlineStr">
        <is>
          <t>KALMAR LÄN</t>
        </is>
      </c>
      <c r="G315" t="inlineStr">
        <is>
          <t>EMMABODA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46277</v>
      </c>
      <c r="F316" t="inlineStr">
        <is>
          <t>KALMAR LÄN</t>
        </is>
      </c>
      <c r="G316" t="inlineStr">
        <is>
          <t>EMMABODA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46277</v>
      </c>
      <c r="F317" t="inlineStr">
        <is>
          <t>KALMAR LÄN</t>
        </is>
      </c>
      <c r="G317" t="inlineStr">
        <is>
          <t>EMMABODA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45445</v>
      </c>
      <c r="E318" s="1" t="n">
        <v>46277</v>
      </c>
      <c r="F318" t="inlineStr">
        <is>
          <t>KALMAR LÄN</t>
        </is>
      </c>
      <c r="G318" t="inlineStr">
        <is>
          <t>EMMABODA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15787-2023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45021</v>
      </c>
      <c r="E319" s="1" t="n">
        <v>46277</v>
      </c>
      <c r="F319" t="inlineStr">
        <is>
          <t>KALMAR LÄN</t>
        </is>
      </c>
      <c r="G319" t="inlineStr">
        <is>
          <t>EMMABODA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46277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45067</v>
      </c>
      <c r="E321" s="1" t="n">
        <v>46277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46277</v>
      </c>
      <c r="F322" t="inlineStr">
        <is>
          <t>KALMAR LÄN</t>
        </is>
      </c>
      <c r="G322" t="inlineStr">
        <is>
          <t>EMMABODA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46277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46277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46277</v>
      </c>
      <c r="F325" t="inlineStr">
        <is>
          <t>KALMAR LÄN</t>
        </is>
      </c>
      <c r="G325" t="inlineStr">
        <is>
          <t>EMMABODA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15502-2026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46277</v>
      </c>
      <c r="F326" t="inlineStr">
        <is>
          <t>KALMAR LÄN</t>
        </is>
      </c>
      <c r="G326" t="inlineStr">
        <is>
          <t>EMMABODA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46277</v>
      </c>
      <c r="F327" t="inlineStr">
        <is>
          <t>KALMAR LÄN</t>
        </is>
      </c>
      <c r="G327" t="inlineStr">
        <is>
          <t>EMMABODA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16236-2023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45028</v>
      </c>
      <c r="E328" s="1" t="n">
        <v>46277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54983-2025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45967</v>
      </c>
      <c r="E329" s="1" t="n">
        <v>46277</v>
      </c>
      <c r="F329" t="inlineStr">
        <is>
          <t>KALMAR LÄN</t>
        </is>
      </c>
      <c r="G329" t="inlineStr">
        <is>
          <t>EMMABODA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54982-2025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45967</v>
      </c>
      <c r="E330" s="1" t="n">
        <v>46277</v>
      </c>
      <c r="F330" t="inlineStr">
        <is>
          <t>KALMAR LÄN</t>
        </is>
      </c>
      <c r="G330" t="inlineStr">
        <is>
          <t>EMMABODA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45772</v>
      </c>
      <c r="E331" s="1" t="n">
        <v>46277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46277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45200</v>
      </c>
      <c r="E333" s="1" t="n">
        <v>46277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46277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66333-2021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44518</v>
      </c>
      <c r="E335" s="1" t="n">
        <v>46277</v>
      </c>
      <c r="F335" t="inlineStr">
        <is>
          <t>KALMAR LÄN</t>
        </is>
      </c>
      <c r="G335" t="inlineStr">
        <is>
          <t>EMMABODA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46277</v>
      </c>
      <c r="F336" t="inlineStr">
        <is>
          <t>KALMAR LÄN</t>
        </is>
      </c>
      <c r="G336" t="inlineStr">
        <is>
          <t>EMMABODA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46277</v>
      </c>
      <c r="F337" t="inlineStr">
        <is>
          <t>KALMAR LÄN</t>
        </is>
      </c>
      <c r="G337" t="inlineStr">
        <is>
          <t>EMMABODA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44879</v>
      </c>
      <c r="E338" s="1" t="n">
        <v>46277</v>
      </c>
      <c r="F338" t="inlineStr">
        <is>
          <t>KALMAR LÄN</t>
        </is>
      </c>
      <c r="G338" t="inlineStr">
        <is>
          <t>EMMABODA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46277</v>
      </c>
      <c r="F339" t="inlineStr">
        <is>
          <t>KALMAR LÄN</t>
        </is>
      </c>
      <c r="G339" t="inlineStr">
        <is>
          <t>EMMABODA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46277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17415-2026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46277</v>
      </c>
      <c r="F341" t="inlineStr">
        <is>
          <t>KALMAR LÄN</t>
        </is>
      </c>
      <c r="G341" t="inlineStr">
        <is>
          <t>EMMABODA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46277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46277</v>
      </c>
      <c r="F343" t="inlineStr">
        <is>
          <t>KALMAR LÄN</t>
        </is>
      </c>
      <c r="G343" t="inlineStr">
        <is>
          <t>EMMABODA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67538-2021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44524</v>
      </c>
      <c r="E344" s="1" t="n">
        <v>46277</v>
      </c>
      <c r="F344" t="inlineStr">
        <is>
          <t>KALMAR LÄN</t>
        </is>
      </c>
      <c r="G344" t="inlineStr">
        <is>
          <t>EMMABODA</t>
        </is>
      </c>
      <c r="I344" t="n">
        <v>11.6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45415</v>
      </c>
      <c r="E345" s="1" t="n">
        <v>46277</v>
      </c>
      <c r="F345" t="inlineStr">
        <is>
          <t>KALMAR LÄN</t>
        </is>
      </c>
      <c r="G345" t="inlineStr">
        <is>
          <t>EMMABODA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46277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46277</v>
      </c>
      <c r="F347" t="inlineStr">
        <is>
          <t>KALMAR LÄN</t>
        </is>
      </c>
      <c r="G347" t="inlineStr">
        <is>
          <t>EMMABODA</t>
        </is>
      </c>
      <c r="H347" t="inlineStr">
        <is>
          <t>Kommuner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45755</v>
      </c>
      <c r="E348" s="1" t="n">
        <v>46277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46277</v>
      </c>
      <c r="F349" t="inlineStr">
        <is>
          <t>KALMAR LÄN</t>
        </is>
      </c>
      <c r="G349" t="inlineStr">
        <is>
          <t>EMMABODA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45772</v>
      </c>
      <c r="E350" s="1" t="n">
        <v>46277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45049</v>
      </c>
      <c r="E351" s="1" t="n">
        <v>46277</v>
      </c>
      <c r="F351" t="inlineStr">
        <is>
          <t>KALMAR LÄN</t>
        </is>
      </c>
      <c r="G351" t="inlineStr">
        <is>
          <t>EMMABODA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18437-2026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46127</v>
      </c>
      <c r="E352" s="1" t="n">
        <v>46277</v>
      </c>
      <c r="F352" t="inlineStr">
        <is>
          <t>KALMAR LÄN</t>
        </is>
      </c>
      <c r="G352" t="inlineStr">
        <is>
          <t>EMMABODA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18444-2026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46127</v>
      </c>
      <c r="E353" s="1" t="n">
        <v>46277</v>
      </c>
      <c r="F353" t="inlineStr">
        <is>
          <t>KALMAR LÄN</t>
        </is>
      </c>
      <c r="G353" t="inlineStr">
        <is>
          <t>EMMABODA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46277</v>
      </c>
      <c r="F354" t="inlineStr">
        <is>
          <t>KALMAR LÄN</t>
        </is>
      </c>
      <c r="G354" t="inlineStr">
        <is>
          <t>EMMABODA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46277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46277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46277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46277</v>
      </c>
      <c r="F358" t="inlineStr">
        <is>
          <t>KALMAR LÄN</t>
        </is>
      </c>
      <c r="G358" t="inlineStr">
        <is>
          <t>EMMABODA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45986</v>
      </c>
      <c r="E359" s="1" t="n">
        <v>46277</v>
      </c>
      <c r="F359" t="inlineStr">
        <is>
          <t>KALMAR LÄN</t>
        </is>
      </c>
      <c r="G359" t="inlineStr">
        <is>
          <t>EMMABODA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46277</v>
      </c>
      <c r="F360" t="inlineStr">
        <is>
          <t>KALMAR LÄN</t>
        </is>
      </c>
      <c r="G360" t="inlineStr">
        <is>
          <t>EMMABODA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46277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46277</v>
      </c>
      <c r="F362" t="inlineStr">
        <is>
          <t>KALMAR LÄN</t>
        </is>
      </c>
      <c r="G362" t="inlineStr">
        <is>
          <t>EMMABODA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46277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46277</v>
      </c>
      <c r="F364" t="inlineStr">
        <is>
          <t>KALMAR LÄN</t>
        </is>
      </c>
      <c r="G364" t="inlineStr">
        <is>
          <t>EMMABODA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46277</v>
      </c>
      <c r="F365" t="inlineStr">
        <is>
          <t>KALMAR LÄN</t>
        </is>
      </c>
      <c r="G365" t="inlineStr">
        <is>
          <t>EMMABODA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46277</v>
      </c>
      <c r="F366" t="inlineStr">
        <is>
          <t>KALMAR LÄN</t>
        </is>
      </c>
      <c r="G366" t="inlineStr">
        <is>
          <t>EMMABODA</t>
        </is>
      </c>
      <c r="H366" t="inlineStr">
        <is>
          <t>Sveaskog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45819</v>
      </c>
      <c r="E367" s="1" t="n">
        <v>46277</v>
      </c>
      <c r="F367" t="inlineStr">
        <is>
          <t>KALMAR LÄN</t>
        </is>
      </c>
      <c r="G367" t="inlineStr">
        <is>
          <t>EMMABODA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46277</v>
      </c>
      <c r="F368" t="inlineStr">
        <is>
          <t>KALMAR LÄN</t>
        </is>
      </c>
      <c r="G368" t="inlineStr">
        <is>
          <t>EMMABODA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44608</v>
      </c>
      <c r="E369" s="1" t="n">
        <v>46277</v>
      </c>
      <c r="F369" t="inlineStr">
        <is>
          <t>KALMAR LÄN</t>
        </is>
      </c>
      <c r="G369" t="inlineStr">
        <is>
          <t>EMMABODA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46277</v>
      </c>
      <c r="F370" t="inlineStr">
        <is>
          <t>KALMAR LÄN</t>
        </is>
      </c>
      <c r="G370" t="inlineStr">
        <is>
          <t>EMMABODA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46277</v>
      </c>
      <c r="F371" t="inlineStr">
        <is>
          <t>KALMAR LÄN</t>
        </is>
      </c>
      <c r="G371" t="inlineStr">
        <is>
          <t>EMMABODA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45349</v>
      </c>
      <c r="E372" s="1" t="n">
        <v>46277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45966</v>
      </c>
      <c r="E373" s="1" t="n">
        <v>46277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46277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44759</v>
      </c>
      <c r="E375" s="1" t="n">
        <v>46277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46277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45317</v>
      </c>
      <c r="E377" s="1" t="n">
        <v>46277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46277</v>
      </c>
      <c r="F378" t="inlineStr">
        <is>
          <t>KALMAR LÄN</t>
        </is>
      </c>
      <c r="G378" t="inlineStr">
        <is>
          <t>EMMABODA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46277</v>
      </c>
      <c r="F379" t="inlineStr">
        <is>
          <t>KALMAR LÄN</t>
        </is>
      </c>
      <c r="G379" t="inlineStr">
        <is>
          <t>EMMABODA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46277</v>
      </c>
      <c r="F380" t="inlineStr">
        <is>
          <t>KALMAR LÄN</t>
        </is>
      </c>
      <c r="G380" t="inlineStr">
        <is>
          <t>EMMABODA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46277</v>
      </c>
      <c r="F381" t="inlineStr">
        <is>
          <t>KALMAR LÄN</t>
        </is>
      </c>
      <c r="G381" t="inlineStr">
        <is>
          <t>EMMABODA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44993</v>
      </c>
      <c r="E382" s="1" t="n">
        <v>46277</v>
      </c>
      <c r="F382" t="inlineStr">
        <is>
          <t>KALMAR LÄN</t>
        </is>
      </c>
      <c r="G382" t="inlineStr">
        <is>
          <t>EMMABODA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46277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46277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46277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46277</v>
      </c>
      <c r="F386" t="inlineStr">
        <is>
          <t>KALMAR LÄN</t>
        </is>
      </c>
      <c r="G386" t="inlineStr">
        <is>
          <t>EMMABODA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45126</v>
      </c>
      <c r="E387" s="1" t="n">
        <v>46277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5345-2023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44959</v>
      </c>
      <c r="E388" s="1" t="n">
        <v>46277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46277</v>
      </c>
      <c r="F389" t="inlineStr">
        <is>
          <t>KALMAR LÄN</t>
        </is>
      </c>
      <c r="G389" t="inlineStr">
        <is>
          <t>EMMABODA</t>
        </is>
      </c>
      <c r="I389" t="n">
        <v>7.9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46277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45327</v>
      </c>
      <c r="E391" s="1" t="n">
        <v>46277</v>
      </c>
      <c r="F391" t="inlineStr">
        <is>
          <t>KALMAR LÄN</t>
        </is>
      </c>
      <c r="G391" t="inlineStr">
        <is>
          <t>EMMABODA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33067-2023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45126</v>
      </c>
      <c r="E392" s="1" t="n">
        <v>46277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45524</v>
      </c>
      <c r="E393" s="1" t="n">
        <v>46277</v>
      </c>
      <c r="F393" t="inlineStr">
        <is>
          <t>KALMAR LÄN</t>
        </is>
      </c>
      <c r="G393" t="inlineStr">
        <is>
          <t>EMMABODA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44728</v>
      </c>
      <c r="E394" s="1" t="n">
        <v>46277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45093</v>
      </c>
      <c r="E395" s="1" t="n">
        <v>46277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46277</v>
      </c>
      <c r="F396" t="inlineStr">
        <is>
          <t>KALMAR LÄN</t>
        </is>
      </c>
      <c r="G396" t="inlineStr">
        <is>
          <t>EMMABODA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44852</v>
      </c>
      <c r="E397" s="1" t="n">
        <v>46277</v>
      </c>
      <c r="F397" t="inlineStr">
        <is>
          <t>KALMAR LÄN</t>
        </is>
      </c>
      <c r="G397" t="inlineStr">
        <is>
          <t>EMMABODA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45121</v>
      </c>
      <c r="E398" s="1" t="n">
        <v>46277</v>
      </c>
      <c r="F398" t="inlineStr">
        <is>
          <t>KALMAR LÄN</t>
        </is>
      </c>
      <c r="G398" t="inlineStr">
        <is>
          <t>EMMABODA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46277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45341</v>
      </c>
      <c r="E400" s="1" t="n">
        <v>46277</v>
      </c>
      <c r="F400" t="inlineStr">
        <is>
          <t>KALMAR LÄN</t>
        </is>
      </c>
      <c r="G400" t="inlineStr">
        <is>
          <t>EMMABODA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46277</v>
      </c>
      <c r="F401" t="inlineStr">
        <is>
          <t>KALMAR LÄN</t>
        </is>
      </c>
      <c r="G401" t="inlineStr">
        <is>
          <t>EMMABODA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46277</v>
      </c>
      <c r="F402" t="inlineStr">
        <is>
          <t>KALMAR LÄN</t>
        </is>
      </c>
      <c r="G402" t="inlineStr">
        <is>
          <t>EMMABODA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44953</v>
      </c>
      <c r="E403" s="1" t="n">
        <v>46277</v>
      </c>
      <c r="F403" t="inlineStr">
        <is>
          <t>KALMAR LÄN</t>
        </is>
      </c>
      <c r="G403" t="inlineStr">
        <is>
          <t>EMMABODA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20430-2026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46277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44572</v>
      </c>
      <c r="E405" s="1" t="n">
        <v>46277</v>
      </c>
      <c r="F405" t="inlineStr">
        <is>
          <t>KALMAR LÄN</t>
        </is>
      </c>
      <c r="G405" t="inlineStr">
        <is>
          <t>EMMABODA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46277</v>
      </c>
      <c r="F406" t="inlineStr">
        <is>
          <t>KALMAR LÄN</t>
        </is>
      </c>
      <c r="G406" t="inlineStr">
        <is>
          <t>EMMABODA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45600</v>
      </c>
      <c r="E407" s="1" t="n">
        <v>46277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46277</v>
      </c>
      <c r="F408" t="inlineStr">
        <is>
          <t>KALMAR LÄN</t>
        </is>
      </c>
      <c r="G408" t="inlineStr">
        <is>
          <t>EMMABODA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45976</v>
      </c>
      <c r="E409" s="1" t="n">
        <v>46277</v>
      </c>
      <c r="F409" t="inlineStr">
        <is>
          <t>KALMAR LÄN</t>
        </is>
      </c>
      <c r="G409" t="inlineStr">
        <is>
          <t>EMMABODA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46277</v>
      </c>
      <c r="F410" t="inlineStr">
        <is>
          <t>KALMAR LÄN</t>
        </is>
      </c>
      <c r="G410" t="inlineStr">
        <is>
          <t>EMMABODA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46277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46277</v>
      </c>
      <c r="F412" t="inlineStr">
        <is>
          <t>KALMAR LÄN</t>
        </is>
      </c>
      <c r="G412" t="inlineStr">
        <is>
          <t>EMMABODA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46277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45003</v>
      </c>
      <c r="E414" s="1" t="n">
        <v>46277</v>
      </c>
      <c r="F414" t="inlineStr">
        <is>
          <t>KALMAR LÄN</t>
        </is>
      </c>
      <c r="G414" t="inlineStr">
        <is>
          <t>EMMABODA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44984</v>
      </c>
      <c r="E415" s="1" t="n">
        <v>46277</v>
      </c>
      <c r="F415" t="inlineStr">
        <is>
          <t>KALMAR LÄN</t>
        </is>
      </c>
      <c r="G415" t="inlineStr">
        <is>
          <t>EMMABODA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45019</v>
      </c>
      <c r="E416" s="1" t="n">
        <v>46277</v>
      </c>
      <c r="F416" t="inlineStr">
        <is>
          <t>KALMAR LÄN</t>
        </is>
      </c>
      <c r="G416" t="inlineStr">
        <is>
          <t>EMMABODA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46277</v>
      </c>
      <c r="F417" t="inlineStr">
        <is>
          <t>KALMAR LÄN</t>
        </is>
      </c>
      <c r="G417" t="inlineStr">
        <is>
          <t>EMMABODA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46277</v>
      </c>
      <c r="F418" t="inlineStr">
        <is>
          <t>KALMAR LÄN</t>
        </is>
      </c>
      <c r="G418" t="inlineStr">
        <is>
          <t>EMMABODA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44840</v>
      </c>
      <c r="E419" s="1" t="n">
        <v>46277</v>
      </c>
      <c r="F419" t="inlineStr">
        <is>
          <t>KALMAR LÄN</t>
        </is>
      </c>
      <c r="G419" t="inlineStr">
        <is>
          <t>EMMABODA</t>
        </is>
      </c>
      <c r="H419" t="inlineStr">
        <is>
          <t>Övriga Aktiebolag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46277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46277</v>
      </c>
      <c r="F421" t="inlineStr">
        <is>
          <t>KALMAR LÄN</t>
        </is>
      </c>
      <c r="G421" t="inlineStr">
        <is>
          <t>EMMABODA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46277</v>
      </c>
      <c r="F422" t="inlineStr">
        <is>
          <t>KALMAR LÄN</t>
        </is>
      </c>
      <c r="G422" t="inlineStr">
        <is>
          <t>EMMABODA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46277</v>
      </c>
      <c r="F423" t="inlineStr">
        <is>
          <t>KALMAR LÄN</t>
        </is>
      </c>
      <c r="G423" t="inlineStr">
        <is>
          <t>EMMABODA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46277</v>
      </c>
      <c r="F424" t="inlineStr">
        <is>
          <t>KALMAR LÄN</t>
        </is>
      </c>
      <c r="G424" t="inlineStr">
        <is>
          <t>EMMABODA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46277</v>
      </c>
      <c r="F425" t="inlineStr">
        <is>
          <t>KALMAR LÄN</t>
        </is>
      </c>
      <c r="G425" t="inlineStr">
        <is>
          <t>EMMABODA</t>
        </is>
      </c>
      <c r="H425" t="inlineStr">
        <is>
          <t>Övriga Aktiebolag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46277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17838-2023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45037</v>
      </c>
      <c r="E427" s="1" t="n">
        <v>46277</v>
      </c>
      <c r="F427" t="inlineStr">
        <is>
          <t>KALMAR LÄN</t>
        </is>
      </c>
      <c r="G427" t="inlineStr">
        <is>
          <t>EMMABODA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9577-2023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44982</v>
      </c>
      <c r="E428" s="1" t="n">
        <v>46277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46277</v>
      </c>
      <c r="F429" t="inlineStr">
        <is>
          <t>KALMAR LÄN</t>
        </is>
      </c>
      <c r="G429" t="inlineStr">
        <is>
          <t>EMMABODA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46277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46277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46277</v>
      </c>
      <c r="F432" t="inlineStr">
        <is>
          <t>KALMAR LÄN</t>
        </is>
      </c>
      <c r="G432" t="inlineStr">
        <is>
          <t>EMMABODA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45433</v>
      </c>
      <c r="E433" s="1" t="n">
        <v>46277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46277</v>
      </c>
      <c r="F434" t="inlineStr">
        <is>
          <t>KALMAR LÄN</t>
        </is>
      </c>
      <c r="G434" t="inlineStr">
        <is>
          <t>EMMABODA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45146</v>
      </c>
      <c r="E435" s="1" t="n">
        <v>46277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46277</v>
      </c>
      <c r="F436" t="inlineStr">
        <is>
          <t>KALMAR LÄN</t>
        </is>
      </c>
      <c r="G436" t="inlineStr">
        <is>
          <t>EMMABODA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45976</v>
      </c>
      <c r="E437" s="1" t="n">
        <v>46277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59737-2021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44494</v>
      </c>
      <c r="E438" s="1" t="n">
        <v>46277</v>
      </c>
      <c r="F438" t="inlineStr">
        <is>
          <t>KALMAR LÄN</t>
        </is>
      </c>
      <c r="G438" t="inlineStr">
        <is>
          <t>EMMABODA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41366-2024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46277</v>
      </c>
      <c r="F439" t="inlineStr">
        <is>
          <t>KALMAR LÄN</t>
        </is>
      </c>
      <c r="G439" t="inlineStr">
        <is>
          <t>EMMABODA</t>
        </is>
      </c>
      <c r="H439" t="inlineStr">
        <is>
          <t>Övriga Aktiebolag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45743</v>
      </c>
      <c r="E440" s="1" t="n">
        <v>46277</v>
      </c>
      <c r="F440" t="inlineStr">
        <is>
          <t>KALMAR LÄN</t>
        </is>
      </c>
      <c r="G440" t="inlineStr">
        <is>
          <t>EMMABODA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46277</v>
      </c>
      <c r="F441" t="inlineStr">
        <is>
          <t>KALMAR LÄN</t>
        </is>
      </c>
      <c r="G441" t="inlineStr">
        <is>
          <t>EMMABODA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46277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46277</v>
      </c>
      <c r="F443" t="inlineStr">
        <is>
          <t>KALMAR LÄN</t>
        </is>
      </c>
      <c r="G443" t="inlineStr">
        <is>
          <t>EMMABODA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45126</v>
      </c>
      <c r="E444" s="1" t="n">
        <v>46277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48233-2023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45205</v>
      </c>
      <c r="E445" s="1" t="n">
        <v>46277</v>
      </c>
      <c r="F445" t="inlineStr">
        <is>
          <t>KALMAR LÄN</t>
        </is>
      </c>
      <c r="G445" t="inlineStr">
        <is>
          <t>EMMABODA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39736-2023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46277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46277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46277</v>
      </c>
      <c r="F448" t="inlineStr">
        <is>
          <t>KALMAR LÄN</t>
        </is>
      </c>
      <c r="G448" t="inlineStr">
        <is>
          <t>EMMABODA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45084</v>
      </c>
      <c r="E449" s="1" t="n">
        <v>46277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46277</v>
      </c>
      <c r="F450" t="inlineStr">
        <is>
          <t>KALMAR LÄN</t>
        </is>
      </c>
      <c r="G450" t="inlineStr">
        <is>
          <t>EMMABODA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46277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45159</v>
      </c>
      <c r="E452" s="1" t="n">
        <v>46277</v>
      </c>
      <c r="F452" t="inlineStr">
        <is>
          <t>KALMAR LÄN</t>
        </is>
      </c>
      <c r="G452" t="inlineStr">
        <is>
          <t>EMMABODA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44215-2024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45573</v>
      </c>
      <c r="E453" s="1" t="n">
        <v>46277</v>
      </c>
      <c r="F453" t="inlineStr">
        <is>
          <t>KALMAR LÄN</t>
        </is>
      </c>
      <c r="G453" t="inlineStr">
        <is>
          <t>EMMABODA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46277</v>
      </c>
      <c r="F454" t="inlineStr">
        <is>
          <t>KALMAR LÄN</t>
        </is>
      </c>
      <c r="G454" t="inlineStr">
        <is>
          <t>EMMABODA</t>
        </is>
      </c>
      <c r="H454" t="inlineStr">
        <is>
          <t>Kyrkan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46277</v>
      </c>
      <c r="F455" t="inlineStr">
        <is>
          <t>KALMAR LÄN</t>
        </is>
      </c>
      <c r="G455" t="inlineStr">
        <is>
          <t>EMMABODA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52610-2023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45225</v>
      </c>
      <c r="E456" s="1" t="n">
        <v>46277</v>
      </c>
      <c r="F456" t="inlineStr">
        <is>
          <t>KALMAR LÄN</t>
        </is>
      </c>
      <c r="G456" t="inlineStr">
        <is>
          <t>EMMABODA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46277</v>
      </c>
      <c r="F457" t="inlineStr">
        <is>
          <t>KALMAR LÄN</t>
        </is>
      </c>
      <c r="G457" t="inlineStr">
        <is>
          <t>EMMABODA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45327</v>
      </c>
      <c r="E458" s="1" t="n">
        <v>46277</v>
      </c>
      <c r="F458" t="inlineStr">
        <is>
          <t>KALMAR LÄN</t>
        </is>
      </c>
      <c r="G458" t="inlineStr">
        <is>
          <t>EMMABODA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46277</v>
      </c>
      <c r="F459" t="inlineStr">
        <is>
          <t>KALMAR LÄN</t>
        </is>
      </c>
      <c r="G459" t="inlineStr">
        <is>
          <t>EMMABODA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44783</v>
      </c>
      <c r="E460" s="1" t="n">
        <v>46277</v>
      </c>
      <c r="F460" t="inlineStr">
        <is>
          <t>KALMAR LÄN</t>
        </is>
      </c>
      <c r="G460" t="inlineStr">
        <is>
          <t>EMMABODA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46277</v>
      </c>
      <c r="F461" t="inlineStr">
        <is>
          <t>KALMAR LÄN</t>
        </is>
      </c>
      <c r="G461" t="inlineStr">
        <is>
          <t>EMMABODA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14377-2022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44652</v>
      </c>
      <c r="E462" s="1" t="n">
        <v>46277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46277</v>
      </c>
      <c r="F463" t="inlineStr">
        <is>
          <t>KALMAR LÄN</t>
        </is>
      </c>
      <c r="G463" t="inlineStr">
        <is>
          <t>EMMABODA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46277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53704-2023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46277</v>
      </c>
      <c r="F465" t="inlineStr">
        <is>
          <t>KALMAR LÄN</t>
        </is>
      </c>
      <c r="G465" t="inlineStr">
        <is>
          <t>EMMABODA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46277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45902</v>
      </c>
      <c r="E467" s="1" t="n">
        <v>46277</v>
      </c>
      <c r="F467" t="inlineStr">
        <is>
          <t>KALMAR LÄN</t>
        </is>
      </c>
      <c r="G467" t="inlineStr">
        <is>
          <t>EMMABODA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54230-2023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45232</v>
      </c>
      <c r="E468" s="1" t="n">
        <v>46277</v>
      </c>
      <c r="F468" t="inlineStr">
        <is>
          <t>KALMAR LÄN</t>
        </is>
      </c>
      <c r="G468" t="inlineStr">
        <is>
          <t>EMMABODA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23292-2026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46277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46277</v>
      </c>
      <c r="F470" t="inlineStr">
        <is>
          <t>KALMAR LÄN</t>
        </is>
      </c>
      <c r="G470" t="inlineStr">
        <is>
          <t>EMMABODA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46277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14071-2024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45392</v>
      </c>
      <c r="E472" s="1" t="n">
        <v>46277</v>
      </c>
      <c r="F472" t="inlineStr">
        <is>
          <t>KALMAR LÄN</t>
        </is>
      </c>
      <c r="G472" t="inlineStr">
        <is>
          <t>EMMABODA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20505-2022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44699</v>
      </c>
      <c r="E473" s="1" t="n">
        <v>46277</v>
      </c>
      <c r="F473" t="inlineStr">
        <is>
          <t>KALMAR LÄN</t>
        </is>
      </c>
      <c r="G473" t="inlineStr">
        <is>
          <t>EMMABODA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35849-2023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46277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35490-2024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46277</v>
      </c>
      <c r="F475" t="inlineStr">
        <is>
          <t>KALMAR LÄN</t>
        </is>
      </c>
      <c r="G475" t="inlineStr">
        <is>
          <t>EMMABODA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46277</v>
      </c>
      <c r="F476" t="inlineStr">
        <is>
          <t>KALMAR LÄN</t>
        </is>
      </c>
      <c r="G476" t="inlineStr">
        <is>
          <t>EMMABODA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45434</v>
      </c>
      <c r="E477" s="1" t="n">
        <v>46277</v>
      </c>
      <c r="F477" t="inlineStr">
        <is>
          <t>KALMAR LÄN</t>
        </is>
      </c>
      <c r="G477" t="inlineStr">
        <is>
          <t>EMMABODA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44619</v>
      </c>
      <c r="E478" s="1" t="n">
        <v>46277</v>
      </c>
      <c r="F478" t="inlineStr">
        <is>
          <t>KALMAR LÄN</t>
        </is>
      </c>
      <c r="G478" t="inlineStr">
        <is>
          <t>EMMABODA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46169</v>
      </c>
      <c r="E479" s="1" t="n">
        <v>46277</v>
      </c>
      <c r="F479" t="inlineStr">
        <is>
          <t>KALMAR LÄN</t>
        </is>
      </c>
      <c r="G479" t="inlineStr">
        <is>
          <t>EMMABODA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16521-2024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45408</v>
      </c>
      <c r="E480" s="1" t="n">
        <v>46277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45394</v>
      </c>
      <c r="E481" s="1" t="n">
        <v>46277</v>
      </c>
      <c r="F481" t="inlineStr">
        <is>
          <t>KALMAR LÄN</t>
        </is>
      </c>
      <c r="G481" t="inlineStr">
        <is>
          <t>EMMABODA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44728</v>
      </c>
      <c r="E482" s="1" t="n">
        <v>46277</v>
      </c>
      <c r="F482" t="inlineStr">
        <is>
          <t>KALMAR LÄN</t>
        </is>
      </c>
      <c r="G482" t="inlineStr">
        <is>
          <t>EMMABODA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46277</v>
      </c>
      <c r="F483" t="inlineStr">
        <is>
          <t>KALMAR LÄN</t>
        </is>
      </c>
      <c r="G483" t="inlineStr">
        <is>
          <t>EMMABODA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45188</v>
      </c>
      <c r="E484" s="1" t="n">
        <v>46277</v>
      </c>
      <c r="F484" t="inlineStr">
        <is>
          <t>KALMAR LÄN</t>
        </is>
      </c>
      <c r="G484" t="inlineStr">
        <is>
          <t>EMMABODA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45293-2023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46277</v>
      </c>
      <c r="F485" t="inlineStr">
        <is>
          <t>KALMAR LÄN</t>
        </is>
      </c>
      <c r="G485" t="inlineStr">
        <is>
          <t>EMMABODA</t>
        </is>
      </c>
      <c r="H485" t="inlineStr">
        <is>
          <t>Kyrkan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15292-2024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45400</v>
      </c>
      <c r="E486" s="1" t="n">
        <v>46277</v>
      </c>
      <c r="F486" t="inlineStr">
        <is>
          <t>KALMAR LÄN</t>
        </is>
      </c>
      <c r="G486" t="inlineStr">
        <is>
          <t>EMMABODA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46277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44673</v>
      </c>
      <c r="E488" s="1" t="n">
        <v>46277</v>
      </c>
      <c r="F488" t="inlineStr">
        <is>
          <t>KALMAR LÄN</t>
        </is>
      </c>
      <c r="G488" t="inlineStr">
        <is>
          <t>EMMABODA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45164</v>
      </c>
      <c r="E489" s="1" t="n">
        <v>46277</v>
      </c>
      <c r="F489" t="inlineStr">
        <is>
          <t>KALMAR LÄN</t>
        </is>
      </c>
      <c r="G489" t="inlineStr">
        <is>
          <t>EMMABODA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46277</v>
      </c>
      <c r="F490" t="inlineStr">
        <is>
          <t>KALMAR LÄN</t>
        </is>
      </c>
      <c r="G490" t="inlineStr">
        <is>
          <t>EMMABODA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44726</v>
      </c>
      <c r="E491" s="1" t="n">
        <v>46277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36043-2022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44802</v>
      </c>
      <c r="E492" s="1" t="n">
        <v>46277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46277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46277</v>
      </c>
      <c r="F494" t="inlineStr">
        <is>
          <t>KALMAR LÄN</t>
        </is>
      </c>
      <c r="G494" t="inlineStr">
        <is>
          <t>EMMABODA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46277</v>
      </c>
      <c r="F495" t="inlineStr">
        <is>
          <t>KALMAR LÄN</t>
        </is>
      </c>
      <c r="G495" t="inlineStr">
        <is>
          <t>EMMABODA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45475</v>
      </c>
      <c r="E496" s="1" t="n">
        <v>46277</v>
      </c>
      <c r="F496" t="inlineStr">
        <is>
          <t>KALMAR LÄN</t>
        </is>
      </c>
      <c r="G496" t="inlineStr">
        <is>
          <t>EMMABODA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9791-2025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46277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35522-2022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44799</v>
      </c>
      <c r="E498" s="1" t="n">
        <v>46277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46277</v>
      </c>
      <c r="F499" t="inlineStr">
        <is>
          <t>KALMAR LÄN</t>
        </is>
      </c>
      <c r="G499" t="inlineStr">
        <is>
          <t>EMMABODA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46277</v>
      </c>
      <c r="F500" t="inlineStr">
        <is>
          <t>KALMAR LÄN</t>
        </is>
      </c>
      <c r="G500" t="inlineStr">
        <is>
          <t>EMMABODA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46277</v>
      </c>
      <c r="F501" t="inlineStr">
        <is>
          <t>KALMAR LÄN</t>
        </is>
      </c>
      <c r="G501" t="inlineStr">
        <is>
          <t>EMMABODA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44827</v>
      </c>
      <c r="E502" s="1" t="n">
        <v>46277</v>
      </c>
      <c r="F502" t="inlineStr">
        <is>
          <t>KALMAR LÄN</t>
        </is>
      </c>
      <c r="G502" t="inlineStr">
        <is>
          <t>EMMABODA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46277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46277</v>
      </c>
      <c r="F504" t="inlineStr">
        <is>
          <t>KALMAR LÄN</t>
        </is>
      </c>
      <c r="G504" t="inlineStr">
        <is>
          <t>EMMABODA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45727</v>
      </c>
      <c r="E505" s="1" t="n">
        <v>46277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45309</v>
      </c>
      <c r="E506" s="1" t="n">
        <v>46277</v>
      </c>
      <c r="F506" t="inlineStr">
        <is>
          <t>KALMAR LÄN</t>
        </is>
      </c>
      <c r="G506" t="inlineStr">
        <is>
          <t>EMMABODA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46277</v>
      </c>
      <c r="F507" t="inlineStr">
        <is>
          <t>KALMAR LÄN</t>
        </is>
      </c>
      <c r="G507" t="inlineStr">
        <is>
          <t>EMMABODA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45126</v>
      </c>
      <c r="E508" s="1" t="n">
        <v>46277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46277</v>
      </c>
      <c r="F509" t="inlineStr">
        <is>
          <t>KALMAR LÄN</t>
        </is>
      </c>
      <c r="G509" t="inlineStr">
        <is>
          <t>EMMABODA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46277</v>
      </c>
      <c r="F510" t="inlineStr">
        <is>
          <t>KALMAR LÄN</t>
        </is>
      </c>
      <c r="G510" t="inlineStr">
        <is>
          <t>EMMABODA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9684-2025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45716</v>
      </c>
      <c r="E511" s="1" t="n">
        <v>46277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45190</v>
      </c>
      <c r="E512" s="1" t="n">
        <v>46277</v>
      </c>
      <c r="F512" t="inlineStr">
        <is>
          <t>KALMAR LÄN</t>
        </is>
      </c>
      <c r="G512" t="inlineStr">
        <is>
          <t>EMMABODA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45310</v>
      </c>
      <c r="E513" s="1" t="n">
        <v>46277</v>
      </c>
      <c r="F513" t="inlineStr">
        <is>
          <t>KALMAR LÄN</t>
        </is>
      </c>
      <c r="G513" t="inlineStr">
        <is>
          <t>EMMABODA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46277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46775-2022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44851</v>
      </c>
      <c r="E515" s="1" t="n">
        <v>46277</v>
      </c>
      <c r="F515" t="inlineStr">
        <is>
          <t>KALMAR LÄN</t>
        </is>
      </c>
      <c r="G515" t="inlineStr">
        <is>
          <t>EMMABODA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46277</v>
      </c>
      <c r="F516" t="inlineStr">
        <is>
          <t>KALMAR LÄN</t>
        </is>
      </c>
      <c r="G516" t="inlineStr">
        <is>
          <t>EMMABODA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46277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46277</v>
      </c>
      <c r="F518" t="inlineStr">
        <is>
          <t>KALMAR LÄN</t>
        </is>
      </c>
      <c r="G518" t="inlineStr">
        <is>
          <t>EMMABODA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46277</v>
      </c>
      <c r="F519" t="inlineStr">
        <is>
          <t>KALMAR LÄN</t>
        </is>
      </c>
      <c r="G519" t="inlineStr">
        <is>
          <t>EMMABODA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56549-2022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44893</v>
      </c>
      <c r="E520" s="1" t="n">
        <v>46277</v>
      </c>
      <c r="F520" t="inlineStr">
        <is>
          <t>KALMAR LÄN</t>
        </is>
      </c>
      <c r="G520" t="inlineStr">
        <is>
          <t>EMMABODA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46277</v>
      </c>
      <c r="F521" t="inlineStr">
        <is>
          <t>KALMAR LÄN</t>
        </is>
      </c>
      <c r="G521" t="inlineStr">
        <is>
          <t>EMMABODA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45159</v>
      </c>
      <c r="E522" s="1" t="n">
        <v>46277</v>
      </c>
      <c r="F522" t="inlineStr">
        <is>
          <t>KALMAR LÄN</t>
        </is>
      </c>
      <c r="G522" t="inlineStr">
        <is>
          <t>EMMABODA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31070-2022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44769</v>
      </c>
      <c r="E523" s="1" t="n">
        <v>46277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46277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43746-2023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46277</v>
      </c>
      <c r="F525" t="inlineStr">
        <is>
          <t>KALMAR LÄN</t>
        </is>
      </c>
      <c r="G525" t="inlineStr">
        <is>
          <t>EMMABODA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15446-2024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45401</v>
      </c>
      <c r="E526" s="1" t="n">
        <v>46277</v>
      </c>
      <c r="F526" t="inlineStr">
        <is>
          <t>KALMAR LÄN</t>
        </is>
      </c>
      <c r="G526" t="inlineStr">
        <is>
          <t>EMMABODA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46728-2022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44851</v>
      </c>
      <c r="E527" s="1" t="n">
        <v>46277</v>
      </c>
      <c r="F527" t="inlineStr">
        <is>
          <t>KALMAR LÄN</t>
        </is>
      </c>
      <c r="G527" t="inlineStr">
        <is>
          <t>EMMABODA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46192-2023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45196</v>
      </c>
      <c r="E528" s="1" t="n">
        <v>46277</v>
      </c>
      <c r="F528" t="inlineStr">
        <is>
          <t>KALMAR LÄN</t>
        </is>
      </c>
      <c r="G528" t="inlineStr">
        <is>
          <t>EMMABODA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46277</v>
      </c>
      <c r="F529" t="inlineStr">
        <is>
          <t>KALMAR LÄN</t>
        </is>
      </c>
      <c r="G529" t="inlineStr">
        <is>
          <t>EMMABODA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57717-2022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44897</v>
      </c>
      <c r="E530" s="1" t="n">
        <v>46277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45323</v>
      </c>
      <c r="E531" s="1" t="n">
        <v>46277</v>
      </c>
      <c r="F531" t="inlineStr">
        <is>
          <t>KALMAR LÄN</t>
        </is>
      </c>
      <c r="G531" t="inlineStr">
        <is>
          <t>EMMABODA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46277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46277</v>
      </c>
      <c r="F533" t="inlineStr">
        <is>
          <t>KALMAR LÄN</t>
        </is>
      </c>
      <c r="G533" t="inlineStr">
        <is>
          <t>EMMABODA</t>
        </is>
      </c>
      <c r="H533" t="inlineStr">
        <is>
          <t>Kyrkan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46277</v>
      </c>
      <c r="F534" t="inlineStr">
        <is>
          <t>KALMAR LÄN</t>
        </is>
      </c>
      <c r="G534" t="inlineStr">
        <is>
          <t>EMMABODA</t>
        </is>
      </c>
      <c r="H534" t="inlineStr">
        <is>
          <t>Kyrkan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46277</v>
      </c>
      <c r="F535" t="inlineStr">
        <is>
          <t>KALMAR LÄN</t>
        </is>
      </c>
      <c r="G535" t="inlineStr">
        <is>
          <t>EMMABODA</t>
        </is>
      </c>
      <c r="H535" t="inlineStr">
        <is>
          <t>Kyrkan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58156-2021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46277</v>
      </c>
      <c r="F536" t="inlineStr">
        <is>
          <t>KALMAR LÄN</t>
        </is>
      </c>
      <c r="G536" t="inlineStr">
        <is>
          <t>EMMABODA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45323</v>
      </c>
      <c r="E537" s="1" t="n">
        <v>46277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46277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46277</v>
      </c>
      <c r="F539" t="inlineStr">
        <is>
          <t>KALMAR LÄN</t>
        </is>
      </c>
      <c r="G539" t="inlineStr">
        <is>
          <t>EMMABODA</t>
        </is>
      </c>
      <c r="H539" t="inlineStr">
        <is>
          <t>Sveaskog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45637</v>
      </c>
      <c r="E540" s="1" t="n">
        <v>46277</v>
      </c>
      <c r="F540" t="inlineStr">
        <is>
          <t>KALMAR LÄN</t>
        </is>
      </c>
      <c r="G540" t="inlineStr">
        <is>
          <t>EMMABODA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45466</v>
      </c>
      <c r="E541" s="1" t="n">
        <v>46277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63254-2025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46277</v>
      </c>
      <c r="F542" t="inlineStr">
        <is>
          <t>KALMAR LÄN</t>
        </is>
      </c>
      <c r="G542" t="inlineStr">
        <is>
          <t>EMMABODA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45327</v>
      </c>
      <c r="E543" s="1" t="n">
        <v>46277</v>
      </c>
      <c r="F543" t="inlineStr">
        <is>
          <t>KALMAR LÄN</t>
        </is>
      </c>
      <c r="G543" t="inlineStr">
        <is>
          <t>EMMABODA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58592-2021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46277</v>
      </c>
      <c r="F544" t="inlineStr">
        <is>
          <t>KALMAR LÄN</t>
        </is>
      </c>
      <c r="G544" t="inlineStr">
        <is>
          <t>EMMABODA</t>
        </is>
      </c>
      <c r="H544" t="inlineStr">
        <is>
          <t>Kommuner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45296</v>
      </c>
      <c r="E545" s="1" t="n">
        <v>46277</v>
      </c>
      <c r="F545" t="inlineStr">
        <is>
          <t>KALMAR LÄN</t>
        </is>
      </c>
      <c r="G545" t="inlineStr">
        <is>
          <t>EMMABODA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28347-2026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46196</v>
      </c>
      <c r="E546" s="1" t="n">
        <v>46277</v>
      </c>
      <c r="F546" t="inlineStr">
        <is>
          <t>KALMAR LÄN</t>
        </is>
      </c>
      <c r="G546" t="inlineStr">
        <is>
          <t>EMMABODA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46277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46277</v>
      </c>
      <c r="F548" t="inlineStr">
        <is>
          <t>KALMAR LÄN</t>
        </is>
      </c>
      <c r="G548" t="inlineStr">
        <is>
          <t>EMMABODA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46277</v>
      </c>
      <c r="F549" t="inlineStr">
        <is>
          <t>KALMAR LÄN</t>
        </is>
      </c>
      <c r="G549" t="inlineStr">
        <is>
          <t>EMMABODA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68947-2021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44530</v>
      </c>
      <c r="E550" s="1" t="n">
        <v>46277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44586</v>
      </c>
      <c r="E551" s="1" t="n">
        <v>46277</v>
      </c>
      <c r="F551" t="inlineStr">
        <is>
          <t>KALMAR LÄN</t>
        </is>
      </c>
      <c r="G551" t="inlineStr">
        <is>
          <t>EMMABODA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4387-2022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44589</v>
      </c>
      <c r="E552" s="1" t="n">
        <v>46277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63180-2021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44507</v>
      </c>
      <c r="E553" s="1" t="n">
        <v>46277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44938</v>
      </c>
      <c r="E554" s="1" t="n">
        <v>46277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44979</v>
      </c>
      <c r="E555" s="1" t="n">
        <v>46277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46277</v>
      </c>
      <c r="F556" t="inlineStr">
        <is>
          <t>KALMAR LÄN</t>
        </is>
      </c>
      <c r="G556" t="inlineStr">
        <is>
          <t>EMMABODA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51650-2024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45606</v>
      </c>
      <c r="E557" s="1" t="n">
        <v>46277</v>
      </c>
      <c r="F557" t="inlineStr">
        <is>
          <t>KALMAR LÄN</t>
        </is>
      </c>
      <c r="G557" t="inlineStr">
        <is>
          <t>EMMABODA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11061-2024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46277</v>
      </c>
      <c r="F558" t="inlineStr">
        <is>
          <t>KALMAR LÄN</t>
        </is>
      </c>
      <c r="G558" t="inlineStr">
        <is>
          <t>EMMABODA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26254-2023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45091</v>
      </c>
      <c r="E559" s="1" t="n">
        <v>46277</v>
      </c>
      <c r="F559" t="inlineStr">
        <is>
          <t>KALMAR LÄN</t>
        </is>
      </c>
      <c r="G559" t="inlineStr">
        <is>
          <t>EMMABODA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36009-2023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45149</v>
      </c>
      <c r="E560" s="1" t="n">
        <v>46277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45060-2023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45191</v>
      </c>
      <c r="E561" s="1" t="n">
        <v>46277</v>
      </c>
      <c r="F561" t="inlineStr">
        <is>
          <t>KALMAR LÄN</t>
        </is>
      </c>
      <c r="G561" t="inlineStr">
        <is>
          <t>EMMABODA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45155</v>
      </c>
      <c r="E562" s="1" t="n">
        <v>46277</v>
      </c>
      <c r="F562" t="inlineStr">
        <is>
          <t>KALMAR LÄN</t>
        </is>
      </c>
      <c r="G562" t="inlineStr">
        <is>
          <t>EMMABODA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58689-2023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45251</v>
      </c>
      <c r="E563" s="1" t="n">
        <v>46277</v>
      </c>
      <c r="F563" t="inlineStr">
        <is>
          <t>KALMAR LÄN</t>
        </is>
      </c>
      <c r="G563" t="inlineStr">
        <is>
          <t>EMMABODA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44930</v>
      </c>
      <c r="E564" s="1" t="n">
        <v>46277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46277</v>
      </c>
      <c r="F565" t="inlineStr">
        <is>
          <t>KALMAR LÄN</t>
        </is>
      </c>
      <c r="G565" t="inlineStr">
        <is>
          <t>EMMABODA</t>
        </is>
      </c>
      <c r="H565" t="inlineStr">
        <is>
          <t>Sveaskog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42684-2023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45181</v>
      </c>
      <c r="E566" s="1" t="n">
        <v>46277</v>
      </c>
      <c r="F566" t="inlineStr">
        <is>
          <t>KALMAR LÄN</t>
        </is>
      </c>
      <c r="G566" t="inlineStr">
        <is>
          <t>EMMABODA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24779-2022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46277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18478-2024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45425</v>
      </c>
      <c r="E568" s="1" t="n">
        <v>46277</v>
      </c>
      <c r="F568" t="inlineStr">
        <is>
          <t>KALMAR LÄN</t>
        </is>
      </c>
      <c r="G568" t="inlineStr">
        <is>
          <t>EMMABODA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46277</v>
      </c>
      <c r="F569" t="inlineStr">
        <is>
          <t>KALMAR LÄN</t>
        </is>
      </c>
      <c r="G569" t="inlineStr">
        <is>
          <t>EMMABODA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43256-2022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44834</v>
      </c>
      <c r="E570" s="1" t="n">
        <v>46277</v>
      </c>
      <c r="F570" t="inlineStr">
        <is>
          <t>KALMAR LÄN</t>
        </is>
      </c>
      <c r="G570" t="inlineStr">
        <is>
          <t>EMMABODA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19686-2023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45051</v>
      </c>
      <c r="E571" s="1" t="n">
        <v>46277</v>
      </c>
      <c r="F571" t="inlineStr">
        <is>
          <t>KALMAR LÄN</t>
        </is>
      </c>
      <c r="G571" t="inlineStr">
        <is>
          <t>EMMABODA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46277</v>
      </c>
      <c r="F572" t="inlineStr">
        <is>
          <t>KALMAR LÄN</t>
        </is>
      </c>
      <c r="G572" t="inlineStr">
        <is>
          <t>EMMABODA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48352-2024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45590</v>
      </c>
      <c r="E573" s="1" t="n">
        <v>46277</v>
      </c>
      <c r="F573" t="inlineStr">
        <is>
          <t>KALMAR LÄN</t>
        </is>
      </c>
      <c r="G573" t="inlineStr">
        <is>
          <t>EMMABODA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37296-2022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44808</v>
      </c>
      <c r="E574" s="1" t="n">
        <v>46277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44944</v>
      </c>
      <c r="E575" s="1" t="n">
        <v>46277</v>
      </c>
      <c r="F575" t="inlineStr">
        <is>
          <t>KALMAR LÄN</t>
        </is>
      </c>
      <c r="G575" t="inlineStr">
        <is>
          <t>EMMABODA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45048</v>
      </c>
      <c r="E576" s="1" t="n">
        <v>46277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58136-2021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44487</v>
      </c>
      <c r="E577" s="1" t="n">
        <v>46277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45514</v>
      </c>
      <c r="E578" s="1" t="n">
        <v>46277</v>
      </c>
      <c r="F578" t="inlineStr">
        <is>
          <t>KALMAR LÄN</t>
        </is>
      </c>
      <c r="G578" t="inlineStr">
        <is>
          <t>EMMABODA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45514</v>
      </c>
      <c r="E579" s="1" t="n">
        <v>46277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46277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45076</v>
      </c>
      <c r="E581" s="1" t="n">
        <v>46277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46277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46277</v>
      </c>
      <c r="F583" t="inlineStr">
        <is>
          <t>KALMAR LÄN</t>
        </is>
      </c>
      <c r="G583" t="inlineStr">
        <is>
          <t>EMMABODA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45217</v>
      </c>
      <c r="E584" s="1" t="n">
        <v>46277</v>
      </c>
      <c r="F584" t="inlineStr">
        <is>
          <t>KALMAR LÄN</t>
        </is>
      </c>
      <c r="G584" t="inlineStr">
        <is>
          <t>EMMABODA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45688</v>
      </c>
      <c r="E585" s="1" t="n">
        <v>46277</v>
      </c>
      <c r="F585" t="inlineStr">
        <is>
          <t>KALMAR LÄN</t>
        </is>
      </c>
      <c r="G585" t="inlineStr">
        <is>
          <t>EMMABODA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50467-2021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44455</v>
      </c>
      <c r="E586" s="1" t="n">
        <v>46277</v>
      </c>
      <c r="F586" t="inlineStr">
        <is>
          <t>KALMAR LÄN</t>
        </is>
      </c>
      <c r="G586" t="inlineStr">
        <is>
          <t>EMMABODA</t>
        </is>
      </c>
      <c r="H586" t="inlineStr">
        <is>
          <t>Övriga Aktiebolag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45740</v>
      </c>
      <c r="E587" s="1" t="n">
        <v>46277</v>
      </c>
      <c r="F587" t="inlineStr">
        <is>
          <t>KALMAR LÄN</t>
        </is>
      </c>
      <c r="G587" t="inlineStr">
        <is>
          <t>EMMABODA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45180</v>
      </c>
      <c r="E588" s="1" t="n">
        <v>46277</v>
      </c>
      <c r="F588" t="inlineStr">
        <is>
          <t>KALMAR LÄN</t>
        </is>
      </c>
      <c r="G588" t="inlineStr">
        <is>
          <t>EMMABODA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45668</v>
      </c>
      <c r="E589" s="1" t="n">
        <v>46277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46211</v>
      </c>
      <c r="E590" s="1" t="n">
        <v>46277</v>
      </c>
      <c r="F590" t="inlineStr">
        <is>
          <t>KALMAR LÄN</t>
        </is>
      </c>
      <c r="G590" t="inlineStr">
        <is>
          <t>EMMABODA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46277</v>
      </c>
      <c r="F591" t="inlineStr">
        <is>
          <t>KALMAR LÄN</t>
        </is>
      </c>
      <c r="G591" t="inlineStr">
        <is>
          <t>EMMABODA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45349</v>
      </c>
      <c r="E592" s="1" t="n">
        <v>46277</v>
      </c>
      <c r="F592" t="inlineStr">
        <is>
          <t>KALMAR LÄN</t>
        </is>
      </c>
      <c r="G592" t="inlineStr">
        <is>
          <t>EMMABODA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59914-2024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45641</v>
      </c>
      <c r="E593" s="1" t="n">
        <v>46277</v>
      </c>
      <c r="F593" t="inlineStr">
        <is>
          <t>KALMAR LÄN</t>
        </is>
      </c>
      <c r="G593" t="inlineStr">
        <is>
          <t>EMMABODA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46277</v>
      </c>
      <c r="F594" t="inlineStr">
        <is>
          <t>KALMAR LÄN</t>
        </is>
      </c>
      <c r="G594" t="inlineStr">
        <is>
          <t>EMMABODA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46277</v>
      </c>
      <c r="F595" t="inlineStr">
        <is>
          <t>KALMAR LÄN</t>
        </is>
      </c>
      <c r="G595" t="inlineStr">
        <is>
          <t>EMMABODA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34032-2022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44791</v>
      </c>
      <c r="E596" s="1" t="n">
        <v>46277</v>
      </c>
      <c r="F596" t="inlineStr">
        <is>
          <t>KALMAR LÄN</t>
        </is>
      </c>
      <c r="G596" t="inlineStr">
        <is>
          <t>EMMABODA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45310</v>
      </c>
      <c r="E597" s="1" t="n">
        <v>46277</v>
      </c>
      <c r="F597" t="inlineStr">
        <is>
          <t>KALMAR LÄN</t>
        </is>
      </c>
      <c r="G597" t="inlineStr">
        <is>
          <t>EMMABODA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61791-2022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44911</v>
      </c>
      <c r="E598" s="1" t="n">
        <v>46277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14415-2024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46277</v>
      </c>
      <c r="F599" t="inlineStr">
        <is>
          <t>KALMAR LÄN</t>
        </is>
      </c>
      <c r="G599" t="inlineStr">
        <is>
          <t>EMMABODA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46277</v>
      </c>
      <c r="F600" t="inlineStr">
        <is>
          <t>KALMAR LÄN</t>
        </is>
      </c>
      <c r="G600" t="inlineStr">
        <is>
          <t>EMMABODA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46277</v>
      </c>
      <c r="F601" t="inlineStr">
        <is>
          <t>KALMAR LÄN</t>
        </is>
      </c>
      <c r="G601" t="inlineStr">
        <is>
          <t>EMMABODA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46277</v>
      </c>
      <c r="F602" t="inlineStr">
        <is>
          <t>KALMAR LÄN</t>
        </is>
      </c>
      <c r="G602" t="inlineStr">
        <is>
          <t>EMMABODA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46213</v>
      </c>
      <c r="E603" s="1" t="n">
        <v>46277</v>
      </c>
      <c r="F603" t="inlineStr">
        <is>
          <t>KALMAR LÄN</t>
        </is>
      </c>
      <c r="G603" t="inlineStr">
        <is>
          <t>EMMABODA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45189</v>
      </c>
      <c r="E604" s="1" t="n">
        <v>46277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46277</v>
      </c>
      <c r="F605" t="inlineStr">
        <is>
          <t>KALMAR LÄN</t>
        </is>
      </c>
      <c r="G605" t="inlineStr">
        <is>
          <t>EMMABODA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46277</v>
      </c>
      <c r="F606" t="inlineStr">
        <is>
          <t>KALMAR LÄN</t>
        </is>
      </c>
      <c r="G606" t="inlineStr">
        <is>
          <t>EMMABODA</t>
        </is>
      </c>
      <c r="H606" t="inlineStr">
        <is>
          <t>Kyrkan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46277</v>
      </c>
      <c r="F607" t="inlineStr">
        <is>
          <t>KALMAR LÄN</t>
        </is>
      </c>
      <c r="G607" t="inlineStr">
        <is>
          <t>EMMABODA</t>
        </is>
      </c>
      <c r="H607" t="inlineStr">
        <is>
          <t>Kyrkan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46259</v>
      </c>
      <c r="E608" s="1" t="n">
        <v>46277</v>
      </c>
      <c r="F608" t="inlineStr">
        <is>
          <t>KALMAR LÄN</t>
        </is>
      </c>
      <c r="G608" t="inlineStr">
        <is>
          <t>EMMABODA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46277</v>
      </c>
      <c r="F609" t="inlineStr">
        <is>
          <t>KALMAR LÄN</t>
        </is>
      </c>
      <c r="G609" t="inlineStr">
        <is>
          <t>EMMABODA</t>
        </is>
      </c>
      <c r="H609" t="inlineStr">
        <is>
          <t>Kyrkan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46277</v>
      </c>
      <c r="F610" t="inlineStr">
        <is>
          <t>KALMAR LÄN</t>
        </is>
      </c>
      <c r="G610" t="inlineStr">
        <is>
          <t>EMMABODA</t>
        </is>
      </c>
      <c r="H610" t="inlineStr">
        <is>
          <t>Kyrkan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46277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46277</v>
      </c>
      <c r="F612" t="inlineStr">
        <is>
          <t>KALMAR LÄN</t>
        </is>
      </c>
      <c r="G612" t="inlineStr">
        <is>
          <t>EMMABODA</t>
        </is>
      </c>
      <c r="H612" t="inlineStr">
        <is>
          <t>Kyrkan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46277</v>
      </c>
      <c r="F613" t="inlineStr">
        <is>
          <t>KALMAR LÄN</t>
        </is>
      </c>
      <c r="G613" t="inlineStr">
        <is>
          <t>EMMABODA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46277</v>
      </c>
      <c r="F614" t="inlineStr">
        <is>
          <t>KALMAR LÄN</t>
        </is>
      </c>
      <c r="G614" t="inlineStr">
        <is>
          <t>EMMABODA</t>
        </is>
      </c>
      <c r="H614" t="inlineStr">
        <is>
          <t>Kyrkan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46277</v>
      </c>
      <c r="F615" t="inlineStr">
        <is>
          <t>KALMAR LÄN</t>
        </is>
      </c>
      <c r="G615" t="inlineStr">
        <is>
          <t>EMMABODA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51649-2024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45606</v>
      </c>
      <c r="E616" s="1" t="n">
        <v>46277</v>
      </c>
      <c r="F616" t="inlineStr">
        <is>
          <t>KALMAR LÄN</t>
        </is>
      </c>
      <c r="G616" t="inlineStr">
        <is>
          <t>EMMABODA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13801-2023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45007</v>
      </c>
      <c r="E617" s="1" t="n">
        <v>46277</v>
      </c>
      <c r="F617" t="inlineStr">
        <is>
          <t>KALMAR LÄN</t>
        </is>
      </c>
      <c r="G617" t="inlineStr">
        <is>
          <t>EMMABODA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45164</v>
      </c>
      <c r="E618" s="1" t="n">
        <v>46277</v>
      </c>
      <c r="F618" t="inlineStr">
        <is>
          <t>KALMAR LÄN</t>
        </is>
      </c>
      <c r="G618" t="inlineStr">
        <is>
          <t>EMMABODA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49626-2023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45211</v>
      </c>
      <c r="E619" s="1" t="n">
        <v>46277</v>
      </c>
      <c r="F619" t="inlineStr">
        <is>
          <t>KALMAR LÄN</t>
        </is>
      </c>
      <c r="G619" t="inlineStr">
        <is>
          <t>EMMABODA</t>
        </is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46277</v>
      </c>
      <c r="F620" t="inlineStr">
        <is>
          <t>KALMAR LÄN</t>
        </is>
      </c>
      <c r="G620" t="inlineStr">
        <is>
          <t>EMMABODA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20102-2022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44698</v>
      </c>
      <c r="E621" s="1" t="n">
        <v>46277</v>
      </c>
      <c r="F621" t="inlineStr">
        <is>
          <t>KALMAR LÄN</t>
        </is>
      </c>
      <c r="G621" t="inlineStr">
        <is>
          <t>EMMABODA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45317</v>
      </c>
      <c r="E622" s="1" t="n">
        <v>46277</v>
      </c>
      <c r="F622" t="inlineStr">
        <is>
          <t>KALMAR LÄN</t>
        </is>
      </c>
      <c r="G622" t="inlineStr">
        <is>
          <t>EMMABODA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45373</v>
      </c>
      <c r="E623" s="1" t="n">
        <v>46277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46268</v>
      </c>
      <c r="E624" s="1" t="n">
        <v>46277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48957-2023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45204</v>
      </c>
      <c r="E625" s="1" t="n">
        <v>46277</v>
      </c>
      <c r="F625" t="inlineStr">
        <is>
          <t>KALMAR LÄN</t>
        </is>
      </c>
      <c r="G625" t="inlineStr">
        <is>
          <t>EMMABODA</t>
        </is>
      </c>
      <c r="H625" t="inlineStr">
        <is>
          <t>Övriga Aktiebolag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46277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10699-2024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45369</v>
      </c>
      <c r="E627" s="1" t="n">
        <v>46277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63219-2023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45273</v>
      </c>
      <c r="E628" s="1" t="n">
        <v>46277</v>
      </c>
      <c r="F628" t="inlineStr">
        <is>
          <t>KALMAR LÄN</t>
        </is>
      </c>
      <c r="G628" t="inlineStr">
        <is>
          <t>EMMABODA</t>
        </is>
      </c>
      <c r="H628" t="inlineStr">
        <is>
          <t>Kommuner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48918-2023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45204</v>
      </c>
      <c r="E629" s="1" t="n">
        <v>46277</v>
      </c>
      <c r="F629" t="inlineStr">
        <is>
          <t>KALMAR LÄN</t>
        </is>
      </c>
      <c r="G629" t="inlineStr">
        <is>
          <t>EMMABODA</t>
        </is>
      </c>
      <c r="H629" t="inlineStr">
        <is>
          <t>Övriga Aktiebolag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46272</v>
      </c>
      <c r="E630" s="1" t="n">
        <v>46277</v>
      </c>
      <c r="F630" t="inlineStr">
        <is>
          <t>KALMAR LÄN</t>
        </is>
      </c>
      <c r="G630" t="inlineStr">
        <is>
          <t>EMMABODA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49284-2024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45595</v>
      </c>
      <c r="E631" s="1" t="n">
        <v>46277</v>
      </c>
      <c r="F631" t="inlineStr">
        <is>
          <t>KALMAR LÄN</t>
        </is>
      </c>
      <c r="G631" t="inlineStr">
        <is>
          <t>EMMABODA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46271</v>
      </c>
      <c r="E632" s="1" t="n">
        <v>46277</v>
      </c>
      <c r="F632" t="inlineStr">
        <is>
          <t>KALMAR LÄN</t>
        </is>
      </c>
      <c r="G632" t="inlineStr">
        <is>
          <t>EMMABODA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19881-2024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45433</v>
      </c>
      <c r="E633" s="1" t="n">
        <v>46277</v>
      </c>
      <c r="F633" t="inlineStr">
        <is>
          <t>KALMAR LÄN</t>
        </is>
      </c>
      <c r="G633" t="inlineStr">
        <is>
          <t>EMMABODA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55174-2023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46277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69464-2021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44531</v>
      </c>
      <c r="E635" s="1" t="n">
        <v>46277</v>
      </c>
      <c r="F635" t="inlineStr">
        <is>
          <t>KALMAR LÄN</t>
        </is>
      </c>
      <c r="G635" t="inlineStr">
        <is>
          <t>EMMABODA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62733-2021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44504</v>
      </c>
      <c r="E636" s="1" t="n">
        <v>46277</v>
      </c>
      <c r="F636" t="inlineStr">
        <is>
          <t>KALMAR LÄN</t>
        </is>
      </c>
      <c r="G636" t="inlineStr">
        <is>
          <t>EMMABODA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46277</v>
      </c>
      <c r="F637" t="inlineStr">
        <is>
          <t>KALMAR LÄN</t>
        </is>
      </c>
      <c r="G637" t="inlineStr">
        <is>
          <t>EMMABODA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27488-2024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46277</v>
      </c>
      <c r="F638" t="inlineStr">
        <is>
          <t>KALMAR LÄN</t>
        </is>
      </c>
      <c r="G638" t="inlineStr">
        <is>
          <t>EMMABODA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6535-2024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45341</v>
      </c>
      <c r="E639" s="1" t="n">
        <v>46277</v>
      </c>
      <c r="F639" t="inlineStr">
        <is>
          <t>KALMAR LÄN</t>
        </is>
      </c>
      <c r="G639" t="inlineStr">
        <is>
          <t>EMMABODA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45665</v>
      </c>
      <c r="E640" s="1" t="n">
        <v>46277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33083-2023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45126</v>
      </c>
      <c r="E641" s="1" t="n">
        <v>46277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47291-2023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45202</v>
      </c>
      <c r="E642" s="1" t="n">
        <v>46277</v>
      </c>
      <c r="F642" t="inlineStr">
        <is>
          <t>KALMAR LÄN</t>
        </is>
      </c>
      <c r="G642" t="inlineStr">
        <is>
          <t>EMMABODA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64681-2023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46277</v>
      </c>
      <c r="F643" t="inlineStr">
        <is>
          <t>KALMAR LÄN</t>
        </is>
      </c>
      <c r="G643" t="inlineStr">
        <is>
          <t>EMMABODA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37060-2023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45155</v>
      </c>
      <c r="E644" s="1" t="n">
        <v>46277</v>
      </c>
      <c r="F644" t="inlineStr">
        <is>
          <t>KALMAR LÄN</t>
        </is>
      </c>
      <c r="G644" t="inlineStr">
        <is>
          <t>EMMABODA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27155-2026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46188</v>
      </c>
      <c r="E645" s="1" t="n">
        <v>46277</v>
      </c>
      <c r="F645" t="inlineStr">
        <is>
          <t>KALMAR LÄN</t>
        </is>
      </c>
      <c r="G645" t="inlineStr">
        <is>
          <t>EMMABODA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46277</v>
      </c>
      <c r="F646" t="inlineStr">
        <is>
          <t>KALMAR LÄN</t>
        </is>
      </c>
      <c r="G646" t="inlineStr">
        <is>
          <t>EMMABODA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57791-2022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44897</v>
      </c>
      <c r="E647" s="1" t="n">
        <v>46277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46277</v>
      </c>
      <c r="F648" t="inlineStr">
        <is>
          <t>KALMAR LÄN</t>
        </is>
      </c>
      <c r="G648" t="inlineStr">
        <is>
          <t>EMMABODA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33160-2026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46245</v>
      </c>
      <c r="E649" s="1" t="n">
        <v>46277</v>
      </c>
      <c r="F649" t="inlineStr">
        <is>
          <t>KALMAR LÄN</t>
        </is>
      </c>
      <c r="G649" t="inlineStr">
        <is>
          <t>EMMABODA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66658-2021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44519</v>
      </c>
      <c r="E650" s="1" t="n">
        <v>46277</v>
      </c>
      <c r="F650" t="inlineStr">
        <is>
          <t>KALMAR LÄN</t>
        </is>
      </c>
      <c r="G650" t="inlineStr">
        <is>
          <t>EMMABODA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19551-2026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46134</v>
      </c>
      <c r="E651" s="1" t="n">
        <v>46277</v>
      </c>
      <c r="F651" t="inlineStr">
        <is>
          <t>KALMAR LÄN</t>
        </is>
      </c>
      <c r="G651" t="inlineStr">
        <is>
          <t>EMMABODA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41948-2024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45561</v>
      </c>
      <c r="E652" s="1" t="n">
        <v>46277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46275</v>
      </c>
      <c r="E653" s="1" t="n">
        <v>46277</v>
      </c>
      <c r="F653" t="inlineStr">
        <is>
          <t>KALMAR LÄN</t>
        </is>
      </c>
      <c r="G653" t="inlineStr">
        <is>
          <t>EMMABODA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8971-2023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44979</v>
      </c>
      <c r="E654" s="1" t="n">
        <v>46277</v>
      </c>
      <c r="F654" t="inlineStr">
        <is>
          <t>KALMAR LÄN</t>
        </is>
      </c>
      <c r="G654" t="inlineStr">
        <is>
          <t>EMMABODA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39521-2024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45551</v>
      </c>
      <c r="E655" s="1" t="n">
        <v>46277</v>
      </c>
      <c r="F655" t="inlineStr">
        <is>
          <t>KALMAR LÄN</t>
        </is>
      </c>
      <c r="G655" t="inlineStr">
        <is>
          <t>EMMABODA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33980-2024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45523</v>
      </c>
      <c r="E656" s="1" t="n">
        <v>46277</v>
      </c>
      <c r="F656" t="inlineStr">
        <is>
          <t>KALMAR LÄN</t>
        </is>
      </c>
      <c r="G656" t="inlineStr">
        <is>
          <t>EMMABODA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49953-2023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46277</v>
      </c>
      <c r="F657" t="inlineStr">
        <is>
          <t>KALMAR LÄN</t>
        </is>
      </c>
      <c r="G657" t="inlineStr">
        <is>
          <t>EMMABODA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3321-2023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46277</v>
      </c>
      <c r="F658" t="inlineStr">
        <is>
          <t>KALMAR LÄN</t>
        </is>
      </c>
      <c r="G658" t="inlineStr">
        <is>
          <t>EMMABODA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45684</v>
      </c>
      <c r="E659" s="1" t="n">
        <v>46277</v>
      </c>
      <c r="F659" t="inlineStr">
        <is>
          <t>KALMAR LÄN</t>
        </is>
      </c>
      <c r="G659" t="inlineStr">
        <is>
          <t>EMMABODA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45624</v>
      </c>
      <c r="E660" s="1" t="n">
        <v>46277</v>
      </c>
      <c r="F660" t="inlineStr">
        <is>
          <t>KALMAR LÄN</t>
        </is>
      </c>
      <c r="G660" t="inlineStr">
        <is>
          <t>EMMABODA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36367-2024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46277</v>
      </c>
      <c r="F661" t="inlineStr">
        <is>
          <t>KALMAR LÄN</t>
        </is>
      </c>
      <c r="G661" t="inlineStr">
        <is>
          <t>EMMABODA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45484</v>
      </c>
      <c r="E662" s="1" t="n">
        <v>46277</v>
      </c>
      <c r="F662" t="inlineStr">
        <is>
          <t>KALMAR LÄN</t>
        </is>
      </c>
      <c r="G662" t="inlineStr">
        <is>
          <t>EMMABODA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8151-2024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45351</v>
      </c>
      <c r="E663" s="1" t="n">
        <v>46277</v>
      </c>
      <c r="F663" t="inlineStr">
        <is>
          <t>KALMAR LÄN</t>
        </is>
      </c>
      <c r="G663" t="inlineStr">
        <is>
          <t>EMMABODA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29782-2023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45107</v>
      </c>
      <c r="E664" s="1" t="n">
        <v>46277</v>
      </c>
      <c r="F664" t="inlineStr">
        <is>
          <t>KALMAR LÄN</t>
        </is>
      </c>
      <c r="G664" t="inlineStr">
        <is>
          <t>EMMABODA</t>
        </is>
      </c>
      <c r="I664" t="n">
        <v>7.4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45317</v>
      </c>
      <c r="E665" s="1" t="n">
        <v>46277</v>
      </c>
      <c r="F665" t="inlineStr">
        <is>
          <t>KALMAR LÄN</t>
        </is>
      </c>
      <c r="G665" t="inlineStr">
        <is>
          <t>EMMABODA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45415</v>
      </c>
      <c r="E666" s="1" t="n">
        <v>46277</v>
      </c>
      <c r="F666" t="inlineStr">
        <is>
          <t>KALMAR LÄN</t>
        </is>
      </c>
      <c r="G666" t="inlineStr">
        <is>
          <t>EMMABODA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46277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45610</v>
      </c>
      <c r="E668" s="1" t="n">
        <v>46277</v>
      </c>
      <c r="F668" t="inlineStr">
        <is>
          <t>KALMAR LÄN</t>
        </is>
      </c>
      <c r="G668" t="inlineStr">
        <is>
          <t>EMMABODA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46429-2024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45582</v>
      </c>
      <c r="E669" s="1" t="n">
        <v>46277</v>
      </c>
      <c r="F669" t="inlineStr">
        <is>
          <t>KALMAR LÄN</t>
        </is>
      </c>
      <c r="G669" t="inlineStr">
        <is>
          <t>EMMABODA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42448-2024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45565</v>
      </c>
      <c r="E670" s="1" t="n">
        <v>46277</v>
      </c>
      <c r="F670" t="inlineStr">
        <is>
          <t>KALMAR LÄN</t>
        </is>
      </c>
      <c r="G670" t="inlineStr">
        <is>
          <t>EMMABODA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22145-2024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45445</v>
      </c>
      <c r="E671" s="1" t="n">
        <v>46277</v>
      </c>
      <c r="F671" t="inlineStr">
        <is>
          <t>KALMAR LÄN</t>
        </is>
      </c>
      <c r="G671" t="inlineStr">
        <is>
          <t>EMMABODA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45548</v>
      </c>
      <c r="E672" s="1" t="n">
        <v>46277</v>
      </c>
      <c r="F672" t="inlineStr">
        <is>
          <t>KALMAR LÄN</t>
        </is>
      </c>
      <c r="G672" t="inlineStr">
        <is>
          <t>EMMABODA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52462-2024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45609</v>
      </c>
      <c r="E673" s="1" t="n">
        <v>46277</v>
      </c>
      <c r="F673" t="inlineStr">
        <is>
          <t>KALMAR LÄN</t>
        </is>
      </c>
      <c r="G673" t="inlineStr">
        <is>
          <t>EMMABODA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5200-2025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45688</v>
      </c>
      <c r="E674" s="1" t="n">
        <v>46277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29491-2024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45484</v>
      </c>
      <c r="E675" s="1" t="n">
        <v>46277</v>
      </c>
      <c r="F675" t="inlineStr">
        <is>
          <t>KALMAR LÄN</t>
        </is>
      </c>
      <c r="G675" t="inlineStr">
        <is>
          <t>EMMABODA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13148-2024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45386</v>
      </c>
      <c r="E676" s="1" t="n">
        <v>46277</v>
      </c>
      <c r="F676" t="inlineStr">
        <is>
          <t>KALMAR LÄN</t>
        </is>
      </c>
      <c r="G676" t="inlineStr">
        <is>
          <t>EMMABODA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20506-2025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45775</v>
      </c>
      <c r="E677" s="1" t="n">
        <v>46277</v>
      </c>
      <c r="F677" t="inlineStr">
        <is>
          <t>KALMAR LÄN</t>
        </is>
      </c>
      <c r="G677" t="inlineStr">
        <is>
          <t>EMMABODA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49066-2021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44453</v>
      </c>
      <c r="E678" s="1" t="n">
        <v>46277</v>
      </c>
      <c r="F678" t="inlineStr">
        <is>
          <t>KALMAR LÄN</t>
        </is>
      </c>
      <c r="G678" t="inlineStr">
        <is>
          <t>EMMABODA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46277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29085-2024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45481</v>
      </c>
      <c r="E680" s="1" t="n">
        <v>46277</v>
      </c>
      <c r="F680" t="inlineStr">
        <is>
          <t>KALMAR LÄN</t>
        </is>
      </c>
      <c r="G680" t="inlineStr">
        <is>
          <t>EMMABODA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15281-2024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45400</v>
      </c>
      <c r="E681" s="1" t="n">
        <v>46277</v>
      </c>
      <c r="F681" t="inlineStr">
        <is>
          <t>KALMAR LÄN</t>
        </is>
      </c>
      <c r="G681" t="inlineStr">
        <is>
          <t>EMMABODA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23776-2024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45455</v>
      </c>
      <c r="E682" s="1" t="n">
        <v>46277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25316-2025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45800</v>
      </c>
      <c r="E683" s="1" t="n">
        <v>46277</v>
      </c>
      <c r="F683" t="inlineStr">
        <is>
          <t>KALMAR LÄN</t>
        </is>
      </c>
      <c r="G683" t="inlineStr">
        <is>
          <t>EMMABODA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46277</v>
      </c>
      <c r="F684" t="inlineStr">
        <is>
          <t>KALMAR LÄN</t>
        </is>
      </c>
      <c r="G684" t="inlineStr">
        <is>
          <t>EMMABODA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8397-2023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44977</v>
      </c>
      <c r="E685" s="1" t="n">
        <v>46277</v>
      </c>
      <c r="F685" t="inlineStr">
        <is>
          <t>KALMAR LÄN</t>
        </is>
      </c>
      <c r="G685" t="inlineStr">
        <is>
          <t>EMMABODA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45665</v>
      </c>
      <c r="E686" s="1" t="n">
        <v>46277</v>
      </c>
      <c r="F686" t="inlineStr">
        <is>
          <t>KALMAR LÄN</t>
        </is>
      </c>
      <c r="G686" t="inlineStr">
        <is>
          <t>EMMABODA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45804</v>
      </c>
      <c r="E687" s="1" t="n">
        <v>46277</v>
      </c>
      <c r="F687" t="inlineStr">
        <is>
          <t>KALMAR LÄN</t>
        </is>
      </c>
      <c r="G687" t="inlineStr">
        <is>
          <t>EMMABODA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4947-2023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44958</v>
      </c>
      <c r="E688" s="1" t="n">
        <v>46277</v>
      </c>
      <c r="F688" t="inlineStr">
        <is>
          <t>KALMAR LÄN</t>
        </is>
      </c>
      <c r="G688" t="inlineStr">
        <is>
          <t>EMMABODA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27533-2025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46277</v>
      </c>
      <c r="F689" t="inlineStr">
        <is>
          <t>KALMAR LÄN</t>
        </is>
      </c>
      <c r="G689" t="inlineStr">
        <is>
          <t>EMMABODA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46277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46277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46277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46277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46277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46277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46277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46277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46277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46277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46277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46277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46277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46277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46277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46277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46277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46277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46277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46277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46277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46277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46277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46277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46277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46277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46277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46277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46277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46277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46277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46277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46277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46277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46277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46277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46277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46277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46277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46277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46277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46277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46277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46277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46277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46277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46277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46277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46277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46277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2026-09-12T02:11:00Z</dcterms:created>
  <dcterms:modified xmlns:dcterms="http://purl.org/dc/terms/" xmlns:xsi="http://www.w3.org/2001/XMLSchema-instance" xsi:type="dcterms:W3CDTF">2026-09-12T02:11:01Z</dcterms:modified>
</cp:coreProperties>
</file>